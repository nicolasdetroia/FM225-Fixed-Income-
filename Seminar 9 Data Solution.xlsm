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20"/>
  <workbookPr filterPrivacy="1" autoCompressPictures="0"/>
  <xr:revisionPtr revIDLastSave="0" documentId="8_{5EF1F7BF-9B9E-6144-A679-A0FBDBC4CDAE}" xr6:coauthVersionLast="47" xr6:coauthVersionMax="47" xr10:uidLastSave="{00000000-0000-0000-0000-000000000000}"/>
  <bookViews>
    <workbookView xWindow="0" yWindow="860" windowWidth="36000" windowHeight="22520" tabRatio="689" xr2:uid="{00000000-000D-0000-FFFF-FFFF00000000}"/>
  </bookViews>
  <sheets>
    <sheet name="Class 9" sheetId="9" r:id="rId1"/>
  </sheets>
  <definedNames>
    <definedName name="cc">#REF!</definedName>
    <definedName name="cc_5">#REF!</definedName>
    <definedName name="h">#REF!</definedName>
    <definedName name="h_5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rr">#REF!</definedName>
    <definedName name="rr_5">#REF!</definedName>
    <definedName name="S0">#REF!</definedName>
    <definedName name="sig">#REF!</definedName>
    <definedName name="sig_5">#REF!</definedName>
    <definedName name="SO_5">#REF!</definedName>
    <definedName name="T">#REF!</definedName>
    <definedName name="T_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7" i="9" l="1"/>
  <c r="M67" i="9"/>
  <c r="H67" i="9"/>
  <c r="M68" i="9"/>
  <c r="I68" i="9"/>
  <c r="L67" i="9"/>
  <c r="B67" i="9"/>
  <c r="C67" i="9"/>
  <c r="D67" i="9"/>
  <c r="C68" i="9"/>
  <c r="D68" i="9"/>
  <c r="D69" i="9"/>
  <c r="E68" i="9"/>
  <c r="E69" i="9"/>
  <c r="E70" i="9"/>
  <c r="E67" i="9"/>
  <c r="H57" i="9"/>
  <c r="I58" i="9"/>
  <c r="I57" i="9"/>
  <c r="L57" i="9"/>
  <c r="M58" i="9"/>
  <c r="M57" i="9"/>
  <c r="E57" i="9"/>
  <c r="B57" i="9"/>
  <c r="C57" i="9"/>
  <c r="D57" i="9"/>
  <c r="C58" i="9"/>
  <c r="D58" i="9"/>
  <c r="D59" i="9"/>
  <c r="E58" i="9"/>
  <c r="E59" i="9"/>
  <c r="E60" i="9"/>
  <c r="C47" i="9"/>
  <c r="B47" i="9" s="1"/>
  <c r="C48" i="9"/>
  <c r="D48" i="9"/>
  <c r="D49" i="9"/>
  <c r="D47" i="9"/>
  <c r="B41" i="9"/>
  <c r="C41" i="9"/>
  <c r="C42" i="9"/>
  <c r="D42" i="9"/>
  <c r="D43" i="9"/>
  <c r="D41" i="9"/>
  <c r="K41" i="9"/>
  <c r="J42" i="9"/>
  <c r="K42" i="9"/>
  <c r="K43" i="9"/>
  <c r="J35" i="9"/>
  <c r="J34" i="9"/>
  <c r="I34" i="9"/>
  <c r="K36" i="9"/>
  <c r="K35" i="9"/>
  <c r="K34" i="9"/>
  <c r="L22" i="9"/>
  <c r="L23" i="9"/>
  <c r="L24" i="9"/>
  <c r="L21" i="9"/>
  <c r="B14" i="9"/>
  <c r="C14" i="9"/>
  <c r="C15" i="9"/>
  <c r="D15" i="9"/>
  <c r="K15" i="9" s="1"/>
  <c r="D22" i="9" s="1"/>
  <c r="D16" i="9"/>
  <c r="K16" i="9" s="1"/>
  <c r="D23" i="9" s="1"/>
  <c r="D14" i="9"/>
  <c r="K14" i="9" s="1"/>
  <c r="J41" i="9" l="1"/>
  <c r="I41" i="9" s="1"/>
  <c r="K22" i="9"/>
  <c r="K23" i="9"/>
  <c r="J14" i="9"/>
  <c r="D21" i="9"/>
  <c r="J15" i="9"/>
  <c r="C22" i="9" l="1"/>
  <c r="J22" i="9" s="1"/>
  <c r="C21" i="9"/>
  <c r="J21" i="9" s="1"/>
  <c r="K21" i="9"/>
  <c r="I14" i="9"/>
  <c r="B21" i="9" l="1"/>
  <c r="I21" i="9" s="1"/>
</calcChain>
</file>

<file path=xl/sharedStrings.xml><?xml version="1.0" encoding="utf-8"?>
<sst xmlns="http://schemas.openxmlformats.org/spreadsheetml/2006/main" count="83" uniqueCount="26">
  <si>
    <t>i = 2</t>
  </si>
  <si>
    <t>i = 1</t>
  </si>
  <si>
    <t>i = 0</t>
  </si>
  <si>
    <t>Exercise 12.1</t>
    <phoneticPr fontId="2" type="noConversion"/>
  </si>
  <si>
    <t>Option to Call</t>
  </si>
  <si>
    <t>Exercise 12.2</t>
    <phoneticPr fontId="2" type="noConversion"/>
  </si>
  <si>
    <t>i = 3</t>
  </si>
  <si>
    <t>Delta</t>
  </si>
  <si>
    <t>Risk-neutral Probability &amp; Time Interval</t>
  </si>
  <si>
    <t>p*</t>
  </si>
  <si>
    <t>1-p*</t>
  </si>
  <si>
    <t>Interest Rate Tree (c.c.)</t>
  </si>
  <si>
    <t>Interest Rate Tree (a.c.)</t>
  </si>
  <si>
    <t>Non-callable Bond Coupon</t>
  </si>
  <si>
    <t xml:space="preserve">c = </t>
  </si>
  <si>
    <t>Non-callable Bond Price</t>
  </si>
  <si>
    <t>Callable Bond Price</t>
  </si>
  <si>
    <t>Swap Cash Flow</t>
  </si>
  <si>
    <t>Swap Valuation</t>
  </si>
  <si>
    <t>Swaption (American) Valuation</t>
  </si>
  <si>
    <t>Prepayment Risk</t>
  </si>
  <si>
    <t>Option to Call (from the previous question)</t>
  </si>
  <si>
    <t>N1 (1-yr ZCBs rolling over periods)</t>
  </si>
  <si>
    <t>N2 (Swaption)</t>
  </si>
  <si>
    <t>Interest Rate Risk</t>
  </si>
  <si>
    <t>Callable Bond Price (from the previous question)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</si>
</sst>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"/>
    <numFmt numFmtId="165" formatCode="0.0000"/>
  </numFmts>
  <fonts count="15" x14ac:knownFonts="1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sz val="8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charset val="134"/>
      <scheme val="minor"/>
    </font>
    <font>
      <u/>
      <sz val="11"/>
      <color theme="1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dashDot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 style="medium">
        <color auto="1"/>
      </right>
      <top style="medium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medium">
        <color auto="1"/>
      </bottom>
      <diagonal/>
    </border>
    <border>
      <left/>
      <right/>
      <top style="dashDot">
        <color auto="1"/>
      </top>
      <bottom style="medium">
        <color auto="1"/>
      </bottom>
      <diagonal/>
    </border>
    <border>
      <left/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7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/>
  </cellStyleXfs>
  <cellXfs count="47">
    <xf numFmtId="0" fontId="0" fillId="0" borderId="0" xfId="0">
      <alignment vertical="center"/>
    </xf>
    <xf numFmtId="0" fontId="9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left" vertical="center"/>
    </xf>
    <xf numFmtId="0" fontId="9" fillId="0" borderId="0" xfId="2" applyFont="1" applyFill="1" applyAlignment="1">
      <alignment horizontal="center" vertical="center"/>
    </xf>
    <xf numFmtId="2" fontId="9" fillId="0" borderId="0" xfId="2" applyNumberFormat="1" applyFont="1" applyFill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0" fontId="9" fillId="0" borderId="0" xfId="2" applyNumberFormat="1" applyFont="1" applyFill="1" applyAlignment="1">
      <alignment horizontal="center" vertical="center"/>
    </xf>
    <xf numFmtId="10" fontId="9" fillId="0" borderId="0" xfId="26" applyNumberFormat="1" applyFont="1" applyFill="1" applyAlignment="1">
      <alignment horizontal="center" vertical="center"/>
    </xf>
    <xf numFmtId="10" fontId="9" fillId="3" borderId="0" xfId="26" applyNumberFormat="1" applyFont="1" applyFill="1" applyAlignment="1">
      <alignment horizontal="center" vertical="center"/>
    </xf>
    <xf numFmtId="10" fontId="9" fillId="0" borderId="0" xfId="26" applyNumberFormat="1" applyFont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4" fontId="9" fillId="0" borderId="0" xfId="2" applyNumberFormat="1" applyFont="1" applyFill="1" applyAlignment="1">
      <alignment horizontal="center" vertical="center"/>
    </xf>
    <xf numFmtId="2" fontId="11" fillId="0" borderId="0" xfId="0" applyNumberFormat="1" applyFont="1" applyFill="1" applyAlignment="1">
      <alignment horizontal="center" vertical="center"/>
    </xf>
    <xf numFmtId="4" fontId="9" fillId="0" borderId="0" xfId="2" applyNumberFormat="1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165" fontId="9" fillId="0" borderId="0" xfId="2" applyNumberFormat="1" applyFont="1" applyAlignment="1">
      <alignment horizontal="center" vertical="center"/>
    </xf>
    <xf numFmtId="0" fontId="7" fillId="2" borderId="0" xfId="1" applyFont="1" applyFill="1" applyAlignment="1">
      <alignment horizontal="left" vertical="center"/>
    </xf>
    <xf numFmtId="2" fontId="9" fillId="4" borderId="0" xfId="2" applyNumberFormat="1" applyFont="1" applyFill="1" applyAlignment="1">
      <alignment horizontal="center" vertical="center"/>
    </xf>
    <xf numFmtId="0" fontId="14" fillId="0" borderId="1" xfId="1" applyFont="1" applyFill="1" applyBorder="1" applyAlignment="1">
      <alignment horizontal="center" vertical="center"/>
    </xf>
    <xf numFmtId="0" fontId="14" fillId="0" borderId="2" xfId="1" applyFont="1" applyFill="1" applyBorder="1" applyAlignment="1">
      <alignment horizontal="center" vertical="center"/>
    </xf>
    <xf numFmtId="0" fontId="14" fillId="0" borderId="3" xfId="1" applyFont="1" applyFill="1" applyBorder="1" applyAlignment="1">
      <alignment horizontal="center" vertical="center"/>
    </xf>
    <xf numFmtId="0" fontId="9" fillId="0" borderId="4" xfId="2" applyFont="1" applyBorder="1" applyAlignment="1">
      <alignment horizontal="center" vertical="center"/>
    </xf>
    <xf numFmtId="2" fontId="9" fillId="0" borderId="5" xfId="2" applyNumberFormat="1" applyFont="1" applyBorder="1" applyAlignment="1">
      <alignment horizontal="center" vertical="center"/>
    </xf>
    <xf numFmtId="0" fontId="9" fillId="0" borderId="5" xfId="2" applyFont="1" applyBorder="1" applyAlignment="1">
      <alignment horizontal="center" vertical="center"/>
    </xf>
    <xf numFmtId="2" fontId="9" fillId="0" borderId="6" xfId="2" applyNumberFormat="1" applyFont="1" applyFill="1" applyBorder="1" applyAlignment="1">
      <alignment horizontal="center" vertical="center"/>
    </xf>
    <xf numFmtId="0" fontId="7" fillId="0" borderId="0" xfId="1" applyFont="1" applyFill="1" applyAlignment="1">
      <alignment horizontal="left" vertical="center"/>
    </xf>
    <xf numFmtId="165" fontId="9" fillId="0" borderId="0" xfId="2" applyNumberFormat="1" applyFont="1" applyFill="1" applyAlignment="1">
      <alignment horizontal="center" vertical="center"/>
    </xf>
    <xf numFmtId="3" fontId="9" fillId="0" borderId="0" xfId="2" applyNumberFormat="1" applyFont="1" applyFill="1" applyAlignment="1">
      <alignment horizontal="center" vertical="center"/>
    </xf>
    <xf numFmtId="164" fontId="9" fillId="0" borderId="0" xfId="2" applyNumberFormat="1" applyFont="1" applyFill="1" applyAlignment="1">
      <alignment horizontal="center" vertical="center"/>
    </xf>
    <xf numFmtId="165" fontId="9" fillId="4" borderId="0" xfId="2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9" fillId="0" borderId="8" xfId="2" applyFont="1" applyBorder="1" applyAlignment="1">
      <alignment horizontal="center" vertical="center"/>
    </xf>
    <xf numFmtId="4" fontId="9" fillId="0" borderId="1" xfId="2" applyNumberFormat="1" applyFont="1" applyFill="1" applyBorder="1" applyAlignment="1">
      <alignment horizontal="center" vertical="center" wrapText="1"/>
    </xf>
    <xf numFmtId="4" fontId="9" fillId="0" borderId="3" xfId="2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65" fontId="9" fillId="0" borderId="7" xfId="2" applyNumberFormat="1" applyFont="1" applyBorder="1" applyAlignment="1">
      <alignment horizontal="center" vertical="center"/>
    </xf>
    <xf numFmtId="165" fontId="9" fillId="0" borderId="8" xfId="2" applyNumberFormat="1" applyFont="1" applyBorder="1" applyAlignment="1">
      <alignment horizontal="center" vertical="center"/>
    </xf>
    <xf numFmtId="165" fontId="9" fillId="0" borderId="9" xfId="2" applyNumberFormat="1" applyFont="1" applyBorder="1" applyAlignment="1">
      <alignment horizontal="center" vertical="center"/>
    </xf>
    <xf numFmtId="165" fontId="9" fillId="0" borderId="10" xfId="2" applyNumberFormat="1" applyFont="1" applyBorder="1" applyAlignment="1">
      <alignment horizontal="center" vertical="center"/>
    </xf>
  </cellXfs>
  <cellStyles count="27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Normal" xfId="0" builtinId="0"/>
    <cellStyle name="Normal 2" xfId="2" xr:uid="{00000000-0005-0000-0000-000000000000}"/>
    <cellStyle name="Normal 3" xfId="1" xr:uid="{00000000-0005-0000-0000-000001000000}"/>
    <cellStyle name="Per cent" xfId="26" builtinId="5"/>
    <cellStyle name="표준 2" xfId="3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93"/>
  <sheetViews>
    <sheetView tabSelected="1" topLeftCell="A50" zoomScale="200" workbookViewId="0">
      <selection activeCell="J61" sqref="J61"/>
    </sheetView>
  </sheetViews>
  <sheetFormatPr baseColWidth="10" defaultColWidth="8.83203125" defaultRowHeight="14" x14ac:dyDescent="0.2"/>
  <cols>
    <col min="1" max="16384" width="8.83203125" style="12"/>
  </cols>
  <sheetData>
    <row r="1" spans="1:12" ht="16" x14ac:dyDescent="0.2">
      <c r="A1" s="20" t="s">
        <v>3</v>
      </c>
      <c r="B1" s="11"/>
    </row>
    <row r="2" spans="1:12" ht="17" thickBot="1" x14ac:dyDescent="0.25">
      <c r="A2" s="13"/>
      <c r="B2" s="13"/>
      <c r="E2" s="14"/>
      <c r="F2" s="14"/>
      <c r="G2" s="14"/>
      <c r="H2" s="14"/>
      <c r="I2" s="14"/>
      <c r="J2" s="14"/>
    </row>
    <row r="3" spans="1:12" x14ac:dyDescent="0.2">
      <c r="A3" s="22" t="s">
        <v>8</v>
      </c>
      <c r="B3" s="23"/>
      <c r="C3" s="23"/>
      <c r="D3" s="23"/>
      <c r="E3" s="23"/>
      <c r="F3" s="24"/>
      <c r="G3" s="14"/>
      <c r="H3" s="14"/>
      <c r="I3" s="14"/>
      <c r="J3" s="14"/>
    </row>
    <row r="4" spans="1:12" ht="15" thickBot="1" x14ac:dyDescent="0.25">
      <c r="A4" s="25" t="s">
        <v>7</v>
      </c>
      <c r="B4" s="26">
        <v>1</v>
      </c>
      <c r="C4" s="27" t="s">
        <v>9</v>
      </c>
      <c r="D4" s="26">
        <v>0.5</v>
      </c>
      <c r="E4" s="27" t="s">
        <v>10</v>
      </c>
      <c r="F4" s="28">
        <v>0.5</v>
      </c>
      <c r="G4" s="4"/>
      <c r="H4" s="4"/>
      <c r="I4" s="4"/>
      <c r="J4" s="14"/>
    </row>
    <row r="5" spans="1:12" x14ac:dyDescent="0.2">
      <c r="A5" s="1"/>
      <c r="B5" s="6"/>
      <c r="C5" s="1"/>
      <c r="D5" s="6"/>
      <c r="E5" s="1"/>
      <c r="F5" s="5"/>
      <c r="G5" s="4"/>
      <c r="H5" s="4"/>
      <c r="I5" s="4"/>
      <c r="J5" s="14"/>
    </row>
    <row r="6" spans="1:12" x14ac:dyDescent="0.2">
      <c r="A6" s="3" t="s">
        <v>11</v>
      </c>
      <c r="B6" s="1"/>
      <c r="C6" s="1"/>
      <c r="D6" s="1"/>
      <c r="E6" s="4"/>
      <c r="F6" s="15"/>
      <c r="G6" s="15"/>
      <c r="H6" s="15"/>
      <c r="I6" s="15"/>
      <c r="J6" s="14"/>
    </row>
    <row r="7" spans="1:12" x14ac:dyDescent="0.2">
      <c r="A7" s="1"/>
      <c r="B7" s="1" t="s">
        <v>2</v>
      </c>
      <c r="C7" s="1" t="s">
        <v>1</v>
      </c>
      <c r="D7" s="1" t="s">
        <v>0</v>
      </c>
      <c r="E7" s="4"/>
      <c r="F7" s="15"/>
      <c r="G7" s="15"/>
      <c r="H7" s="15"/>
      <c r="I7" s="15"/>
      <c r="J7" s="14"/>
    </row>
    <row r="8" spans="1:12" x14ac:dyDescent="0.2">
      <c r="A8" s="1"/>
      <c r="B8" s="9">
        <v>0.05</v>
      </c>
      <c r="C8" s="9">
        <v>5.5E-2</v>
      </c>
      <c r="D8" s="9">
        <v>0.06</v>
      </c>
      <c r="E8" s="4"/>
      <c r="F8" s="15"/>
      <c r="G8" s="15"/>
      <c r="H8" s="15"/>
      <c r="I8" s="15"/>
      <c r="J8" s="14"/>
    </row>
    <row r="9" spans="1:12" x14ac:dyDescent="0.2">
      <c r="A9" s="1"/>
      <c r="B9" s="10"/>
      <c r="C9" s="9">
        <v>4.7E-2</v>
      </c>
      <c r="D9" s="9">
        <v>0.05</v>
      </c>
      <c r="E9" s="4"/>
      <c r="F9" s="15"/>
      <c r="G9" s="15"/>
      <c r="H9" s="15"/>
      <c r="I9" s="15"/>
      <c r="J9" s="14"/>
    </row>
    <row r="10" spans="1:12" x14ac:dyDescent="0.2">
      <c r="A10" s="1"/>
      <c r="B10" s="10"/>
      <c r="C10" s="10"/>
      <c r="D10" s="9">
        <v>4.4999999999999998E-2</v>
      </c>
      <c r="E10" s="4"/>
      <c r="F10" s="15"/>
      <c r="G10" s="15"/>
      <c r="H10" s="15"/>
      <c r="I10" s="15"/>
      <c r="J10" s="14"/>
    </row>
    <row r="11" spans="1:12" x14ac:dyDescent="0.2">
      <c r="A11" s="1"/>
      <c r="B11" s="1"/>
      <c r="C11" s="1"/>
      <c r="D11" s="1"/>
      <c r="E11" s="4"/>
      <c r="F11" s="15"/>
      <c r="G11" s="15"/>
      <c r="H11" s="15"/>
      <c r="I11" s="15"/>
      <c r="J11" s="14"/>
    </row>
    <row r="12" spans="1:12" x14ac:dyDescent="0.2">
      <c r="A12" s="3" t="s">
        <v>13</v>
      </c>
      <c r="B12" s="1"/>
      <c r="C12" s="1"/>
      <c r="D12" s="1" t="s">
        <v>14</v>
      </c>
      <c r="E12" s="7">
        <v>5.2499999999999998E-2</v>
      </c>
      <c r="F12" s="15"/>
      <c r="G12" s="15"/>
      <c r="H12" s="3" t="s">
        <v>15</v>
      </c>
      <c r="I12" s="1"/>
      <c r="J12" s="1"/>
      <c r="K12" s="1"/>
      <c r="L12" s="4"/>
    </row>
    <row r="13" spans="1:12" x14ac:dyDescent="0.2">
      <c r="A13" s="1"/>
      <c r="B13" s="1" t="s">
        <v>2</v>
      </c>
      <c r="C13" s="1" t="s">
        <v>1</v>
      </c>
      <c r="D13" s="1" t="s">
        <v>0</v>
      </c>
      <c r="E13" s="1" t="s">
        <v>6</v>
      </c>
      <c r="F13" s="15"/>
      <c r="G13" s="15"/>
      <c r="H13" s="1"/>
      <c r="I13" s="1" t="s">
        <v>2</v>
      </c>
      <c r="J13" s="1" t="s">
        <v>1</v>
      </c>
      <c r="K13" s="1" t="s">
        <v>0</v>
      </c>
      <c r="L13" s="1" t="s">
        <v>6</v>
      </c>
    </row>
    <row r="14" spans="1:12" x14ac:dyDescent="0.2">
      <c r="A14" s="1"/>
      <c r="B14" s="1">
        <f t="shared" ref="B14:C14" si="0" xml:space="preserve"> 100 * $E$12</f>
        <v>5.25</v>
      </c>
      <c r="C14" s="1">
        <f t="shared" si="0"/>
        <v>5.25</v>
      </c>
      <c r="D14" s="1">
        <f xml:space="preserve"> 100 * $E$12</f>
        <v>5.25</v>
      </c>
      <c r="E14" s="4"/>
      <c r="F14" s="15"/>
      <c r="G14" s="15"/>
      <c r="H14" s="1"/>
      <c r="I14" s="6">
        <f xml:space="preserve"> EXP(-B8*1) * (0.5*J14 + 0.5*J15 + B14)</f>
        <v>100.12897540492092</v>
      </c>
      <c r="J14" s="6">
        <f xml:space="preserve"> EXP(-C8*1) * (0.5*K14 + 0.5*K15 + C14)</f>
        <v>99.256768350955028</v>
      </c>
      <c r="K14" s="6">
        <f xml:space="preserve"> EXP(-D8*1) * (0.5*L14 + 0.5*L15 + D14)</f>
        <v>99.120717159742185</v>
      </c>
      <c r="L14" s="5">
        <v>100</v>
      </c>
    </row>
    <row r="15" spans="1:12" x14ac:dyDescent="0.2">
      <c r="A15" s="1"/>
      <c r="B15" s="1"/>
      <c r="C15" s="1">
        <f xml:space="preserve"> 100 * $E$12</f>
        <v>5.25</v>
      </c>
      <c r="D15" s="1">
        <f xml:space="preserve"> 100 * $E$12</f>
        <v>5.25</v>
      </c>
      <c r="E15" s="4"/>
      <c r="F15" s="15"/>
      <c r="G15" s="15"/>
      <c r="H15" s="1"/>
      <c r="I15" s="6"/>
      <c r="J15" s="6">
        <f xml:space="preserve"> EXP(-C9*1) * (0.5*K15 + 0.5*K16 + C15)</f>
        <v>100.76862715492329</v>
      </c>
      <c r="K15" s="6">
        <f xml:space="preserve"> EXP(-D9*1) * (0.5*L15 + 0.5*L16 + D15)</f>
        <v>100.11689692870014</v>
      </c>
      <c r="L15" s="5">
        <v>100</v>
      </c>
    </row>
    <row r="16" spans="1:12" x14ac:dyDescent="0.2">
      <c r="A16" s="1"/>
      <c r="B16" s="1"/>
      <c r="C16" s="1"/>
      <c r="D16" s="1">
        <f xml:space="preserve"> 100 * $E$12</f>
        <v>5.25</v>
      </c>
      <c r="E16" s="4"/>
      <c r="F16" s="15"/>
      <c r="G16" s="15"/>
      <c r="H16" s="1"/>
      <c r="I16" s="6"/>
      <c r="J16" s="6"/>
      <c r="K16" s="6">
        <f xml:space="preserve"> EXP(-D10*1) * (0.5*L16 + 0.5*L17 + D16)</f>
        <v>100.61873496293377</v>
      </c>
      <c r="L16" s="5">
        <v>100</v>
      </c>
    </row>
    <row r="17" spans="1:12" x14ac:dyDescent="0.2">
      <c r="A17" s="1"/>
      <c r="B17" s="1"/>
      <c r="C17" s="1"/>
      <c r="D17" s="1"/>
      <c r="E17" s="4"/>
      <c r="F17" s="15"/>
      <c r="G17" s="15"/>
      <c r="H17" s="1"/>
      <c r="I17" s="1"/>
      <c r="J17" s="1"/>
      <c r="K17" s="1"/>
      <c r="L17" s="5">
        <v>100</v>
      </c>
    </row>
    <row r="18" spans="1:12" x14ac:dyDescent="0.2">
      <c r="F18" s="15"/>
      <c r="G18" s="15"/>
      <c r="H18" s="14"/>
      <c r="I18" s="16"/>
      <c r="J18" s="14"/>
    </row>
    <row r="19" spans="1:12" x14ac:dyDescent="0.2">
      <c r="A19" s="3" t="s">
        <v>4</v>
      </c>
      <c r="B19" s="1"/>
      <c r="C19" s="1"/>
      <c r="D19" s="1"/>
      <c r="E19" s="4"/>
      <c r="F19" s="15"/>
      <c r="G19" s="15"/>
      <c r="H19" s="3" t="s">
        <v>16</v>
      </c>
      <c r="I19" s="1"/>
      <c r="J19" s="1"/>
      <c r="K19" s="1"/>
      <c r="L19" s="4"/>
    </row>
    <row r="20" spans="1:12" x14ac:dyDescent="0.2">
      <c r="A20" s="1"/>
      <c r="B20" s="1" t="s">
        <v>2</v>
      </c>
      <c r="C20" s="1" t="s">
        <v>1</v>
      </c>
      <c r="D20" s="1" t="s">
        <v>0</v>
      </c>
      <c r="E20" s="1" t="s">
        <v>6</v>
      </c>
      <c r="F20" s="15"/>
      <c r="G20" s="15"/>
      <c r="H20" s="1"/>
      <c r="I20" s="1" t="s">
        <v>2</v>
      </c>
      <c r="J20" s="1" t="s">
        <v>1</v>
      </c>
      <c r="K20" s="1" t="s">
        <v>0</v>
      </c>
      <c r="L20" s="1" t="s">
        <v>6</v>
      </c>
    </row>
    <row r="21" spans="1:12" x14ac:dyDescent="0.2">
      <c r="A21" s="1"/>
      <c r="B21" s="6">
        <f xml:space="preserve"> MAX(EXP(-B8*1) * (0.5*C21 + 0.5*C22), I14 - 100, 0)</f>
        <v>0.39188167599759238</v>
      </c>
      <c r="C21" s="6">
        <f xml:space="preserve"> MAX(EXP(-C8*1) * (0.5*D21 + 0.5*D22), J14 - 100, 0)</f>
        <v>5.5320603428031405E-2</v>
      </c>
      <c r="D21" s="6">
        <f xml:space="preserve"> MAX(EXP(-D8*1) * (0.5*E21 + 0.5*E22), K14 - 100, 0)</f>
        <v>0</v>
      </c>
      <c r="E21" s="6">
        <v>0</v>
      </c>
      <c r="F21" s="17"/>
      <c r="G21" s="17"/>
      <c r="H21" s="1"/>
      <c r="I21" s="6">
        <f xml:space="preserve"> I14 - B21</f>
        <v>99.737093728923327</v>
      </c>
      <c r="J21" s="6">
        <f xml:space="preserve"> J14 - C21</f>
        <v>99.201447747526998</v>
      </c>
      <c r="K21" s="6">
        <f xml:space="preserve"> K14 - D21</f>
        <v>99.120717159742185</v>
      </c>
      <c r="L21" s="6">
        <f xml:space="preserve"> L14 - E21</f>
        <v>100</v>
      </c>
    </row>
    <row r="22" spans="1:12" x14ac:dyDescent="0.2">
      <c r="A22" s="1"/>
      <c r="B22" s="6"/>
      <c r="C22" s="21">
        <f xml:space="preserve"> MAX(EXP(-C9*1) * (0.5*D22 + 0.5*D23), J15 - 100, 0)</f>
        <v>0.76862715492329414</v>
      </c>
      <c r="D22" s="21">
        <f xml:space="preserve"> MAX(EXP(-D9*1) * (0.5*E22 + 0.5*E23), K15 - 100, 0)</f>
        <v>0.11689692870014312</v>
      </c>
      <c r="E22" s="6">
        <v>0</v>
      </c>
      <c r="F22" s="17"/>
      <c r="G22" s="17"/>
      <c r="H22" s="1"/>
      <c r="I22" s="6"/>
      <c r="J22" s="21">
        <f xml:space="preserve"> J15 - C22</f>
        <v>100</v>
      </c>
      <c r="K22" s="21">
        <f xml:space="preserve"> K15 - D22</f>
        <v>100</v>
      </c>
      <c r="L22" s="6">
        <f xml:space="preserve"> L15 - E22</f>
        <v>100</v>
      </c>
    </row>
    <row r="23" spans="1:12" x14ac:dyDescent="0.2">
      <c r="A23" s="1"/>
      <c r="B23" s="6"/>
      <c r="C23" s="6"/>
      <c r="D23" s="21">
        <f xml:space="preserve"> MAX(EXP(-D10*1) * (0.5*E23 + 0.5*E24), K16 - 100, 0)</f>
        <v>0.61873496293377173</v>
      </c>
      <c r="E23" s="6">
        <v>0</v>
      </c>
      <c r="F23" s="17"/>
      <c r="G23" s="17"/>
      <c r="H23" s="1"/>
      <c r="I23" s="6"/>
      <c r="J23" s="6"/>
      <c r="K23" s="21">
        <f xml:space="preserve"> K16 - D23</f>
        <v>100</v>
      </c>
      <c r="L23" s="6">
        <f xml:space="preserve"> L16 - E23</f>
        <v>100</v>
      </c>
    </row>
    <row r="24" spans="1:12" x14ac:dyDescent="0.2">
      <c r="A24" s="1"/>
      <c r="B24" s="1"/>
      <c r="C24" s="1"/>
      <c r="D24" s="1"/>
      <c r="E24" s="6">
        <v>0</v>
      </c>
      <c r="F24" s="17"/>
      <c r="G24" s="17"/>
      <c r="H24" s="1"/>
      <c r="I24" s="6"/>
      <c r="J24" s="6"/>
      <c r="K24" s="6"/>
      <c r="L24" s="6">
        <f xml:space="preserve"> L17 - E24</f>
        <v>100</v>
      </c>
    </row>
    <row r="25" spans="1:12" x14ac:dyDescent="0.2">
      <c r="A25" s="1"/>
      <c r="B25" s="1"/>
      <c r="C25" s="1"/>
      <c r="D25" s="1"/>
      <c r="E25" s="6"/>
      <c r="F25" s="17"/>
      <c r="G25" s="17"/>
      <c r="I25" s="18"/>
    </row>
    <row r="27" spans="1:12" ht="16" x14ac:dyDescent="0.2">
      <c r="A27" s="20" t="s">
        <v>5</v>
      </c>
      <c r="B27" s="11"/>
    </row>
    <row r="28" spans="1:12" ht="17" thickBot="1" x14ac:dyDescent="0.25">
      <c r="A28" s="29"/>
      <c r="B28" s="13"/>
    </row>
    <row r="29" spans="1:12" x14ac:dyDescent="0.2">
      <c r="A29" s="22" t="s">
        <v>8</v>
      </c>
      <c r="B29" s="23"/>
      <c r="C29" s="23"/>
      <c r="D29" s="23"/>
      <c r="E29" s="23"/>
      <c r="F29" s="24"/>
      <c r="G29" s="14"/>
      <c r="H29" s="14"/>
      <c r="I29" s="14"/>
      <c r="J29" s="14"/>
    </row>
    <row r="30" spans="1:12" ht="15" thickBot="1" x14ac:dyDescent="0.25">
      <c r="A30" s="25" t="s">
        <v>7</v>
      </c>
      <c r="B30" s="26">
        <v>1</v>
      </c>
      <c r="C30" s="27" t="s">
        <v>9</v>
      </c>
      <c r="D30" s="26">
        <v>0.5</v>
      </c>
      <c r="E30" s="27" t="s">
        <v>10</v>
      </c>
      <c r="F30" s="28">
        <v>0.5</v>
      </c>
      <c r="G30" s="4"/>
      <c r="H30" s="4"/>
      <c r="I30" s="4"/>
      <c r="J30" s="14"/>
    </row>
    <row r="31" spans="1:12" x14ac:dyDescent="0.2">
      <c r="A31" s="1"/>
      <c r="B31" s="6"/>
      <c r="C31" s="1"/>
      <c r="D31" s="6"/>
      <c r="E31" s="1"/>
      <c r="F31" s="5"/>
      <c r="G31" s="4"/>
      <c r="H31" s="4"/>
      <c r="I31" s="4"/>
      <c r="J31" s="14"/>
    </row>
    <row r="32" spans="1:12" x14ac:dyDescent="0.2">
      <c r="A32" s="3" t="s">
        <v>11</v>
      </c>
      <c r="B32" s="1"/>
      <c r="C32" s="1"/>
      <c r="D32" s="1"/>
      <c r="E32" s="4"/>
      <c r="F32" s="15"/>
      <c r="G32" s="15"/>
      <c r="H32" s="3" t="s">
        <v>12</v>
      </c>
      <c r="I32" s="1"/>
      <c r="J32" s="1"/>
      <c r="K32" s="1"/>
    </row>
    <row r="33" spans="1:12" x14ac:dyDescent="0.2">
      <c r="A33" s="1"/>
      <c r="B33" s="1" t="s">
        <v>2</v>
      </c>
      <c r="C33" s="1" t="s">
        <v>1</v>
      </c>
      <c r="D33" s="1" t="s">
        <v>0</v>
      </c>
      <c r="E33" s="4"/>
      <c r="F33" s="15"/>
      <c r="G33" s="15"/>
      <c r="H33" s="2"/>
      <c r="I33" s="1" t="s">
        <v>2</v>
      </c>
      <c r="J33" s="1" t="s">
        <v>1</v>
      </c>
      <c r="K33" s="1" t="s">
        <v>0</v>
      </c>
    </row>
    <row r="34" spans="1:12" x14ac:dyDescent="0.2">
      <c r="A34" s="1"/>
      <c r="B34" s="9">
        <v>0.05</v>
      </c>
      <c r="C34" s="9">
        <v>5.5E-2</v>
      </c>
      <c r="D34" s="9">
        <v>0.06</v>
      </c>
      <c r="E34" s="4"/>
      <c r="F34" s="15"/>
      <c r="G34" s="15"/>
      <c r="H34" s="1"/>
      <c r="I34" s="8">
        <f xml:space="preserve"> 1*(EXP(B34/1) - 1)</f>
        <v>5.1271096376024117E-2</v>
      </c>
      <c r="J34" s="8">
        <f xml:space="preserve"> 1*(EXP(C34/1) - 1)</f>
        <v>5.6540614675494316E-2</v>
      </c>
      <c r="K34" s="8">
        <f xml:space="preserve"> 1*(EXP(D34/1) - 1)</f>
        <v>6.1836546545359639E-2</v>
      </c>
    </row>
    <row r="35" spans="1:12" x14ac:dyDescent="0.2">
      <c r="A35" s="1"/>
      <c r="B35" s="10"/>
      <c r="C35" s="9">
        <v>4.7E-2</v>
      </c>
      <c r="D35" s="9">
        <v>0.05</v>
      </c>
      <c r="E35" s="4"/>
      <c r="F35" s="15"/>
      <c r="G35" s="15"/>
      <c r="H35" s="1"/>
      <c r="I35" s="8"/>
      <c r="J35" s="8">
        <f xml:space="preserve"> 1*(EXP(C35/1) - 1)</f>
        <v>4.8122009079655692E-2</v>
      </c>
      <c r="K35" s="8">
        <f xml:space="preserve"> 1*(EXP(D35/1) - 1)</f>
        <v>5.1271096376024117E-2</v>
      </c>
    </row>
    <row r="36" spans="1:12" x14ac:dyDescent="0.2">
      <c r="A36" s="1"/>
      <c r="B36" s="10"/>
      <c r="C36" s="10"/>
      <c r="D36" s="9">
        <v>4.4999999999999998E-2</v>
      </c>
      <c r="E36" s="4"/>
      <c r="F36" s="15"/>
      <c r="G36" s="15"/>
      <c r="H36" s="1"/>
      <c r="I36" s="8"/>
      <c r="J36" s="8"/>
      <c r="K36" s="8">
        <f xml:space="preserve"> 1*(EXP(D36/1) - 1)</f>
        <v>4.6027859908716939E-2</v>
      </c>
    </row>
    <row r="37" spans="1:12" x14ac:dyDescent="0.2">
      <c r="A37" s="1"/>
      <c r="B37" s="1"/>
      <c r="C37" s="1"/>
      <c r="D37" s="1"/>
      <c r="E37" s="4"/>
      <c r="F37" s="15"/>
      <c r="G37" s="15"/>
    </row>
    <row r="38" spans="1:12" x14ac:dyDescent="0.2">
      <c r="A38" s="1"/>
      <c r="B38" s="1"/>
      <c r="C38" s="1"/>
      <c r="D38" s="1"/>
      <c r="E38" s="4"/>
      <c r="F38" s="15"/>
      <c r="G38" s="15"/>
    </row>
    <row r="39" spans="1:12" x14ac:dyDescent="0.2">
      <c r="A39" s="3" t="s">
        <v>17</v>
      </c>
      <c r="B39" s="1"/>
      <c r="C39" s="1"/>
      <c r="D39" s="1" t="s">
        <v>14</v>
      </c>
      <c r="E39" s="7">
        <v>5.2499999999999998E-2</v>
      </c>
      <c r="F39" s="15"/>
      <c r="G39" s="15"/>
      <c r="H39" s="3" t="s">
        <v>18</v>
      </c>
      <c r="I39" s="1"/>
      <c r="J39" s="1"/>
      <c r="K39" s="1"/>
      <c r="L39" s="7"/>
    </row>
    <row r="40" spans="1:12" x14ac:dyDescent="0.2">
      <c r="A40" s="1"/>
      <c r="B40" s="1" t="s">
        <v>2</v>
      </c>
      <c r="C40" s="1" t="s">
        <v>1</v>
      </c>
      <c r="D40" s="1" t="s">
        <v>0</v>
      </c>
      <c r="E40" s="1" t="s">
        <v>6</v>
      </c>
      <c r="F40" s="15"/>
      <c r="G40" s="15"/>
      <c r="H40" s="1"/>
      <c r="I40" s="1" t="s">
        <v>2</v>
      </c>
      <c r="J40" s="1" t="s">
        <v>1</v>
      </c>
      <c r="K40" s="1" t="s">
        <v>0</v>
      </c>
      <c r="L40" s="1" t="s">
        <v>6</v>
      </c>
    </row>
    <row r="41" spans="1:12" x14ac:dyDescent="0.2">
      <c r="A41" s="1"/>
      <c r="B41" s="30">
        <f t="shared" ref="B41:C43" si="1" xml:space="preserve"> 100 * 1 * ($E$39 - I34)</f>
        <v>0.12289036239758813</v>
      </c>
      <c r="C41" s="30">
        <f t="shared" si="1"/>
        <v>-0.40406146754943184</v>
      </c>
      <c r="D41" s="30">
        <f xml:space="preserve"> 100 * 1 * ($E$39 - K34)</f>
        <v>-0.93365465453596408</v>
      </c>
      <c r="E41" s="30"/>
      <c r="F41" s="15"/>
      <c r="G41" s="15"/>
      <c r="H41" s="1"/>
      <c r="I41" s="30">
        <f xml:space="preserve"> EXP(-B34*1) * (0.5*J41 + 0.5*J42 + B41)</f>
        <v>0.12897540492090517</v>
      </c>
      <c r="J41" s="30">
        <f t="shared" ref="I41:J43" si="2" xml:space="preserve"> EXP(-C34*1) * (0.5*K41 + 0.5*K42 + C41)</f>
        <v>-0.74323164904498851</v>
      </c>
      <c r="K41" s="30">
        <f xml:space="preserve"> EXP(-D34*1) * (0.5*L41 + 0.5*L42 + D41)</f>
        <v>-0.8792828402578251</v>
      </c>
      <c r="L41" s="30">
        <v>0</v>
      </c>
    </row>
    <row r="42" spans="1:12" x14ac:dyDescent="0.2">
      <c r="A42" s="1"/>
      <c r="B42" s="30"/>
      <c r="C42" s="30">
        <f t="shared" si="1"/>
        <v>0.43779909203443057</v>
      </c>
      <c r="D42" s="30">
        <f t="shared" ref="D42:D43" si="3" xml:space="preserve"> 100 * 1 * ($E$39 - K35)</f>
        <v>0.12289036239758813</v>
      </c>
      <c r="E42" s="30"/>
      <c r="F42" s="15"/>
      <c r="G42" s="15"/>
      <c r="H42" s="1"/>
      <c r="I42" s="30"/>
      <c r="J42" s="30">
        <f t="shared" si="2"/>
        <v>0.76862715492329547</v>
      </c>
      <c r="K42" s="30">
        <f t="shared" ref="K42:K43" si="4" xml:space="preserve"> EXP(-D35*1) * (0.5*L42 + 0.5*L43 + D42)</f>
        <v>0.11689692870014194</v>
      </c>
      <c r="L42" s="30">
        <v>0</v>
      </c>
    </row>
    <row r="43" spans="1:12" x14ac:dyDescent="0.2">
      <c r="A43" s="1"/>
      <c r="B43" s="30"/>
      <c r="C43" s="30"/>
      <c r="D43" s="30">
        <f t="shared" si="3"/>
        <v>0.64721400912830584</v>
      </c>
      <c r="E43" s="30"/>
      <c r="F43" s="15"/>
      <c r="G43" s="15"/>
      <c r="H43" s="1"/>
      <c r="I43" s="30"/>
      <c r="J43" s="30"/>
      <c r="K43" s="30">
        <f t="shared" si="4"/>
        <v>0.6187349629337654</v>
      </c>
      <c r="L43" s="30">
        <v>0</v>
      </c>
    </row>
    <row r="44" spans="1:12" x14ac:dyDescent="0.2">
      <c r="A44" s="1"/>
      <c r="B44" s="30"/>
      <c r="C44" s="30"/>
      <c r="D44" s="30"/>
      <c r="E44" s="30"/>
      <c r="F44" s="15"/>
      <c r="G44" s="15"/>
      <c r="H44" s="1"/>
      <c r="I44" s="30"/>
      <c r="J44" s="30"/>
      <c r="K44" s="30"/>
      <c r="L44" s="30">
        <v>0</v>
      </c>
    </row>
    <row r="45" spans="1:12" x14ac:dyDescent="0.2">
      <c r="A45" s="3" t="s">
        <v>19</v>
      </c>
      <c r="B45" s="1"/>
      <c r="C45" s="1"/>
      <c r="D45" s="1"/>
      <c r="E45" s="7"/>
      <c r="F45" s="15"/>
      <c r="G45" s="15"/>
    </row>
    <row r="46" spans="1:12" x14ac:dyDescent="0.2">
      <c r="A46" s="1"/>
      <c r="B46" s="1" t="s">
        <v>2</v>
      </c>
      <c r="C46" s="1" t="s">
        <v>1</v>
      </c>
      <c r="D46" s="1" t="s">
        <v>0</v>
      </c>
      <c r="E46" s="1" t="s">
        <v>6</v>
      </c>
      <c r="F46" s="15"/>
      <c r="G46" s="15"/>
    </row>
    <row r="47" spans="1:12" x14ac:dyDescent="0.2">
      <c r="A47" s="1"/>
      <c r="B47" s="30">
        <f t="shared" ref="B47:C49" si="5" xml:space="preserve"> MAX(EXP(-B34*1) * (0.5*C47 + 0.5*C48), I41 - 0, 0)</f>
        <v>0.39188167599759272</v>
      </c>
      <c r="C47" s="30">
        <f t="shared" si="5"/>
        <v>5.532060342803085E-2</v>
      </c>
      <c r="D47" s="30">
        <f xml:space="preserve"> MAX(EXP(-D34*1) * (0.5*E47 + 0.5*E48), K41 - 0, 0)</f>
        <v>0</v>
      </c>
      <c r="E47" s="30">
        <v>0</v>
      </c>
      <c r="F47" s="15"/>
      <c r="G47" s="15"/>
    </row>
    <row r="48" spans="1:12" x14ac:dyDescent="0.2">
      <c r="A48" s="1"/>
      <c r="B48" s="30"/>
      <c r="C48" s="33">
        <f t="shared" si="5"/>
        <v>0.76862715492329547</v>
      </c>
      <c r="D48" s="33">
        <f t="shared" ref="D48:D49" si="6" xml:space="preserve"> MAX(EXP(-D35*1) * (0.5*E48 + 0.5*E49), K42 - 0, 0)</f>
        <v>0.11689692870014194</v>
      </c>
      <c r="E48" s="30">
        <v>0</v>
      </c>
      <c r="F48" s="15"/>
      <c r="G48" s="15"/>
    </row>
    <row r="49" spans="1:19" x14ac:dyDescent="0.2">
      <c r="A49" s="1"/>
      <c r="B49" s="30"/>
      <c r="C49" s="30"/>
      <c r="D49" s="33">
        <f t="shared" si="6"/>
        <v>0.6187349629337654</v>
      </c>
      <c r="E49" s="30">
        <v>0</v>
      </c>
      <c r="F49" s="15"/>
      <c r="G49" s="15"/>
    </row>
    <row r="50" spans="1:19" x14ac:dyDescent="0.2">
      <c r="A50" s="1"/>
      <c r="B50" s="30"/>
      <c r="C50" s="30"/>
      <c r="D50" s="30"/>
      <c r="E50" s="30">
        <v>0</v>
      </c>
      <c r="F50" s="15"/>
      <c r="G50" s="15"/>
    </row>
    <row r="51" spans="1:19" x14ac:dyDescent="0.2">
      <c r="A51" s="1"/>
      <c r="B51" s="1"/>
      <c r="C51" s="1"/>
      <c r="D51" s="1"/>
      <c r="E51" s="4"/>
      <c r="F51" s="15"/>
      <c r="G51" s="15"/>
    </row>
    <row r="52" spans="1:19" x14ac:dyDescent="0.2">
      <c r="A52" s="1"/>
      <c r="B52" s="1"/>
      <c r="C52" s="1"/>
      <c r="D52" s="1"/>
      <c r="E52" s="4"/>
      <c r="F52" s="15"/>
      <c r="G52" s="15"/>
    </row>
    <row r="53" spans="1:19" x14ac:dyDescent="0.2">
      <c r="A53" s="42" t="s">
        <v>20</v>
      </c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</row>
    <row r="54" spans="1:19" ht="15" thickBot="1" x14ac:dyDescent="0.25">
      <c r="E54" s="4"/>
      <c r="F54" s="15"/>
      <c r="G54" s="15"/>
      <c r="H54" s="15"/>
      <c r="I54" s="15"/>
      <c r="J54" s="34"/>
      <c r="K54" s="35"/>
      <c r="L54" s="35"/>
      <c r="M54" s="35"/>
    </row>
    <row r="55" spans="1:19" ht="29" customHeight="1" x14ac:dyDescent="0.2">
      <c r="A55" s="3" t="s">
        <v>21</v>
      </c>
      <c r="B55" s="1"/>
      <c r="C55" s="1"/>
      <c r="D55" s="1"/>
      <c r="E55" s="4"/>
      <c r="F55" s="15"/>
      <c r="G55" s="15"/>
      <c r="H55" s="38" t="s">
        <v>22</v>
      </c>
      <c r="I55" s="39"/>
      <c r="J55" s="34"/>
      <c r="K55" s="35"/>
      <c r="L55" s="40" t="s">
        <v>23</v>
      </c>
      <c r="M55" s="41"/>
    </row>
    <row r="56" spans="1:19" x14ac:dyDescent="0.2">
      <c r="A56" s="1"/>
      <c r="B56" s="1" t="s">
        <v>2</v>
      </c>
      <c r="C56" s="1" t="s">
        <v>1</v>
      </c>
      <c r="D56" s="1" t="s">
        <v>0</v>
      </c>
      <c r="E56" s="1" t="s">
        <v>6</v>
      </c>
      <c r="F56" s="15"/>
      <c r="G56" s="15"/>
      <c r="H56" s="36" t="s">
        <v>2</v>
      </c>
      <c r="I56" s="37" t="s">
        <v>1</v>
      </c>
      <c r="J56" s="34"/>
      <c r="K56" s="35"/>
      <c r="L56" s="36" t="s">
        <v>2</v>
      </c>
      <c r="M56" s="37" t="s">
        <v>1</v>
      </c>
    </row>
    <row r="57" spans="1:19" x14ac:dyDescent="0.2">
      <c r="A57" s="1"/>
      <c r="B57" s="19">
        <f t="shared" ref="B57:D60" si="7">B21</f>
        <v>0.39188167599759238</v>
      </c>
      <c r="C57" s="19">
        <f t="shared" si="7"/>
        <v>5.5320603428031405E-2</v>
      </c>
      <c r="D57" s="19">
        <f t="shared" si="7"/>
        <v>0</v>
      </c>
      <c r="E57" s="19">
        <f>E21</f>
        <v>0</v>
      </c>
      <c r="F57" s="15"/>
      <c r="G57" s="15"/>
      <c r="H57" s="43">
        <f xml:space="preserve"> (C57 - L57*C47) / 100</f>
        <v>7.0082828429463007E-18</v>
      </c>
      <c r="I57" s="44">
        <f xml:space="preserve"> (D57 - M57*D47) / 100</f>
        <v>0</v>
      </c>
      <c r="J57" s="34"/>
      <c r="K57" s="35"/>
      <c r="L57" s="43">
        <f xml:space="preserve"> (C57 - C58) / (C47 - C48)</f>
        <v>0.99999999999999734</v>
      </c>
      <c r="M57" s="44">
        <f xml:space="preserve"> (D57 - D58) / (D47 - D48)</f>
        <v>1.00000000000001</v>
      </c>
    </row>
    <row r="58" spans="1:19" ht="15" thickBot="1" x14ac:dyDescent="0.25">
      <c r="A58" s="1"/>
      <c r="B58" s="19"/>
      <c r="C58" s="19">
        <f t="shared" si="7"/>
        <v>0.76862715492329414</v>
      </c>
      <c r="D58" s="19">
        <f t="shared" si="7"/>
        <v>0.11689692870014312</v>
      </c>
      <c r="E58" s="19">
        <f t="shared" ref="E58:E60" si="8">E22</f>
        <v>0</v>
      </c>
      <c r="F58" s="4"/>
      <c r="G58" s="4"/>
      <c r="H58" s="45"/>
      <c r="I58" s="46">
        <f xml:space="preserve"> (D58 - M58*D48) / 100</f>
        <v>-1.3877787807814457E-19</v>
      </c>
      <c r="J58" s="4"/>
      <c r="K58" s="35"/>
      <c r="L58" s="45"/>
      <c r="M58" s="46">
        <f xml:space="preserve"> (D58 - D59) / (D48 - D49)</f>
        <v>1.0000000000000102</v>
      </c>
      <c r="N58" s="1"/>
      <c r="O58" s="1"/>
      <c r="P58" s="1"/>
      <c r="Q58" s="1"/>
      <c r="R58" s="1"/>
      <c r="S58" s="1"/>
    </row>
    <row r="59" spans="1:19" x14ac:dyDescent="0.2">
      <c r="A59" s="1"/>
      <c r="B59" s="19"/>
      <c r="C59" s="19"/>
      <c r="D59" s="19">
        <f t="shared" si="7"/>
        <v>0.61873496293377173</v>
      </c>
      <c r="E59" s="19">
        <f t="shared" si="8"/>
        <v>0</v>
      </c>
      <c r="F59" s="4"/>
      <c r="G59" s="31"/>
      <c r="H59" s="4"/>
      <c r="I59" s="7"/>
      <c r="J59" s="4"/>
      <c r="K59" s="4"/>
      <c r="L59" s="4"/>
      <c r="M59" s="4"/>
      <c r="N59" s="1"/>
      <c r="O59" s="1"/>
      <c r="P59" s="1"/>
      <c r="Q59" s="1"/>
      <c r="R59" s="1"/>
      <c r="S59" s="1"/>
    </row>
    <row r="60" spans="1:19" x14ac:dyDescent="0.2">
      <c r="A60" s="1"/>
      <c r="B60" s="19"/>
      <c r="C60" s="19"/>
      <c r="D60" s="19"/>
      <c r="E60" s="19">
        <f t="shared" si="8"/>
        <v>0</v>
      </c>
      <c r="F60" s="4"/>
      <c r="G60" s="4"/>
      <c r="H60" s="4"/>
      <c r="I60" s="4"/>
      <c r="J60" s="4"/>
      <c r="K60" s="4"/>
      <c r="L60" s="4"/>
      <c r="M60" s="4"/>
      <c r="N60" s="1"/>
      <c r="O60" s="1"/>
      <c r="P60" s="1"/>
      <c r="Q60" s="1"/>
      <c r="R60" s="1"/>
      <c r="S60" s="1"/>
    </row>
    <row r="61" spans="1:19" x14ac:dyDescent="0.2">
      <c r="A61" s="4"/>
      <c r="B61" s="4"/>
      <c r="C61" s="4"/>
      <c r="D61" s="4"/>
      <c r="E61" s="4"/>
      <c r="F61" s="15"/>
      <c r="G61" s="15"/>
      <c r="H61" s="15"/>
      <c r="I61" s="5"/>
      <c r="J61" s="4"/>
      <c r="K61" s="32"/>
      <c r="L61" s="32"/>
      <c r="M61" s="4"/>
      <c r="N61" s="17"/>
      <c r="O61" s="17"/>
      <c r="P61" s="17"/>
      <c r="Q61" s="17"/>
      <c r="R61" s="17"/>
      <c r="S61" s="1"/>
    </row>
    <row r="62" spans="1:19" x14ac:dyDescent="0.2">
      <c r="A62" s="4"/>
      <c r="B62" s="4"/>
      <c r="C62" s="4"/>
      <c r="D62" s="4"/>
      <c r="E62" s="4"/>
      <c r="F62" s="15"/>
      <c r="G62" s="15"/>
      <c r="H62" s="15"/>
      <c r="I62" s="5"/>
      <c r="J62" s="4"/>
      <c r="K62" s="32"/>
      <c r="L62" s="32"/>
      <c r="M62" s="4"/>
      <c r="N62" s="1"/>
      <c r="O62" s="17"/>
      <c r="P62" s="1"/>
      <c r="Q62" s="17"/>
      <c r="R62" s="1"/>
      <c r="S62" s="1"/>
    </row>
    <row r="63" spans="1:19" x14ac:dyDescent="0.2">
      <c r="A63" s="42" t="s">
        <v>24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1"/>
      <c r="O63" s="1"/>
      <c r="P63" s="17"/>
      <c r="Q63" s="17"/>
      <c r="R63" s="17"/>
      <c r="S63" s="1"/>
    </row>
    <row r="64" spans="1:19" ht="15" thickBot="1" x14ac:dyDescent="0.25">
      <c r="E64" s="4"/>
      <c r="F64" s="15"/>
      <c r="G64" s="15"/>
      <c r="H64" s="15"/>
      <c r="I64" s="15"/>
      <c r="J64" s="34"/>
      <c r="K64" s="35"/>
      <c r="L64" s="35"/>
      <c r="M64" s="35"/>
      <c r="N64" s="1"/>
      <c r="O64" s="1"/>
      <c r="P64" s="1"/>
      <c r="Q64" s="17"/>
      <c r="R64" s="1"/>
      <c r="S64" s="1"/>
    </row>
    <row r="65" spans="1:19" ht="32" customHeight="1" x14ac:dyDescent="0.2">
      <c r="A65" s="3" t="s">
        <v>25</v>
      </c>
      <c r="B65" s="1"/>
      <c r="C65" s="1"/>
      <c r="D65" s="1"/>
      <c r="E65" s="4"/>
      <c r="F65" s="15"/>
      <c r="G65" s="15"/>
      <c r="H65" s="38" t="s">
        <v>22</v>
      </c>
      <c r="I65" s="39"/>
      <c r="J65" s="34"/>
      <c r="K65" s="35"/>
      <c r="L65" s="40" t="s">
        <v>23</v>
      </c>
      <c r="M65" s="41"/>
      <c r="N65" s="1"/>
      <c r="O65" s="1"/>
      <c r="P65" s="1"/>
      <c r="Q65" s="1"/>
      <c r="R65" s="17"/>
      <c r="S65" s="1"/>
    </row>
    <row r="66" spans="1:19" x14ac:dyDescent="0.2">
      <c r="A66" s="1"/>
      <c r="B66" s="1" t="s">
        <v>2</v>
      </c>
      <c r="C66" s="1" t="s">
        <v>1</v>
      </c>
      <c r="D66" s="1" t="s">
        <v>0</v>
      </c>
      <c r="E66" s="1" t="s">
        <v>6</v>
      </c>
      <c r="F66" s="15"/>
      <c r="G66" s="15"/>
      <c r="H66" s="36" t="s">
        <v>2</v>
      </c>
      <c r="I66" s="37" t="s">
        <v>1</v>
      </c>
      <c r="J66" s="34"/>
      <c r="K66" s="35"/>
      <c r="L66" s="36" t="s">
        <v>2</v>
      </c>
      <c r="M66" s="37" t="s">
        <v>1</v>
      </c>
      <c r="N66" s="1"/>
      <c r="O66" s="1"/>
      <c r="P66" s="1"/>
      <c r="Q66" s="1"/>
      <c r="R66" s="1"/>
      <c r="S66" s="1"/>
    </row>
    <row r="67" spans="1:19" x14ac:dyDescent="0.2">
      <c r="A67" s="1"/>
      <c r="B67" s="19">
        <f>I21</f>
        <v>99.737093728923327</v>
      </c>
      <c r="C67" s="19">
        <f t="shared" ref="B67:D70" si="9">J21</f>
        <v>99.201447747526998</v>
      </c>
      <c r="D67" s="19">
        <f t="shared" si="9"/>
        <v>99.120717159742185</v>
      </c>
      <c r="E67" s="19">
        <f>L21</f>
        <v>100</v>
      </c>
      <c r="F67" s="15"/>
      <c r="G67" s="15"/>
      <c r="H67" s="43">
        <f xml:space="preserve"> (C67 + 5.25 - L67*C47) / 100</f>
        <v>1.0438951590015644</v>
      </c>
      <c r="I67" s="44">
        <f xml:space="preserve"> (D67 + 5.25 - M67*D47) / 100</f>
        <v>1.0437071715974218</v>
      </c>
      <c r="J67" s="34"/>
      <c r="K67" s="35"/>
      <c r="L67" s="43">
        <f xml:space="preserve"> (C67 + 5.25 - C68 - 5.25) / (C47 - C48)</f>
        <v>1.1195078060043624</v>
      </c>
      <c r="M67" s="44">
        <f xml:space="preserve"> (D67 + 5.25 - D68 - 5.25) / (D47 - D48)</f>
        <v>7.5218643469522357</v>
      </c>
      <c r="N67" s="1"/>
      <c r="O67" s="1"/>
      <c r="P67" s="1"/>
      <c r="Q67" s="1"/>
      <c r="R67" s="1"/>
      <c r="S67" s="1"/>
    </row>
    <row r="68" spans="1:19" ht="15" thickBot="1" x14ac:dyDescent="0.25">
      <c r="A68" s="1"/>
      <c r="B68" s="19"/>
      <c r="C68" s="19">
        <f t="shared" si="9"/>
        <v>100</v>
      </c>
      <c r="D68" s="19">
        <f t="shared" si="9"/>
        <v>100</v>
      </c>
      <c r="E68" s="19">
        <f t="shared" ref="E68:E70" si="10">L22</f>
        <v>100</v>
      </c>
      <c r="F68" s="4"/>
      <c r="G68" s="4"/>
      <c r="H68" s="45"/>
      <c r="I68" s="46">
        <f xml:space="preserve"> (D68 + 5.25 - M68*D48) / 100</f>
        <v>1.0525</v>
      </c>
      <c r="J68" s="4"/>
      <c r="K68" s="35"/>
      <c r="L68" s="45"/>
      <c r="M68" s="46">
        <f xml:space="preserve"> (D68 + 5.25 - D69 - 5.25) / (D48 - D49)</f>
        <v>0</v>
      </c>
      <c r="N68" s="1"/>
      <c r="O68" s="1"/>
      <c r="P68" s="1"/>
      <c r="Q68" s="1"/>
      <c r="R68" s="1"/>
      <c r="S68" s="1"/>
    </row>
    <row r="69" spans="1:19" x14ac:dyDescent="0.2">
      <c r="A69" s="1"/>
      <c r="B69" s="19"/>
      <c r="C69" s="19"/>
      <c r="D69" s="19">
        <f t="shared" si="9"/>
        <v>100</v>
      </c>
      <c r="E69" s="19">
        <f t="shared" si="10"/>
        <v>100</v>
      </c>
      <c r="F69" s="4"/>
      <c r="G69" s="31"/>
      <c r="H69" s="4"/>
      <c r="I69" s="7"/>
      <c r="J69" s="4"/>
      <c r="K69" s="4"/>
      <c r="L69" s="4"/>
      <c r="M69" s="4"/>
      <c r="N69" s="1"/>
      <c r="O69" s="1"/>
      <c r="P69" s="1"/>
      <c r="Q69" s="1"/>
      <c r="R69" s="1"/>
      <c r="S69" s="1"/>
    </row>
    <row r="70" spans="1:19" x14ac:dyDescent="0.2">
      <c r="A70" s="1"/>
      <c r="B70" s="19"/>
      <c r="C70" s="19"/>
      <c r="D70" s="19"/>
      <c r="E70" s="19">
        <f t="shared" si="10"/>
        <v>100</v>
      </c>
      <c r="F70" s="4"/>
      <c r="G70" s="4"/>
      <c r="H70" s="4"/>
      <c r="I70" s="4"/>
      <c r="J70" s="4"/>
      <c r="K70" s="4"/>
      <c r="L70" s="4"/>
      <c r="M70" s="4"/>
      <c r="N70" s="6"/>
      <c r="O70" s="6"/>
      <c r="P70" s="6"/>
      <c r="Q70" s="6"/>
      <c r="R70" s="1"/>
      <c r="S70" s="1"/>
    </row>
    <row r="71" spans="1:19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30"/>
      <c r="L71" s="30"/>
      <c r="M71" s="4"/>
      <c r="N71" s="1"/>
      <c r="O71" s="6"/>
      <c r="P71" s="1"/>
      <c r="Q71" s="6"/>
      <c r="R71" s="1"/>
      <c r="S71" s="1"/>
    </row>
    <row r="72" spans="1:19" x14ac:dyDescent="0.2">
      <c r="A72" s="4"/>
      <c r="B72" s="4"/>
      <c r="C72" s="4"/>
      <c r="D72" s="4"/>
      <c r="E72" s="4"/>
      <c r="F72" s="4"/>
      <c r="G72" s="5"/>
      <c r="H72" s="4"/>
      <c r="I72" s="4"/>
      <c r="J72" s="4"/>
      <c r="K72" s="4"/>
      <c r="L72" s="4"/>
      <c r="M72" s="4"/>
      <c r="N72" s="1"/>
      <c r="O72" s="17"/>
      <c r="P72" s="6"/>
      <c r="Q72" s="6"/>
      <c r="R72" s="1"/>
      <c r="S72" s="1"/>
    </row>
    <row r="73" spans="1:19" x14ac:dyDescent="0.2">
      <c r="A73" s="30"/>
      <c r="B73" s="4"/>
      <c r="C73" s="4"/>
      <c r="D73" s="4"/>
      <c r="E73" s="4"/>
      <c r="F73" s="4"/>
      <c r="G73" s="30"/>
      <c r="H73" s="4"/>
      <c r="I73" s="4"/>
      <c r="J73" s="4"/>
      <c r="K73" s="4"/>
      <c r="L73" s="4"/>
      <c r="M73" s="4"/>
      <c r="N73" s="1"/>
      <c r="O73" s="1"/>
      <c r="P73" s="1"/>
      <c r="Q73" s="6"/>
      <c r="R73" s="1"/>
      <c r="S73" s="1"/>
    </row>
    <row r="74" spans="1:19" x14ac:dyDescent="0.2">
      <c r="A74" s="30"/>
      <c r="B74" s="4"/>
      <c r="C74" s="4"/>
      <c r="D74" s="4"/>
      <c r="E74" s="15"/>
      <c r="F74" s="15"/>
      <c r="G74" s="15"/>
      <c r="H74" s="15"/>
      <c r="I74" s="15"/>
      <c r="J74" s="4"/>
      <c r="K74" s="4"/>
      <c r="L74" s="4"/>
      <c r="M74" s="4"/>
      <c r="N74" s="1"/>
      <c r="O74" s="1"/>
      <c r="P74" s="1"/>
      <c r="Q74" s="1"/>
      <c r="R74" s="1"/>
      <c r="S74" s="1"/>
    </row>
    <row r="75" spans="1:19" x14ac:dyDescent="0.2">
      <c r="A75" s="30"/>
      <c r="B75" s="4"/>
      <c r="C75" s="4"/>
      <c r="D75" s="4"/>
      <c r="E75" s="15"/>
      <c r="F75" s="15"/>
      <c r="G75" s="15"/>
      <c r="H75" s="15"/>
      <c r="I75" s="15"/>
      <c r="J75" s="4"/>
      <c r="K75" s="4"/>
      <c r="L75" s="4"/>
      <c r="M75" s="4"/>
      <c r="N75" s="1"/>
      <c r="O75" s="1"/>
      <c r="P75" s="1"/>
      <c r="Q75" s="1"/>
      <c r="R75" s="1"/>
      <c r="S75" s="1"/>
    </row>
    <row r="76" spans="1:19" x14ac:dyDescent="0.2">
      <c r="A76" s="30"/>
      <c r="B76" s="30"/>
      <c r="C76" s="4"/>
      <c r="D76" s="4"/>
      <c r="E76" s="30"/>
      <c r="F76" s="15"/>
      <c r="G76" s="15"/>
      <c r="H76" s="15"/>
      <c r="I76" s="15"/>
      <c r="J76" s="4"/>
      <c r="K76" s="4"/>
      <c r="L76" s="4"/>
      <c r="M76" s="4"/>
      <c r="N76" s="1"/>
      <c r="O76" s="1"/>
      <c r="P76" s="1"/>
      <c r="Q76" s="1"/>
      <c r="R76" s="1"/>
      <c r="S76" s="1"/>
    </row>
    <row r="77" spans="1:19" x14ac:dyDescent="0.2">
      <c r="A77" s="30"/>
      <c r="B77" s="30"/>
      <c r="C77" s="4"/>
      <c r="D77" s="4"/>
      <c r="E77" s="4"/>
      <c r="F77" s="15"/>
      <c r="G77" s="15"/>
      <c r="H77" s="15"/>
      <c r="I77" s="15"/>
      <c r="J77" s="4"/>
      <c r="K77" s="4"/>
      <c r="L77" s="4"/>
      <c r="M77" s="4"/>
      <c r="N77" s="17"/>
      <c r="O77" s="17"/>
      <c r="P77" s="17"/>
      <c r="Q77" s="1"/>
      <c r="R77" s="1"/>
      <c r="S77" s="1"/>
    </row>
    <row r="78" spans="1:19" x14ac:dyDescent="0.2">
      <c r="A78" s="30"/>
      <c r="B78" s="4"/>
      <c r="C78" s="4"/>
      <c r="D78" s="4"/>
      <c r="E78" s="32"/>
      <c r="F78" s="15"/>
      <c r="G78" s="15"/>
      <c r="H78" s="15"/>
      <c r="I78" s="15"/>
      <c r="J78" s="4"/>
      <c r="K78" s="4"/>
      <c r="L78" s="4"/>
      <c r="M78" s="4"/>
      <c r="N78" s="1"/>
      <c r="O78" s="17"/>
      <c r="P78" s="17"/>
      <c r="Q78" s="1"/>
      <c r="R78" s="1"/>
      <c r="S78" s="1"/>
    </row>
    <row r="79" spans="1:19" x14ac:dyDescent="0.2">
      <c r="A79" s="30"/>
      <c r="B79" s="4"/>
      <c r="C79" s="4"/>
      <c r="D79" s="4"/>
      <c r="E79" s="32"/>
      <c r="F79" s="15"/>
      <c r="G79" s="15"/>
      <c r="H79" s="15"/>
      <c r="I79" s="15"/>
      <c r="J79" s="4"/>
      <c r="K79" s="15"/>
      <c r="L79" s="4"/>
      <c r="M79" s="4"/>
      <c r="N79" s="1"/>
      <c r="O79" s="1"/>
      <c r="P79" s="17"/>
      <c r="Q79" s="1"/>
      <c r="R79" s="1"/>
      <c r="S79" s="1"/>
    </row>
    <row r="80" spans="1:19" x14ac:dyDescent="0.2">
      <c r="A80" s="30"/>
      <c r="B80" s="30"/>
      <c r="C80" s="30"/>
      <c r="D80" s="4"/>
      <c r="E80" s="4"/>
      <c r="F80" s="15"/>
      <c r="G80" s="15"/>
      <c r="H80" s="15"/>
      <c r="I80" s="15"/>
      <c r="J80" s="15"/>
      <c r="K80" s="4"/>
      <c r="L80" s="4"/>
      <c r="M80" s="4"/>
      <c r="N80" s="1"/>
      <c r="O80" s="1"/>
      <c r="P80" s="1"/>
      <c r="Q80" s="1"/>
      <c r="R80" s="1"/>
      <c r="S80" s="1"/>
    </row>
    <row r="81" spans="1:19" x14ac:dyDescent="0.2">
      <c r="A81" s="30"/>
      <c r="B81" s="30"/>
      <c r="C81" s="30"/>
      <c r="D81" s="4"/>
      <c r="E81" s="4"/>
      <c r="F81" s="15"/>
      <c r="G81" s="15"/>
      <c r="H81" s="15"/>
      <c r="I81" s="15"/>
      <c r="J81" s="15"/>
      <c r="K81" s="4"/>
      <c r="L81" s="4"/>
      <c r="M81" s="4"/>
      <c r="N81" s="1"/>
      <c r="O81" s="1"/>
      <c r="P81" s="1"/>
      <c r="Q81" s="1"/>
      <c r="R81" s="1"/>
      <c r="S81" s="1"/>
    </row>
    <row r="82" spans="1:19" x14ac:dyDescent="0.2">
      <c r="A82" s="30"/>
      <c r="B82" s="30"/>
      <c r="C82" s="30"/>
      <c r="D82" s="4"/>
      <c r="E82" s="4"/>
      <c r="F82" s="15"/>
      <c r="G82" s="15"/>
      <c r="H82" s="15"/>
      <c r="I82" s="15"/>
      <c r="J82" s="15"/>
      <c r="K82" s="4"/>
      <c r="L82" s="4"/>
      <c r="M82" s="4"/>
      <c r="N82" s="1"/>
      <c r="O82" s="1"/>
      <c r="P82" s="1"/>
      <c r="Q82" s="1"/>
      <c r="R82" s="1"/>
      <c r="S82" s="1"/>
    </row>
    <row r="83" spans="1:19" x14ac:dyDescent="0.2">
      <c r="A83" s="4"/>
      <c r="B83" s="4"/>
      <c r="C83" s="4"/>
      <c r="D83" s="4"/>
      <c r="E83" s="4"/>
      <c r="F83" s="15"/>
      <c r="G83" s="15"/>
      <c r="H83" s="15"/>
      <c r="I83" s="15"/>
      <c r="J83" s="4"/>
      <c r="K83" s="4"/>
      <c r="L83" s="4"/>
      <c r="M83" s="4"/>
      <c r="N83" s="17"/>
      <c r="O83" s="17"/>
      <c r="P83" s="17"/>
      <c r="Q83" s="17"/>
      <c r="R83" s="1"/>
      <c r="S83" s="1"/>
    </row>
    <row r="84" spans="1:19" x14ac:dyDescent="0.2">
      <c r="A84" s="4"/>
      <c r="B84" s="4"/>
      <c r="C84" s="4"/>
      <c r="D84" s="4"/>
      <c r="E84" s="4"/>
      <c r="F84" s="15"/>
      <c r="G84" s="15"/>
      <c r="H84" s="15"/>
      <c r="I84" s="15"/>
      <c r="J84" s="15"/>
      <c r="K84" s="15"/>
      <c r="L84" s="4"/>
      <c r="M84" s="4"/>
      <c r="N84" s="1"/>
      <c r="O84" s="17"/>
      <c r="P84" s="17"/>
      <c r="Q84" s="17"/>
      <c r="R84" s="1"/>
      <c r="S84" s="1"/>
    </row>
    <row r="85" spans="1:19" x14ac:dyDescent="0.2">
      <c r="A85" s="4"/>
      <c r="B85" s="4"/>
      <c r="C85" s="4"/>
      <c r="D85" s="4"/>
      <c r="E85" s="4"/>
      <c r="F85" s="15"/>
      <c r="G85" s="15"/>
      <c r="H85" s="15"/>
      <c r="I85" s="15"/>
      <c r="J85" s="15"/>
      <c r="K85" s="15"/>
      <c r="L85" s="4"/>
      <c r="M85" s="4"/>
      <c r="N85" s="1"/>
      <c r="O85" s="1"/>
      <c r="P85" s="17"/>
      <c r="Q85" s="17"/>
      <c r="R85" s="1"/>
      <c r="S85" s="1"/>
    </row>
    <row r="86" spans="1:19" x14ac:dyDescent="0.2">
      <c r="A86" s="4"/>
      <c r="B86" s="4"/>
      <c r="C86" s="4"/>
      <c r="D86" s="4"/>
      <c r="E86" s="4"/>
      <c r="F86" s="15"/>
      <c r="G86" s="15"/>
      <c r="H86" s="15"/>
      <c r="I86" s="15"/>
      <c r="J86" s="15"/>
      <c r="K86" s="15"/>
      <c r="L86" s="4"/>
      <c r="M86" s="4"/>
      <c r="N86" s="1"/>
      <c r="O86" s="1"/>
      <c r="P86" s="1"/>
      <c r="Q86" s="17"/>
      <c r="R86" s="1"/>
      <c r="S86" s="1"/>
    </row>
    <row r="87" spans="1:19" x14ac:dyDescent="0.2">
      <c r="A87" s="4"/>
      <c r="B87" s="4"/>
      <c r="C87" s="4"/>
      <c r="D87" s="4"/>
      <c r="E87" s="4"/>
      <c r="F87" s="15"/>
      <c r="G87" s="15"/>
      <c r="H87" s="15"/>
      <c r="I87" s="15"/>
      <c r="J87" s="15"/>
      <c r="K87" s="15"/>
      <c r="L87" s="4"/>
      <c r="M87" s="4"/>
      <c r="N87" s="1"/>
      <c r="O87" s="1"/>
      <c r="P87" s="1"/>
      <c r="Q87" s="1"/>
      <c r="R87" s="1"/>
      <c r="S87" s="1"/>
    </row>
    <row r="88" spans="1:19" x14ac:dyDescent="0.2">
      <c r="A88" s="4"/>
      <c r="B88" s="4"/>
      <c r="C88" s="4"/>
      <c r="D88" s="4"/>
      <c r="E88" s="4"/>
      <c r="F88" s="4"/>
      <c r="G88" s="15"/>
      <c r="H88" s="15"/>
      <c r="I88" s="15"/>
      <c r="J88" s="15"/>
      <c r="K88" s="15"/>
      <c r="L88" s="4"/>
      <c r="M88" s="4"/>
      <c r="N88" s="1"/>
      <c r="O88" s="1"/>
      <c r="P88" s="1"/>
      <c r="Q88" s="1"/>
      <c r="R88" s="1"/>
      <c r="S88" s="1"/>
    </row>
    <row r="89" spans="1:19" x14ac:dyDescent="0.2">
      <c r="A89" s="4"/>
      <c r="B89" s="4"/>
      <c r="C89" s="4"/>
      <c r="D89" s="4"/>
      <c r="E89" s="4"/>
      <c r="F89" s="4"/>
      <c r="G89" s="15"/>
      <c r="H89" s="15"/>
      <c r="I89" s="15"/>
      <c r="J89" s="15"/>
      <c r="K89" s="15"/>
      <c r="L89" s="4"/>
      <c r="M89" s="4"/>
      <c r="N89" s="1"/>
      <c r="O89" s="1"/>
      <c r="P89" s="1"/>
      <c r="Q89" s="1"/>
      <c r="R89" s="1"/>
      <c r="S89" s="1"/>
    </row>
    <row r="90" spans="1:19" x14ac:dyDescent="0.2">
      <c r="A90" s="14"/>
      <c r="B90" s="14"/>
      <c r="C90" s="14"/>
      <c r="D90" s="14"/>
      <c r="E90" s="14"/>
      <c r="F90" s="4"/>
      <c r="G90" s="4"/>
      <c r="H90" s="4"/>
      <c r="I90" s="4"/>
      <c r="J90" s="14"/>
      <c r="K90" s="14"/>
      <c r="L90" s="14"/>
      <c r="M90" s="14"/>
    </row>
    <row r="91" spans="1:19" x14ac:dyDescent="0.2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</row>
    <row r="92" spans="1:19" x14ac:dyDescent="0.2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</row>
    <row r="93" spans="1:19" x14ac:dyDescent="0.2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</row>
  </sheetData>
  <mergeCells count="8">
    <mergeCell ref="H65:I65"/>
    <mergeCell ref="L65:M65"/>
    <mergeCell ref="A3:F3"/>
    <mergeCell ref="A29:F29"/>
    <mergeCell ref="H55:I55"/>
    <mergeCell ref="L55:M55"/>
    <mergeCell ref="A53:M53"/>
    <mergeCell ref="A63:M63"/>
  </mergeCells>
  <phoneticPr fontId="2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Class 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2025-07-28T09:50:27Z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{A154B686-56A4-45F4-980F-C0D2191DC757}</vt:lpwstr>
  </property>
</Properties>
</file>