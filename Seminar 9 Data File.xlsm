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20"/>
  <workbookPr filterPrivacy="1" autoCompressPictures="0"/>
  <xr:revisionPtr revIDLastSave="0" documentId="13_ncr:1_{9BDF9477-1CFE-C849-82D2-D906B03F3AA4}" xr6:coauthVersionLast="47" xr6:coauthVersionMax="47" xr10:uidLastSave="{00000000-0000-0000-0000-000000000000}"/>
  <bookViews>
    <workbookView xWindow="0" yWindow="880" windowWidth="36000" windowHeight="22500" tabRatio="689" xr2:uid="{00000000-000D-0000-FFFF-FFFF00000000}"/>
  </bookViews>
  <sheets>
    <sheet name="Class 9" sheetId="9" r:id="rId1"/>
  </sheets>
  <definedNames>
    <definedName name="_xleta.EXP" hidden="1" xlm="1">#NAME?</definedName>
    <definedName name="cc">#REF!</definedName>
    <definedName name="cc_5">#REF!</definedName>
    <definedName name="h">#REF!</definedName>
    <definedName name="h_5">#REF!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rr">#REF!</definedName>
    <definedName name="rr_5">#REF!</definedName>
    <definedName name="S0">#REF!</definedName>
    <definedName name="sig">#REF!</definedName>
    <definedName name="sig_5">#REF!</definedName>
    <definedName name="SO_5">#REF!</definedName>
    <definedName name="T">#REF!</definedName>
    <definedName name="T_5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9" i="9" l="1"/>
  <c r="B49" i="9" s="1"/>
  <c r="D48" i="9"/>
  <c r="D49" i="9"/>
  <c r="D47" i="9"/>
  <c r="K41" i="9"/>
  <c r="K43" i="9"/>
  <c r="K42" i="9"/>
  <c r="D43" i="9"/>
  <c r="D41" i="9"/>
  <c r="J35" i="9"/>
  <c r="C42" i="9" s="1"/>
  <c r="J34" i="9"/>
  <c r="C41" i="9" s="1"/>
  <c r="I34" i="9"/>
  <c r="B41" i="9" s="1"/>
  <c r="K35" i="9"/>
  <c r="D42" i="9" s="1"/>
  <c r="K36" i="9"/>
  <c r="K34" i="9"/>
  <c r="J15" i="9"/>
  <c r="J14" i="9"/>
  <c r="I14" i="9"/>
  <c r="K15" i="9"/>
  <c r="K16" i="9"/>
  <c r="K14" i="9"/>
  <c r="E67" i="9"/>
  <c r="E68" i="9"/>
  <c r="E69" i="9"/>
  <c r="E70" i="9"/>
  <c r="D68" i="9" l="1"/>
  <c r="D69" i="9"/>
  <c r="D67" i="9" l="1"/>
  <c r="C67" i="9" l="1"/>
  <c r="C68" i="9"/>
  <c r="B67" i="9" l="1"/>
  <c r="B57" i="9"/>
  <c r="B21" i="9"/>
  <c r="E24" i="9"/>
  <c r="E60" i="9"/>
  <c r="D58" i="9"/>
  <c r="D22" i="9"/>
  <c r="C57" i="9"/>
  <c r="C21" i="9"/>
  <c r="C58" i="9"/>
  <c r="C22" i="9"/>
  <c r="D57" i="9"/>
  <c r="D21" i="9"/>
  <c r="E59" i="9"/>
  <c r="E23" i="9"/>
  <c r="D23" i="9"/>
  <c r="D59" i="9"/>
  <c r="E21" i="9"/>
  <c r="E57" i="9"/>
  <c r="E22" i="9"/>
  <c r="E58" i="9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<sst xmlns="http://schemas.openxmlformats.org/spreadsheetml/2006/main" count="84" uniqueCount="27">
  <si>
    <t>i = 2</t>
  </si>
  <si>
    <t>i = 1</t>
  </si>
  <si>
    <t>i = 0</t>
  </si>
  <si>
    <t>Exercise 12.1</t>
    <phoneticPr fontId="2" type="noConversion"/>
  </si>
  <si>
    <t>Option to Call</t>
  </si>
  <si>
    <t>Exercise 12.2</t>
    <phoneticPr fontId="2" type="noConversion"/>
  </si>
  <si>
    <t>i = 3</t>
  </si>
  <si>
    <t>Delta</t>
  </si>
  <si>
    <t>Risk-neutral Probability &amp; Time Interval</t>
  </si>
  <si>
    <t>p*</t>
  </si>
  <si>
    <t>1-p*</t>
  </si>
  <si>
    <t>Interest Rate Tree (c.c.)</t>
  </si>
  <si>
    <t>Interest Rate Tree (a.c.)</t>
  </si>
  <si>
    <t>Non-callable Bond Coupon</t>
  </si>
  <si>
    <t xml:space="preserve">c = </t>
  </si>
  <si>
    <t>Non-callable Bond Price</t>
  </si>
  <si>
    <t>Callable Bond Price</t>
  </si>
  <si>
    <t>Swap Cash Flow</t>
  </si>
  <si>
    <t>Swap Valuation</t>
  </si>
  <si>
    <t>Swaption (American) Valuation</t>
  </si>
  <si>
    <t>Prepayment Risk</t>
  </si>
  <si>
    <t>Option to Call (from the previous question)</t>
  </si>
  <si>
    <t>N1 (1-yr ZCBs rolling over periods)</t>
  </si>
  <si>
    <t>N2 (Swaption)</t>
  </si>
  <si>
    <t>Interest Rate Risk</t>
  </si>
  <si>
    <t>Callable Bond Price (from the previous question)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</si>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</sst>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0"/>
    <numFmt numFmtId="165" formatCode="0.0000"/>
  </numFmts>
  <fonts count="15" x14ac:knownFonts="1"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3"/>
      <charset val="134"/>
      <scheme val="minor"/>
    </font>
    <font>
      <sz val="8"/>
      <name val="Calibri"/>
      <family val="2"/>
    </font>
    <font>
      <sz val="10"/>
      <name val="Arial"/>
      <family val="2"/>
    </font>
    <font>
      <u/>
      <sz val="11"/>
      <color theme="10"/>
      <name val="Calibri"/>
      <family val="2"/>
      <charset val="134"/>
      <scheme val="minor"/>
    </font>
    <font>
      <u/>
      <sz val="11"/>
      <color theme="1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1"/>
      <color theme="1"/>
      <name val="Times New Roman"/>
      <family val="1"/>
    </font>
    <font>
      <b/>
      <sz val="10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13"/>
        <bgColor indexed="64"/>
      </patternFill>
    </fill>
  </fills>
  <borders count="11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dashDot">
        <color auto="1"/>
      </bottom>
      <diagonal/>
    </border>
    <border>
      <left/>
      <right/>
      <top style="medium">
        <color auto="1"/>
      </top>
      <bottom style="dashDot">
        <color auto="1"/>
      </bottom>
      <diagonal/>
    </border>
    <border>
      <left/>
      <right style="medium">
        <color auto="1"/>
      </right>
      <top style="medium">
        <color auto="1"/>
      </top>
      <bottom style="dashDot">
        <color auto="1"/>
      </bottom>
      <diagonal/>
    </border>
    <border>
      <left style="medium">
        <color auto="1"/>
      </left>
      <right/>
      <top style="dashDot">
        <color auto="1"/>
      </top>
      <bottom style="medium">
        <color auto="1"/>
      </bottom>
      <diagonal/>
    </border>
    <border>
      <left/>
      <right/>
      <top style="dashDot">
        <color auto="1"/>
      </top>
      <bottom style="medium">
        <color auto="1"/>
      </bottom>
      <diagonal/>
    </border>
    <border>
      <left/>
      <right style="medium">
        <color auto="1"/>
      </right>
      <top style="dashDot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27">
    <xf numFmtId="0" fontId="0" fillId="0" borderId="0">
      <alignment vertical="center"/>
    </xf>
    <xf numFmtId="0" fontId="1" fillId="0" borderId="0"/>
    <xf numFmtId="0" fontId="3" fillId="0" borderId="0"/>
    <xf numFmtId="0" fontId="3" fillId="0" borderId="0"/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9" fontId="6" fillId="0" borderId="0" applyFont="0" applyFill="0" applyBorder="0" applyAlignment="0" applyProtection="0"/>
  </cellStyleXfs>
  <cellXfs count="38">
    <xf numFmtId="0" fontId="0" fillId="0" borderId="0" xfId="0">
      <alignment vertical="center"/>
    </xf>
    <xf numFmtId="0" fontId="9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left" vertical="center"/>
    </xf>
    <xf numFmtId="2" fontId="9" fillId="0" borderId="0" xfId="2" applyNumberFormat="1" applyFont="1" applyAlignment="1">
      <alignment horizontal="center" vertical="center"/>
    </xf>
    <xf numFmtId="10" fontId="9" fillId="0" borderId="0" xfId="2" applyNumberFormat="1" applyFont="1" applyAlignment="1">
      <alignment horizontal="center" vertical="center"/>
    </xf>
    <xf numFmtId="10" fontId="9" fillId="0" borderId="0" xfId="26" applyNumberFormat="1" applyFont="1" applyFill="1" applyAlignment="1">
      <alignment horizontal="center" vertical="center"/>
    </xf>
    <xf numFmtId="10" fontId="9" fillId="3" borderId="0" xfId="26" applyNumberFormat="1" applyFont="1" applyFill="1" applyAlignment="1">
      <alignment horizontal="center" vertical="center"/>
    </xf>
    <xf numFmtId="10" fontId="9" fillId="0" borderId="0" xfId="26" applyNumberFormat="1" applyFont="1" applyAlignment="1">
      <alignment horizontal="center" vertical="center"/>
    </xf>
    <xf numFmtId="0" fontId="12" fillId="2" borderId="0" xfId="1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2" fillId="0" borderId="0" xfId="1" applyFont="1" applyAlignment="1">
      <alignment horizontal="center" vertical="center"/>
    </xf>
    <xf numFmtId="4" fontId="9" fillId="0" borderId="0" xfId="2" applyNumberFormat="1" applyFont="1" applyAlignment="1">
      <alignment horizontal="center" vertical="center"/>
    </xf>
    <xf numFmtId="2" fontId="11" fillId="0" borderId="0" xfId="0" applyNumberFormat="1" applyFont="1" applyAlignment="1">
      <alignment horizontal="center" vertical="center"/>
    </xf>
    <xf numFmtId="165" fontId="9" fillId="0" borderId="0" xfId="2" applyNumberFormat="1" applyFont="1" applyAlignment="1">
      <alignment horizontal="center" vertical="center"/>
    </xf>
    <xf numFmtId="0" fontId="7" fillId="2" borderId="0" xfId="1" applyFont="1" applyFill="1" applyAlignment="1">
      <alignment horizontal="left" vertical="center"/>
    </xf>
    <xf numFmtId="0" fontId="9" fillId="0" borderId="4" xfId="2" applyFont="1" applyBorder="1" applyAlignment="1">
      <alignment horizontal="center" vertical="center"/>
    </xf>
    <xf numFmtId="2" fontId="9" fillId="0" borderId="5" xfId="2" applyNumberFormat="1" applyFont="1" applyBorder="1" applyAlignment="1">
      <alignment horizontal="center" vertical="center"/>
    </xf>
    <xf numFmtId="0" fontId="9" fillId="0" borderId="5" xfId="2" applyFont="1" applyBorder="1" applyAlignment="1">
      <alignment horizontal="center" vertical="center"/>
    </xf>
    <xf numFmtId="2" fontId="9" fillId="0" borderId="6" xfId="2" applyNumberFormat="1" applyFont="1" applyBorder="1" applyAlignment="1">
      <alignment horizontal="center" vertical="center"/>
    </xf>
    <xf numFmtId="0" fontId="7" fillId="0" borderId="0" xfId="1" applyFont="1" applyAlignment="1">
      <alignment horizontal="left" vertical="center"/>
    </xf>
    <xf numFmtId="3" fontId="9" fillId="0" borderId="0" xfId="2" applyNumberFormat="1" applyFont="1" applyAlignment="1">
      <alignment horizontal="center" vertical="center"/>
    </xf>
    <xf numFmtId="164" fontId="9" fillId="0" borderId="0" xfId="2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9" fillId="0" borderId="7" xfId="2" applyFont="1" applyBorder="1" applyAlignment="1">
      <alignment horizontal="center" vertical="center"/>
    </xf>
    <xf numFmtId="0" fontId="9" fillId="0" borderId="8" xfId="2" applyFont="1" applyBorder="1" applyAlignment="1">
      <alignment horizontal="center" vertical="center"/>
    </xf>
    <xf numFmtId="165" fontId="9" fillId="0" borderId="7" xfId="2" applyNumberFormat="1" applyFont="1" applyBorder="1" applyAlignment="1">
      <alignment horizontal="center" vertical="center"/>
    </xf>
    <xf numFmtId="165" fontId="9" fillId="0" borderId="8" xfId="2" applyNumberFormat="1" applyFont="1" applyBorder="1" applyAlignment="1">
      <alignment horizontal="center" vertical="center"/>
    </xf>
    <xf numFmtId="165" fontId="9" fillId="0" borderId="9" xfId="2" applyNumberFormat="1" applyFont="1" applyBorder="1" applyAlignment="1">
      <alignment horizontal="center" vertical="center"/>
    </xf>
    <xf numFmtId="165" fontId="9" fillId="0" borderId="10" xfId="2" applyNumberFormat="1" applyFont="1" applyBorder="1" applyAlignment="1">
      <alignment horizontal="center" vertical="center"/>
    </xf>
    <xf numFmtId="4" fontId="9" fillId="0" borderId="1" xfId="2" applyNumberFormat="1" applyFont="1" applyBorder="1" applyAlignment="1">
      <alignment horizontal="center" vertical="center" wrapText="1"/>
    </xf>
    <xf numFmtId="4" fontId="9" fillId="0" borderId="3" xfId="2" applyNumberFormat="1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4" fillId="0" borderId="1" xfId="1" applyFont="1" applyBorder="1" applyAlignment="1">
      <alignment horizontal="center" vertical="center"/>
    </xf>
    <xf numFmtId="0" fontId="14" fillId="0" borderId="2" xfId="1" applyFont="1" applyBorder="1" applyAlignment="1">
      <alignment horizontal="center" vertical="center"/>
    </xf>
    <xf numFmtId="0" fontId="14" fillId="0" borderId="3" xfId="1" applyFont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</cellXfs>
  <cellStyles count="27"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Normal" xfId="0" builtinId="0"/>
    <cellStyle name="Normal 2" xfId="2" xr:uid="{00000000-0005-0000-0000-000000000000}"/>
    <cellStyle name="Normal 3" xfId="1" xr:uid="{00000000-0005-0000-0000-000001000000}"/>
    <cellStyle name="Percent" xfId="26" builtinId="5"/>
    <cellStyle name="표준 2" xfId="3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Types" Target="richData/rdRichValueTypes.xml"/><Relationship Id="rId3" Type="http://schemas.openxmlformats.org/officeDocument/2006/relationships/styles" Target="styles.xml"/><Relationship Id="rId7" Type="http://schemas.microsoft.com/office/2017/06/relationships/rdRichValueStructure" Target="richData/rdrichvaluestructure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06/relationships/rdRichValue" Target="richData/rdrichvalue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Relationship Id="rId9" Type="http://schemas.openxmlformats.org/officeDocument/2006/relationships/calcChain" Target="calcChain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24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90"/>
  <sheetViews>
    <sheetView tabSelected="1" topLeftCell="A18" zoomScale="200" workbookViewId="0">
      <selection activeCell="B47" sqref="B47"/>
    </sheetView>
  </sheetViews>
  <sheetFormatPr baseColWidth="10" defaultColWidth="8.83203125" defaultRowHeight="14" x14ac:dyDescent="0.2"/>
  <cols>
    <col min="1" max="16384" width="8.83203125" style="10"/>
  </cols>
  <sheetData>
    <row r="1" spans="1:12" ht="16" x14ac:dyDescent="0.2">
      <c r="A1" s="15" t="s">
        <v>3</v>
      </c>
      <c r="B1" s="9"/>
    </row>
    <row r="2" spans="1:12" ht="17" thickBot="1" x14ac:dyDescent="0.25">
      <c r="A2" s="11"/>
      <c r="B2" s="11"/>
    </row>
    <row r="3" spans="1:12" x14ac:dyDescent="0.2">
      <c r="A3" s="34" t="s">
        <v>8</v>
      </c>
      <c r="B3" s="35"/>
      <c r="C3" s="35"/>
      <c r="D3" s="35"/>
      <c r="E3" s="35"/>
      <c r="F3" s="36"/>
    </row>
    <row r="4" spans="1:12" ht="15" thickBot="1" x14ac:dyDescent="0.25">
      <c r="A4" s="16" t="s">
        <v>7</v>
      </c>
      <c r="B4" s="17">
        <v>1</v>
      </c>
      <c r="C4" s="18" t="s">
        <v>9</v>
      </c>
      <c r="D4" s="17">
        <v>0.5</v>
      </c>
      <c r="E4" s="18" t="s">
        <v>10</v>
      </c>
      <c r="F4" s="19">
        <v>0.5</v>
      </c>
      <c r="G4" s="1"/>
      <c r="H4" s="1"/>
      <c r="I4" s="1"/>
    </row>
    <row r="5" spans="1:12" x14ac:dyDescent="0.2">
      <c r="A5" s="1"/>
      <c r="B5" s="4"/>
      <c r="C5" s="1"/>
      <c r="D5" s="4"/>
      <c r="E5" s="1"/>
      <c r="F5" s="4"/>
      <c r="G5" s="1"/>
      <c r="H5" s="1"/>
      <c r="I5" s="1"/>
    </row>
    <row r="6" spans="1:12" x14ac:dyDescent="0.2">
      <c r="A6" s="3" t="s">
        <v>11</v>
      </c>
      <c r="B6" s="1"/>
      <c r="C6" s="1"/>
      <c r="D6" s="1"/>
      <c r="E6" s="1"/>
      <c r="F6" s="12"/>
      <c r="G6" s="12"/>
      <c r="H6" s="12"/>
      <c r="I6" s="12"/>
    </row>
    <row r="7" spans="1:12" x14ac:dyDescent="0.2">
      <c r="A7" s="1"/>
      <c r="B7" s="1" t="s">
        <v>2</v>
      </c>
      <c r="C7" s="1" t="s">
        <v>1</v>
      </c>
      <c r="D7" s="1" t="s">
        <v>0</v>
      </c>
      <c r="E7" s="1"/>
      <c r="F7" s="12"/>
      <c r="G7" s="12"/>
      <c r="H7" s="12"/>
      <c r="I7" s="12"/>
    </row>
    <row r="8" spans="1:12" x14ac:dyDescent="0.2">
      <c r="A8" s="1"/>
      <c r="B8" s="7">
        <v>0.05</v>
      </c>
      <c r="C8" s="7">
        <v>5.5E-2</v>
      </c>
      <c r="D8" s="7">
        <v>0.06</v>
      </c>
      <c r="E8" s="1"/>
      <c r="F8" s="12"/>
      <c r="G8" s="12"/>
      <c r="H8" s="12"/>
      <c r="I8" s="12"/>
    </row>
    <row r="9" spans="1:12" x14ac:dyDescent="0.2">
      <c r="A9" s="1"/>
      <c r="B9" s="8"/>
      <c r="C9" s="7">
        <v>4.7E-2</v>
      </c>
      <c r="D9" s="7">
        <v>0.05</v>
      </c>
      <c r="E9" s="1"/>
      <c r="F9" s="12"/>
      <c r="G9" s="12"/>
      <c r="H9" s="12"/>
      <c r="I9" s="12"/>
    </row>
    <row r="10" spans="1:12" x14ac:dyDescent="0.2">
      <c r="A10" s="1"/>
      <c r="B10" s="8"/>
      <c r="C10" s="8"/>
      <c r="D10" s="7">
        <v>4.4999999999999998E-2</v>
      </c>
      <c r="E10" s="1"/>
      <c r="F10" s="12"/>
      <c r="G10" s="12"/>
      <c r="H10" s="12"/>
      <c r="I10" s="12"/>
    </row>
    <row r="11" spans="1:12" x14ac:dyDescent="0.2">
      <c r="A11" s="1"/>
      <c r="B11" s="1"/>
      <c r="C11" s="1"/>
      <c r="D11" s="1"/>
      <c r="E11" s="1"/>
      <c r="F11" s="12"/>
      <c r="G11" s="12"/>
      <c r="H11" s="12"/>
      <c r="I11" s="12"/>
    </row>
    <row r="12" spans="1:12" x14ac:dyDescent="0.2">
      <c r="A12" s="3" t="s">
        <v>13</v>
      </c>
      <c r="B12" s="1"/>
      <c r="C12" s="1"/>
      <c r="D12" s="1" t="s">
        <v>14</v>
      </c>
      <c r="E12" s="5">
        <v>5.2499999999999998E-2</v>
      </c>
      <c r="F12" s="12"/>
      <c r="G12" s="12"/>
      <c r="H12" s="3" t="s">
        <v>15</v>
      </c>
      <c r="I12" s="1"/>
      <c r="J12" s="1"/>
      <c r="K12" s="1"/>
      <c r="L12" s="1"/>
    </row>
    <row r="13" spans="1:12" x14ac:dyDescent="0.2">
      <c r="A13" s="1"/>
      <c r="B13" s="1" t="s">
        <v>2</v>
      </c>
      <c r="C13" s="1" t="s">
        <v>1</v>
      </c>
      <c r="D13" s="1" t="s">
        <v>0</v>
      </c>
      <c r="E13" s="1" t="s">
        <v>6</v>
      </c>
      <c r="F13" s="12"/>
      <c r="G13" s="12"/>
      <c r="H13" s="1"/>
      <c r="I13" s="1" t="s">
        <v>2</v>
      </c>
      <c r="J13" s="1" t="s">
        <v>1</v>
      </c>
      <c r="K13" s="1" t="s">
        <v>0</v>
      </c>
      <c r="L13" s="1" t="s">
        <v>6</v>
      </c>
    </row>
    <row r="14" spans="1:12" x14ac:dyDescent="0.2">
      <c r="A14" s="1"/>
      <c r="B14" s="5">
        <v>5.25</v>
      </c>
      <c r="C14" s="5">
        <v>5.25</v>
      </c>
      <c r="D14" s="5">
        <v>5.25</v>
      </c>
      <c r="E14" s="1"/>
      <c r="F14" s="12"/>
      <c r="G14" s="12"/>
      <c r="H14" s="1"/>
      <c r="I14" s="4">
        <f>+EXP(-D8*1)*($D$4*L14+$F$4*L15+D14)</f>
        <v>99.120717159742185</v>
      </c>
      <c r="J14" s="4">
        <f>+EXP(-D8*1)*($D$4*L14+$F$4*L15+D14)</f>
        <v>99.120717159742185</v>
      </c>
      <c r="K14" s="4">
        <f>+EXP(-D8*1)*($D$4*L14+$F$4*L15+D14)</f>
        <v>99.120717159742185</v>
      </c>
      <c r="L14" s="4">
        <v>100</v>
      </c>
    </row>
    <row r="15" spans="1:12" x14ac:dyDescent="0.2">
      <c r="A15" s="1"/>
      <c r="B15" s="1"/>
      <c r="C15" s="5">
        <v>5.25</v>
      </c>
      <c r="D15" s="5">
        <v>5.25</v>
      </c>
      <c r="E15" s="1"/>
      <c r="F15" s="12"/>
      <c r="G15" s="12"/>
      <c r="H15" s="1"/>
      <c r="I15" s="4"/>
      <c r="J15" s="4">
        <f>+EXP(-D9*1)*($D$4*L15+$F$4*L16+D15)</f>
        <v>100.11689692870014</v>
      </c>
      <c r="K15" s="4">
        <f t="shared" ref="K15:K16" si="0">+EXP(-D9*1)*($D$4*L15+$F$4*L16+D15)</f>
        <v>100.11689692870014</v>
      </c>
      <c r="L15" s="4">
        <v>100</v>
      </c>
    </row>
    <row r="16" spans="1:12" x14ac:dyDescent="0.2">
      <c r="A16" s="1"/>
      <c r="B16" s="1"/>
      <c r="C16" s="1"/>
      <c r="D16" s="5">
        <v>5.25</v>
      </c>
      <c r="E16" s="1"/>
      <c r="F16" s="12"/>
      <c r="G16" s="12"/>
      <c r="H16" s="1"/>
      <c r="I16" s="4"/>
      <c r="J16" s="4"/>
      <c r="K16" s="4">
        <f t="shared" si="0"/>
        <v>100.61873496293377</v>
      </c>
      <c r="L16" s="4">
        <v>100</v>
      </c>
    </row>
    <row r="17" spans="1:12" x14ac:dyDescent="0.2">
      <c r="A17" s="1"/>
      <c r="B17" s="1"/>
      <c r="C17" s="1"/>
      <c r="D17" s="1"/>
      <c r="E17" s="1"/>
      <c r="F17" s="12"/>
      <c r="G17" s="12"/>
      <c r="H17" s="1"/>
      <c r="I17" s="4"/>
      <c r="J17" s="1"/>
      <c r="K17" s="1"/>
      <c r="L17" s="4">
        <v>100</v>
      </c>
    </row>
    <row r="18" spans="1:12" x14ac:dyDescent="0.2">
      <c r="F18" s="12"/>
      <c r="G18" s="12"/>
      <c r="I18" s="13"/>
    </row>
    <row r="19" spans="1:12" x14ac:dyDescent="0.2">
      <c r="A19" s="3" t="s">
        <v>4</v>
      </c>
      <c r="B19" s="1"/>
      <c r="C19" s="1"/>
      <c r="D19" s="1"/>
      <c r="E19" s="1"/>
      <c r="F19" s="12"/>
      <c r="G19" s="12"/>
      <c r="H19" s="3" t="s">
        <v>16</v>
      </c>
      <c r="I19" s="1"/>
      <c r="J19" s="1"/>
      <c r="K19" s="1"/>
      <c r="L19" s="1"/>
    </row>
    <row r="20" spans="1:12" x14ac:dyDescent="0.2">
      <c r="A20" s="1"/>
      <c r="B20" s="1" t="s">
        <v>2</v>
      </c>
      <c r="C20" s="1" t="s">
        <v>1</v>
      </c>
      <c r="D20" s="1" t="s">
        <v>0</v>
      </c>
      <c r="E20" s="1" t="s">
        <v>6</v>
      </c>
      <c r="F20" s="12"/>
      <c r="G20" s="12"/>
      <c r="H20" s="1"/>
      <c r="I20" s="1" t="s">
        <v>2</v>
      </c>
      <c r="J20" s="1" t="s">
        <v>1</v>
      </c>
      <c r="K20" s="1" t="s">
        <v>0</v>
      </c>
      <c r="L20" s="1" t="s">
        <v>6</v>
      </c>
    </row>
    <row r="21" spans="1:12" x14ac:dyDescent="0.2">
      <c r="A21" s="1"/>
      <c r="B21" s="4">
        <f ca="1">MAX(0,K14-100,EXP(-D8*1)*(0.5*E21+0.5*E22))</f>
        <v>0</v>
      </c>
      <c r="C21" s="4">
        <f ca="1">MAX(0,K14-100,EXP(-D8*1)*(0.5*E21+0.5*E22))</f>
        <v>0</v>
      </c>
      <c r="D21" s="4">
        <f ca="1">MAX(0,K14-100,EXP(-D8*1)*(0.5*E21+0.5*E22))</f>
        <v>0</v>
      </c>
      <c r="E21" s="4">
        <f ca="1">MAX(0,K14-100,EXP(-D8*1)*(0.5*E21+0.5*E22))</f>
        <v>0</v>
      </c>
      <c r="F21" s="12"/>
      <c r="G21" s="12"/>
      <c r="H21" s="1"/>
      <c r="I21" s="4"/>
      <c r="J21" s="4"/>
      <c r="K21" s="4"/>
      <c r="L21" s="4"/>
    </row>
    <row r="22" spans="1:12" x14ac:dyDescent="0.2">
      <c r="A22" s="1"/>
      <c r="B22" s="4"/>
      <c r="C22" s="4">
        <f ca="1">MAX(0,K15-100,EXP(-D9*1)*(0.5*E22+0.5*E23))</f>
        <v>0</v>
      </c>
      <c r="D22" s="4">
        <f t="shared" ref="D22:D23" ca="1" si="1">MAX(0,K15-100,EXP(-D9*1)*(0.5*E22+0.5*E23))</f>
        <v>0</v>
      </c>
      <c r="E22" s="4">
        <f t="shared" ref="E22:E24" ca="1" si="2">MAX(0,K15-100,EXP(-D9*1)*(0.5*E22+0.5*E23))</f>
        <v>0</v>
      </c>
      <c r="F22" s="12"/>
      <c r="G22" s="12"/>
      <c r="H22" s="1"/>
      <c r="I22" s="4"/>
      <c r="J22" s="4"/>
      <c r="K22" s="4"/>
      <c r="L22" s="4"/>
    </row>
    <row r="23" spans="1:12" x14ac:dyDescent="0.2">
      <c r="A23" s="1"/>
      <c r="B23" s="4"/>
      <c r="C23" s="4"/>
      <c r="D23" s="4">
        <f t="shared" ca="1" si="1"/>
        <v>0</v>
      </c>
      <c r="E23" s="4">
        <f t="shared" ca="1" si="2"/>
        <v>0</v>
      </c>
      <c r="F23" s="12"/>
      <c r="G23" s="12"/>
      <c r="H23" s="1"/>
      <c r="I23" s="4"/>
      <c r="J23" s="4"/>
      <c r="K23" s="4"/>
      <c r="L23" s="4"/>
    </row>
    <row r="24" spans="1:12" x14ac:dyDescent="0.2">
      <c r="A24" s="1"/>
      <c r="B24" s="1"/>
      <c r="C24" s="1"/>
      <c r="D24" s="1"/>
      <c r="E24" s="4">
        <f t="shared" ca="1" si="2"/>
        <v>0</v>
      </c>
      <c r="F24" s="12"/>
      <c r="G24" s="12"/>
      <c r="H24" s="1"/>
      <c r="I24" s="4"/>
      <c r="J24" s="4"/>
      <c r="K24" s="4"/>
      <c r="L24" s="4"/>
    </row>
    <row r="25" spans="1:12" x14ac:dyDescent="0.2">
      <c r="A25" s="1"/>
      <c r="B25" s="1"/>
      <c r="C25" s="1"/>
      <c r="D25" s="1"/>
      <c r="E25" s="4"/>
      <c r="F25" s="12"/>
      <c r="G25" s="12"/>
      <c r="I25" s="13"/>
    </row>
    <row r="27" spans="1:12" ht="16" x14ac:dyDescent="0.2">
      <c r="A27" s="15" t="s">
        <v>5</v>
      </c>
      <c r="B27" s="9"/>
    </row>
    <row r="28" spans="1:12" ht="17" thickBot="1" x14ac:dyDescent="0.25">
      <c r="A28" s="20"/>
      <c r="B28" s="11"/>
    </row>
    <row r="29" spans="1:12" x14ac:dyDescent="0.2">
      <c r="A29" s="34" t="s">
        <v>8</v>
      </c>
      <c r="B29" s="35"/>
      <c r="C29" s="35"/>
      <c r="D29" s="35"/>
      <c r="E29" s="35"/>
      <c r="F29" s="36"/>
    </row>
    <row r="30" spans="1:12" ht="15" thickBot="1" x14ac:dyDescent="0.25">
      <c r="A30" s="16" t="s">
        <v>7</v>
      </c>
      <c r="B30" s="17">
        <v>1</v>
      </c>
      <c r="C30" s="18" t="s">
        <v>9</v>
      </c>
      <c r="D30" s="17">
        <v>0.5</v>
      </c>
      <c r="E30" s="18" t="s">
        <v>10</v>
      </c>
      <c r="F30" s="19">
        <v>0.5</v>
      </c>
      <c r="G30" s="1"/>
      <c r="H30" s="1"/>
      <c r="I30" s="1"/>
    </row>
    <row r="31" spans="1:12" x14ac:dyDescent="0.2">
      <c r="A31" s="1"/>
      <c r="B31" s="4"/>
      <c r="C31" s="1"/>
      <c r="D31" s="4"/>
      <c r="E31" s="1"/>
      <c r="F31" s="4"/>
      <c r="G31" s="1"/>
      <c r="H31" s="1"/>
      <c r="I31" s="1"/>
    </row>
    <row r="32" spans="1:12" x14ac:dyDescent="0.2">
      <c r="A32" s="3" t="s">
        <v>11</v>
      </c>
      <c r="B32" s="1"/>
      <c r="C32" s="1"/>
      <c r="D32" s="1"/>
      <c r="E32" s="1"/>
      <c r="F32" s="12"/>
      <c r="G32" s="12"/>
      <c r="H32" s="3" t="s">
        <v>12</v>
      </c>
      <c r="I32" s="1"/>
      <c r="J32" s="1"/>
      <c r="K32" s="1"/>
    </row>
    <row r="33" spans="1:12" x14ac:dyDescent="0.2">
      <c r="A33" s="1"/>
      <c r="B33" s="1" t="s">
        <v>2</v>
      </c>
      <c r="C33" s="1" t="s">
        <v>1</v>
      </c>
      <c r="D33" s="1" t="s">
        <v>0</v>
      </c>
      <c r="E33" s="1"/>
      <c r="F33" s="12"/>
      <c r="G33" s="12"/>
      <c r="H33" s="2"/>
      <c r="I33" s="1" t="s">
        <v>2</v>
      </c>
      <c r="J33" s="1" t="s">
        <v>1</v>
      </c>
      <c r="K33" s="1" t="s">
        <v>0</v>
      </c>
    </row>
    <row r="34" spans="1:12" x14ac:dyDescent="0.2">
      <c r="A34" s="1"/>
      <c r="B34" s="7">
        <v>0.05</v>
      </c>
      <c r="C34" s="7">
        <v>5.5E-2</v>
      </c>
      <c r="D34" s="7">
        <v>0.06</v>
      </c>
      <c r="E34" s="1"/>
      <c r="F34" s="12"/>
      <c r="G34" s="12"/>
      <c r="H34" s="1"/>
      <c r="I34" s="6">
        <f>EXP(B34)-1</f>
        <v>5.1271096376024117E-2</v>
      </c>
      <c r="J34" s="6">
        <f>EXP(C34)-1</f>
        <v>5.6540614675494316E-2</v>
      </c>
      <c r="K34" s="6">
        <f>EXP(D34)-1</f>
        <v>6.1836546545359639E-2</v>
      </c>
    </row>
    <row r="35" spans="1:12" x14ac:dyDescent="0.2">
      <c r="A35" s="1"/>
      <c r="B35" s="8"/>
      <c r="C35" s="7">
        <v>4.7E-2</v>
      </c>
      <c r="D35" s="7">
        <v>0.05</v>
      </c>
      <c r="E35" s="1"/>
      <c r="F35" s="12"/>
      <c r="G35" s="12"/>
      <c r="H35" s="1"/>
      <c r="I35" s="6"/>
      <c r="J35" s="6">
        <f>EXP(C35)-1</f>
        <v>4.8122009079655692E-2</v>
      </c>
      <c r="K35" s="6">
        <f t="shared" ref="K35:K36" si="3">EXP(D35)-1</f>
        <v>5.1271096376024117E-2</v>
      </c>
    </row>
    <row r="36" spans="1:12" x14ac:dyDescent="0.2">
      <c r="A36" s="1"/>
      <c r="B36" s="8"/>
      <c r="C36" s="8"/>
      <c r="D36" s="7">
        <v>4.4999999999999998E-2</v>
      </c>
      <c r="E36" s="1"/>
      <c r="F36" s="12"/>
      <c r="G36" s="12"/>
      <c r="H36" s="1"/>
      <c r="I36" s="6"/>
      <c r="J36" s="6"/>
      <c r="K36" s="6">
        <f t="shared" si="3"/>
        <v>4.6027859908716939E-2</v>
      </c>
    </row>
    <row r="37" spans="1:12" x14ac:dyDescent="0.2">
      <c r="A37" s="1"/>
      <c r="B37" s="1"/>
      <c r="C37" s="1"/>
      <c r="D37" s="1"/>
      <c r="E37" s="1"/>
      <c r="F37" s="12"/>
      <c r="G37" s="12"/>
    </row>
    <row r="38" spans="1:12" x14ac:dyDescent="0.2">
      <c r="A38" s="1"/>
      <c r="B38" s="1"/>
      <c r="C38" s="1"/>
      <c r="D38" s="1"/>
      <c r="E38" s="1"/>
      <c r="F38" s="12"/>
      <c r="G38" s="12"/>
    </row>
    <row r="39" spans="1:12" x14ac:dyDescent="0.2">
      <c r="A39" s="3" t="s">
        <v>17</v>
      </c>
      <c r="B39" s="1"/>
      <c r="C39" s="1"/>
      <c r="D39" s="1" t="s">
        <v>14</v>
      </c>
      <c r="E39" s="5">
        <v>5.2499999999999998E-2</v>
      </c>
      <c r="F39" s="12"/>
      <c r="G39" s="12"/>
      <c r="H39" s="3" t="s">
        <v>18</v>
      </c>
      <c r="I39" s="1"/>
      <c r="J39" s="1"/>
      <c r="K39" s="1"/>
      <c r="L39" s="5"/>
    </row>
    <row r="40" spans="1:12" x14ac:dyDescent="0.2">
      <c r="A40" s="1"/>
      <c r="B40" s="1" t="s">
        <v>2</v>
      </c>
      <c r="C40" s="1" t="s">
        <v>1</v>
      </c>
      <c r="D40" s="1" t="s">
        <v>0</v>
      </c>
      <c r="E40" s="1" t="s">
        <v>6</v>
      </c>
      <c r="F40" s="12"/>
      <c r="G40" s="12"/>
      <c r="H40" s="1"/>
      <c r="I40" s="1" t="s">
        <v>2</v>
      </c>
      <c r="J40" s="1" t="s">
        <v>1</v>
      </c>
      <c r="K40" s="1" t="s">
        <v>0</v>
      </c>
      <c r="L40" s="1" t="s">
        <v>6</v>
      </c>
    </row>
    <row r="41" spans="1:12" x14ac:dyDescent="0.2">
      <c r="A41" s="1"/>
      <c r="B41" s="14">
        <f>100*1*($E$39-I34)</f>
        <v>0.12289036239758813</v>
      </c>
      <c r="C41" s="14">
        <f t="shared" ref="C41:D41" si="4">100*1*($E$39-J34)</f>
        <v>-0.40406146754943184</v>
      </c>
      <c r="D41" s="14">
        <f t="shared" si="4"/>
        <v>-0.93365465453596408</v>
      </c>
      <c r="E41" s="14"/>
      <c r="F41" s="12"/>
      <c r="G41" s="12"/>
      <c r="H41" s="1"/>
      <c r="I41" s="14" t="s">
        <v>26</v>
      </c>
      <c r="J41" s="14"/>
      <c r="K41" s="14" t="e" vm="1">
        <f>_xleta.EXP</f>
        <v>#VALUE!</v>
      </c>
      <c r="L41" s="14">
        <v>0</v>
      </c>
    </row>
    <row r="42" spans="1:12" x14ac:dyDescent="0.2">
      <c r="A42" s="1"/>
      <c r="B42" s="14"/>
      <c r="C42" s="14">
        <f>100*1*($E$39-J35)</f>
        <v>0.43779909203443057</v>
      </c>
      <c r="D42" s="14">
        <f t="shared" ref="D42:D43" si="5">100*1*($E$39-K35)</f>
        <v>0.12289036239758813</v>
      </c>
      <c r="E42" s="14"/>
      <c r="F42" s="12"/>
      <c r="G42" s="12"/>
      <c r="H42" s="1"/>
      <c r="I42" s="14"/>
      <c r="J42" s="14"/>
      <c r="K42" s="14" t="e" vm="1">
        <f>_xleta.EXP</f>
        <v>#VALUE!</v>
      </c>
      <c r="L42" s="14">
        <v>0</v>
      </c>
    </row>
    <row r="43" spans="1:12" x14ac:dyDescent="0.2">
      <c r="A43" s="1"/>
      <c r="B43" s="14"/>
      <c r="C43" s="14"/>
      <c r="D43" s="14">
        <f t="shared" si="5"/>
        <v>0.64721400912830584</v>
      </c>
      <c r="E43" s="14"/>
      <c r="F43" s="12"/>
      <c r="G43" s="12"/>
      <c r="H43" s="1"/>
      <c r="I43" s="14"/>
      <c r="J43" s="14"/>
      <c r="K43" s="14" t="e" vm="1">
        <f>_xleta.EXP</f>
        <v>#VALUE!</v>
      </c>
      <c r="L43" s="14">
        <v>0</v>
      </c>
    </row>
    <row r="44" spans="1:12" x14ac:dyDescent="0.2">
      <c r="A44" s="1"/>
      <c r="B44" s="14"/>
      <c r="C44" s="14"/>
      <c r="D44" s="14"/>
      <c r="E44" s="14"/>
      <c r="F44" s="12"/>
      <c r="G44" s="12"/>
      <c r="H44" s="1"/>
      <c r="I44" s="14"/>
      <c r="J44" s="14"/>
      <c r="K44" s="14"/>
      <c r="L44" s="14">
        <v>0</v>
      </c>
    </row>
    <row r="45" spans="1:12" x14ac:dyDescent="0.2">
      <c r="A45" s="3" t="s">
        <v>19</v>
      </c>
      <c r="B45" s="1"/>
      <c r="C45" s="1"/>
      <c r="D45" s="1"/>
      <c r="E45" s="5"/>
      <c r="F45" s="12"/>
      <c r="G45" s="12"/>
    </row>
    <row r="46" spans="1:12" x14ac:dyDescent="0.2">
      <c r="A46" s="1"/>
      <c r="B46" s="1" t="s">
        <v>2</v>
      </c>
      <c r="C46" s="1" t="s">
        <v>1</v>
      </c>
      <c r="D46" s="1" t="s">
        <v>0</v>
      </c>
      <c r="E46" s="1" t="s">
        <v>6</v>
      </c>
      <c r="F46" s="12"/>
      <c r="G46" s="12"/>
    </row>
    <row r="47" spans="1:12" x14ac:dyDescent="0.2">
      <c r="A47" s="1"/>
      <c r="B47" s="14"/>
      <c r="C47" s="14"/>
      <c r="D47" s="14" t="e" vm="2">
        <f>MAX(0,K41-0,EXP(-D34*1)*(0.5*E47+0.5*E48))</f>
        <v>#VALUE!</v>
      </c>
      <c r="E47" s="14">
        <v>0</v>
      </c>
      <c r="F47" s="12"/>
      <c r="G47" s="12"/>
    </row>
    <row r="48" spans="1:12" x14ac:dyDescent="0.2">
      <c r="A48" s="1"/>
      <c r="B48" s="14"/>
      <c r="C48" s="14"/>
      <c r="D48" s="14" t="e" vm="2">
        <f t="shared" ref="D48:D49" si="6">MAX(0,K42-0,EXP(-D35*1)*(0.5*E48+0.5*E49))</f>
        <v>#VALUE!</v>
      </c>
      <c r="E48" s="14">
        <v>0</v>
      </c>
      <c r="F48" s="12"/>
      <c r="G48" s="12"/>
    </row>
    <row r="49" spans="1:19" x14ac:dyDescent="0.2">
      <c r="A49" s="1"/>
      <c r="B49" s="14" t="e" vm="2">
        <f t="shared" ref="B49" si="7">MAX(0,I43-0,EXP(-B36*1)*(0.5*C49+0.5*C50))</f>
        <v>#VALUE!</v>
      </c>
      <c r="C49" s="14" t="e" vm="2">
        <f t="shared" ref="C49" si="8">MAX(0,J43-0,EXP(-C36*1)*(0.5*D49+0.5*D50))</f>
        <v>#VALUE!</v>
      </c>
      <c r="D49" s="14" t="e" vm="2">
        <f t="shared" si="6"/>
        <v>#VALUE!</v>
      </c>
      <c r="E49" s="14">
        <v>0</v>
      </c>
      <c r="F49" s="12"/>
      <c r="G49" s="12"/>
    </row>
    <row r="50" spans="1:19" x14ac:dyDescent="0.2">
      <c r="A50" s="1"/>
      <c r="B50" s="14"/>
      <c r="C50" s="14"/>
      <c r="D50" s="14"/>
      <c r="E50" s="14">
        <v>0</v>
      </c>
      <c r="F50" s="12"/>
      <c r="G50" s="12"/>
    </row>
    <row r="51" spans="1:19" x14ac:dyDescent="0.2">
      <c r="A51" s="1"/>
      <c r="B51" s="1"/>
      <c r="C51" s="1"/>
      <c r="D51" s="1"/>
      <c r="E51" s="1"/>
      <c r="F51" s="12"/>
      <c r="G51" s="12"/>
    </row>
    <row r="52" spans="1:19" x14ac:dyDescent="0.2">
      <c r="A52" s="1"/>
      <c r="B52" s="1"/>
      <c r="C52" s="1"/>
      <c r="D52" s="1"/>
      <c r="E52" s="1"/>
      <c r="F52" s="12"/>
      <c r="G52" s="12"/>
    </row>
    <row r="53" spans="1:19" x14ac:dyDescent="0.2">
      <c r="A53" s="37" t="s">
        <v>20</v>
      </c>
      <c r="B53" s="37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</row>
    <row r="54" spans="1:19" ht="15" thickBot="1" x14ac:dyDescent="0.25">
      <c r="E54" s="1"/>
      <c r="F54" s="12"/>
      <c r="G54" s="12"/>
      <c r="H54" s="12"/>
      <c r="I54" s="12"/>
      <c r="J54" s="23"/>
      <c r="K54" s="23"/>
      <c r="L54" s="23"/>
      <c r="M54" s="23"/>
    </row>
    <row r="55" spans="1:19" ht="29" customHeight="1" x14ac:dyDescent="0.2">
      <c r="A55" s="3" t="s">
        <v>21</v>
      </c>
      <c r="B55" s="1"/>
      <c r="C55" s="1"/>
      <c r="D55" s="1"/>
      <c r="E55" s="1"/>
      <c r="F55" s="12"/>
      <c r="G55" s="12"/>
      <c r="H55" s="30" t="s">
        <v>22</v>
      </c>
      <c r="I55" s="31"/>
      <c r="J55" s="23"/>
      <c r="K55" s="23"/>
      <c r="L55" s="32" t="s">
        <v>23</v>
      </c>
      <c r="M55" s="33"/>
    </row>
    <row r="56" spans="1:19" x14ac:dyDescent="0.2">
      <c r="A56" s="1"/>
      <c r="B56" s="1" t="s">
        <v>2</v>
      </c>
      <c r="C56" s="1" t="s">
        <v>1</v>
      </c>
      <c r="D56" s="1" t="s">
        <v>0</v>
      </c>
      <c r="E56" s="1" t="s">
        <v>6</v>
      </c>
      <c r="F56" s="12"/>
      <c r="G56" s="12"/>
      <c r="H56" s="24" t="s">
        <v>2</v>
      </c>
      <c r="I56" s="25" t="s">
        <v>1</v>
      </c>
      <c r="J56" s="23"/>
      <c r="K56" s="23"/>
      <c r="L56" s="24" t="s">
        <v>2</v>
      </c>
      <c r="M56" s="25" t="s">
        <v>1</v>
      </c>
    </row>
    <row r="57" spans="1:19" x14ac:dyDescent="0.2">
      <c r="A57" s="1"/>
      <c r="B57" s="14">
        <f t="shared" ref="B57:D59" ca="1" si="9">B21</f>
        <v>0</v>
      </c>
      <c r="C57" s="14">
        <f t="shared" ca="1" si="9"/>
        <v>0</v>
      </c>
      <c r="D57" s="14">
        <f t="shared" ca="1" si="9"/>
        <v>0</v>
      </c>
      <c r="E57" s="14">
        <f ca="1">E21</f>
        <v>0</v>
      </c>
      <c r="F57" s="12"/>
      <c r="G57" s="12"/>
      <c r="H57" s="26"/>
      <c r="I57" s="27"/>
      <c r="J57" s="23"/>
      <c r="K57" s="23"/>
      <c r="L57" s="26"/>
      <c r="M57" s="27"/>
    </row>
    <row r="58" spans="1:19" ht="15" thickBot="1" x14ac:dyDescent="0.25">
      <c r="A58" s="1"/>
      <c r="B58" s="14"/>
      <c r="C58" s="14">
        <f t="shared" ca="1" si="9"/>
        <v>0</v>
      </c>
      <c r="D58" s="14">
        <f t="shared" ca="1" si="9"/>
        <v>0</v>
      </c>
      <c r="E58" s="14">
        <f t="shared" ref="E58:E60" ca="1" si="10">E22</f>
        <v>0</v>
      </c>
      <c r="F58" s="1"/>
      <c r="G58" s="1"/>
      <c r="H58" s="28"/>
      <c r="I58" s="29"/>
      <c r="J58" s="1"/>
      <c r="K58" s="23"/>
      <c r="L58" s="28"/>
      <c r="M58" s="29"/>
      <c r="N58" s="1"/>
      <c r="O58" s="1"/>
      <c r="P58" s="1"/>
      <c r="Q58" s="1"/>
      <c r="R58" s="1"/>
      <c r="S58" s="1"/>
    </row>
    <row r="59" spans="1:19" x14ac:dyDescent="0.2">
      <c r="A59" s="1"/>
      <c r="B59" s="14"/>
      <c r="C59" s="14"/>
      <c r="D59" s="14">
        <f t="shared" ca="1" si="9"/>
        <v>0</v>
      </c>
      <c r="E59" s="14">
        <f t="shared" ca="1" si="10"/>
        <v>0</v>
      </c>
      <c r="F59" s="1"/>
      <c r="G59" s="21"/>
      <c r="H59" s="1"/>
      <c r="I59" s="5"/>
      <c r="J59" s="1"/>
      <c r="K59" s="1"/>
      <c r="L59" s="1"/>
      <c r="M59" s="1"/>
      <c r="N59" s="1"/>
      <c r="O59" s="1"/>
      <c r="P59" s="1"/>
      <c r="Q59" s="1"/>
      <c r="R59" s="1"/>
      <c r="S59" s="1"/>
    </row>
    <row r="60" spans="1:19" x14ac:dyDescent="0.2">
      <c r="A60" s="1"/>
      <c r="B60" s="14"/>
      <c r="C60" s="14"/>
      <c r="D60" s="14"/>
      <c r="E60" s="14">
        <f t="shared" ca="1" si="10"/>
        <v>0</v>
      </c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</row>
    <row r="61" spans="1:19" x14ac:dyDescent="0.2">
      <c r="A61" s="1"/>
      <c r="B61" s="1"/>
      <c r="C61" s="1"/>
      <c r="D61" s="1"/>
      <c r="E61" s="1"/>
      <c r="F61" s="12"/>
      <c r="G61" s="12"/>
      <c r="H61" s="12"/>
      <c r="I61" s="4"/>
      <c r="J61" s="1"/>
      <c r="K61" s="22"/>
      <c r="L61" s="22"/>
      <c r="M61" s="1"/>
      <c r="N61" s="12"/>
      <c r="O61" s="12"/>
      <c r="P61" s="12"/>
      <c r="Q61" s="12"/>
      <c r="R61" s="12"/>
      <c r="S61" s="1"/>
    </row>
    <row r="62" spans="1:19" x14ac:dyDescent="0.2">
      <c r="A62" s="1"/>
      <c r="B62" s="1"/>
      <c r="C62" s="1"/>
      <c r="D62" s="1"/>
      <c r="E62" s="1"/>
      <c r="F62" s="12"/>
      <c r="G62" s="12"/>
      <c r="H62" s="12"/>
      <c r="I62" s="4"/>
      <c r="J62" s="1"/>
      <c r="K62" s="22"/>
      <c r="L62" s="22"/>
      <c r="M62" s="1"/>
      <c r="N62" s="1"/>
      <c r="O62" s="12"/>
      <c r="P62" s="1"/>
      <c r="Q62" s="12"/>
      <c r="R62" s="1"/>
      <c r="S62" s="1"/>
    </row>
    <row r="63" spans="1:19" x14ac:dyDescent="0.2">
      <c r="A63" s="37" t="s">
        <v>24</v>
      </c>
      <c r="B63" s="37"/>
      <c r="C63" s="37"/>
      <c r="D63" s="37"/>
      <c r="E63" s="37"/>
      <c r="F63" s="37"/>
      <c r="G63" s="37"/>
      <c r="H63" s="37"/>
      <c r="I63" s="37"/>
      <c r="J63" s="37"/>
      <c r="K63" s="37"/>
      <c r="L63" s="37"/>
      <c r="M63" s="37"/>
      <c r="N63" s="1"/>
      <c r="O63" s="1"/>
      <c r="P63" s="12"/>
      <c r="Q63" s="12"/>
      <c r="R63" s="12"/>
      <c r="S63" s="1"/>
    </row>
    <row r="64" spans="1:19" ht="15" thickBot="1" x14ac:dyDescent="0.25">
      <c r="E64" s="1"/>
      <c r="F64" s="12"/>
      <c r="G64" s="12"/>
      <c r="H64" s="12"/>
      <c r="I64" s="12"/>
      <c r="J64" s="23"/>
      <c r="K64" s="23"/>
      <c r="L64" s="23"/>
      <c r="M64" s="23"/>
      <c r="N64" s="1"/>
      <c r="O64" s="1"/>
      <c r="P64" s="1"/>
      <c r="Q64" s="12"/>
      <c r="R64" s="1"/>
      <c r="S64" s="1"/>
    </row>
    <row r="65" spans="1:19" ht="32" customHeight="1" x14ac:dyDescent="0.2">
      <c r="A65" s="3" t="s">
        <v>25</v>
      </c>
      <c r="B65" s="1"/>
      <c r="C65" s="1"/>
      <c r="D65" s="1"/>
      <c r="E65" s="1"/>
      <c r="F65" s="12"/>
      <c r="G65" s="12"/>
      <c r="H65" s="30" t="s">
        <v>22</v>
      </c>
      <c r="I65" s="31"/>
      <c r="J65" s="23"/>
      <c r="K65" s="23"/>
      <c r="L65" s="32" t="s">
        <v>23</v>
      </c>
      <c r="M65" s="33"/>
      <c r="N65" s="1"/>
      <c r="O65" s="1"/>
      <c r="P65" s="1"/>
      <c r="Q65" s="1"/>
      <c r="R65" s="12"/>
      <c r="S65" s="1"/>
    </row>
    <row r="66" spans="1:19" x14ac:dyDescent="0.2">
      <c r="A66" s="1"/>
      <c r="B66" s="1" t="s">
        <v>2</v>
      </c>
      <c r="C66" s="1" t="s">
        <v>1</v>
      </c>
      <c r="D66" s="1" t="s">
        <v>0</v>
      </c>
      <c r="E66" s="1" t="s">
        <v>6</v>
      </c>
      <c r="F66" s="12"/>
      <c r="G66" s="12"/>
      <c r="H66" s="24" t="s">
        <v>2</v>
      </c>
      <c r="I66" s="25" t="s">
        <v>1</v>
      </c>
      <c r="J66" s="23"/>
      <c r="K66" s="23"/>
      <c r="L66" s="24" t="s">
        <v>2</v>
      </c>
      <c r="M66" s="25" t="s">
        <v>1</v>
      </c>
      <c r="N66" s="1"/>
      <c r="O66" s="1"/>
      <c r="P66" s="1"/>
      <c r="Q66" s="1"/>
      <c r="R66" s="1"/>
      <c r="S66" s="1"/>
    </row>
    <row r="67" spans="1:19" x14ac:dyDescent="0.2">
      <c r="A67" s="1"/>
      <c r="B67" s="14">
        <f>I21</f>
        <v>0</v>
      </c>
      <c r="C67" s="14">
        <f t="shared" ref="C67:D69" si="11">J21</f>
        <v>0</v>
      </c>
      <c r="D67" s="14">
        <f t="shared" si="11"/>
        <v>0</v>
      </c>
      <c r="E67" s="14">
        <f>L21</f>
        <v>0</v>
      </c>
      <c r="F67" s="12"/>
      <c r="G67" s="12"/>
      <c r="H67" s="26"/>
      <c r="I67" s="27"/>
      <c r="J67" s="23"/>
      <c r="K67" s="23"/>
      <c r="L67" s="26"/>
      <c r="M67" s="27"/>
      <c r="N67" s="1"/>
      <c r="O67" s="1"/>
      <c r="P67" s="1"/>
      <c r="Q67" s="1"/>
      <c r="R67" s="1"/>
      <c r="S67" s="1"/>
    </row>
    <row r="68" spans="1:19" ht="15" thickBot="1" x14ac:dyDescent="0.25">
      <c r="A68" s="1"/>
      <c r="B68" s="14"/>
      <c r="C68" s="14">
        <f t="shared" si="11"/>
        <v>0</v>
      </c>
      <c r="D68" s="14">
        <f t="shared" si="11"/>
        <v>0</v>
      </c>
      <c r="E68" s="14">
        <f t="shared" ref="E68:E70" si="12">L22</f>
        <v>0</v>
      </c>
      <c r="F68" s="1"/>
      <c r="G68" s="1"/>
      <c r="H68" s="28"/>
      <c r="I68" s="29"/>
      <c r="J68" s="1"/>
      <c r="K68" s="23"/>
      <c r="L68" s="28"/>
      <c r="M68" s="29"/>
      <c r="N68" s="1"/>
      <c r="O68" s="1"/>
      <c r="P68" s="1"/>
      <c r="Q68" s="1"/>
      <c r="R68" s="1"/>
      <c r="S68" s="1"/>
    </row>
    <row r="69" spans="1:19" x14ac:dyDescent="0.2">
      <c r="A69" s="1"/>
      <c r="B69" s="14"/>
      <c r="C69" s="14"/>
      <c r="D69" s="14">
        <f t="shared" si="11"/>
        <v>0</v>
      </c>
      <c r="E69" s="14">
        <f t="shared" si="12"/>
        <v>0</v>
      </c>
      <c r="F69" s="1"/>
      <c r="G69" s="21"/>
      <c r="H69" s="1"/>
      <c r="I69" s="5"/>
      <c r="J69" s="1"/>
      <c r="K69" s="1"/>
      <c r="L69" s="1"/>
      <c r="M69" s="1"/>
      <c r="N69" s="1"/>
      <c r="O69" s="1"/>
      <c r="P69" s="1"/>
      <c r="Q69" s="1"/>
      <c r="R69" s="1"/>
      <c r="S69" s="1"/>
    </row>
    <row r="70" spans="1:19" x14ac:dyDescent="0.2">
      <c r="A70" s="1"/>
      <c r="B70" s="14"/>
      <c r="C70" s="14"/>
      <c r="D70" s="14"/>
      <c r="E70" s="14">
        <f t="shared" si="12"/>
        <v>0</v>
      </c>
      <c r="F70" s="1"/>
      <c r="G70" s="1"/>
      <c r="H70" s="1"/>
      <c r="I70" s="1"/>
      <c r="J70" s="1"/>
      <c r="K70" s="1"/>
      <c r="L70" s="1"/>
      <c r="M70" s="1"/>
      <c r="N70" s="4"/>
      <c r="O70" s="4"/>
      <c r="P70" s="4"/>
      <c r="Q70" s="4"/>
      <c r="R70" s="1"/>
      <c r="S70" s="1"/>
    </row>
    <row r="71" spans="1:19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4"/>
      <c r="L71" s="14"/>
      <c r="M71" s="1"/>
      <c r="N71" s="1"/>
      <c r="O71" s="4"/>
      <c r="P71" s="1"/>
      <c r="Q71" s="4"/>
      <c r="R71" s="1"/>
      <c r="S71" s="1"/>
    </row>
    <row r="72" spans="1:19" x14ac:dyDescent="0.2">
      <c r="A72" s="1"/>
      <c r="B72" s="1"/>
      <c r="C72" s="1"/>
      <c r="D72" s="1"/>
      <c r="E72" s="1"/>
      <c r="F72" s="1"/>
      <c r="G72" s="4"/>
      <c r="H72" s="1"/>
      <c r="I72" s="1"/>
      <c r="J72" s="1"/>
      <c r="K72" s="1"/>
      <c r="L72" s="1"/>
      <c r="M72" s="1"/>
      <c r="N72" s="1"/>
      <c r="O72" s="12"/>
      <c r="P72" s="4"/>
      <c r="Q72" s="4"/>
      <c r="R72" s="1"/>
      <c r="S72" s="1"/>
    </row>
    <row r="73" spans="1:19" x14ac:dyDescent="0.2">
      <c r="A73" s="14"/>
      <c r="B73" s="1"/>
      <c r="C73" s="1"/>
      <c r="D73" s="1"/>
      <c r="E73" s="1"/>
      <c r="F73" s="1"/>
      <c r="G73" s="14"/>
      <c r="H73" s="1"/>
      <c r="I73" s="1"/>
      <c r="J73" s="1"/>
      <c r="K73" s="1"/>
      <c r="L73" s="1"/>
      <c r="M73" s="1"/>
      <c r="N73" s="1"/>
      <c r="O73" s="1"/>
      <c r="P73" s="1"/>
      <c r="Q73" s="4"/>
      <c r="R73" s="1"/>
      <c r="S73" s="1"/>
    </row>
    <row r="74" spans="1:19" x14ac:dyDescent="0.2">
      <c r="A74" s="14"/>
      <c r="B74" s="1"/>
      <c r="C74" s="1"/>
      <c r="D74" s="1"/>
      <c r="E74" s="12"/>
      <c r="F74" s="12"/>
      <c r="G74" s="12"/>
      <c r="H74" s="12"/>
      <c r="I74" s="12"/>
      <c r="J74" s="1"/>
      <c r="K74" s="1"/>
      <c r="L74" s="1"/>
      <c r="M74" s="1"/>
      <c r="N74" s="1"/>
      <c r="O74" s="1"/>
      <c r="P74" s="1"/>
      <c r="Q74" s="1"/>
      <c r="R74" s="1"/>
      <c r="S74" s="1"/>
    </row>
    <row r="75" spans="1:19" x14ac:dyDescent="0.2">
      <c r="A75" s="14"/>
      <c r="B75" s="1"/>
      <c r="C75" s="1"/>
      <c r="D75" s="1"/>
      <c r="E75" s="12"/>
      <c r="F75" s="12"/>
      <c r="G75" s="12"/>
      <c r="H75" s="12"/>
      <c r="I75" s="12"/>
      <c r="J75" s="1"/>
      <c r="K75" s="1"/>
      <c r="L75" s="1"/>
      <c r="M75" s="1"/>
      <c r="N75" s="1"/>
      <c r="O75" s="1"/>
      <c r="P75" s="1"/>
      <c r="Q75" s="1"/>
      <c r="R75" s="1"/>
      <c r="S75" s="1"/>
    </row>
    <row r="76" spans="1:19" x14ac:dyDescent="0.2">
      <c r="A76" s="14"/>
      <c r="B76" s="14"/>
      <c r="C76" s="1"/>
      <c r="D76" s="1"/>
      <c r="E76" s="14"/>
      <c r="F76" s="12"/>
      <c r="G76" s="12"/>
      <c r="H76" s="12"/>
      <c r="I76" s="12"/>
      <c r="J76" s="1"/>
      <c r="K76" s="1"/>
      <c r="L76" s="1"/>
      <c r="M76" s="1"/>
      <c r="N76" s="1"/>
      <c r="O76" s="1"/>
      <c r="P76" s="1"/>
      <c r="Q76" s="1"/>
      <c r="R76" s="1"/>
      <c r="S76" s="1"/>
    </row>
    <row r="77" spans="1:19" x14ac:dyDescent="0.2">
      <c r="A77" s="14"/>
      <c r="B77" s="14"/>
      <c r="C77" s="1"/>
      <c r="D77" s="1"/>
      <c r="E77" s="1"/>
      <c r="F77" s="12"/>
      <c r="G77" s="12"/>
      <c r="H77" s="12"/>
      <c r="I77" s="12"/>
      <c r="J77" s="1"/>
      <c r="K77" s="1"/>
      <c r="L77" s="1"/>
      <c r="M77" s="1"/>
      <c r="N77" s="12"/>
      <c r="O77" s="12"/>
      <c r="P77" s="12"/>
      <c r="Q77" s="1"/>
      <c r="R77" s="1"/>
      <c r="S77" s="1"/>
    </row>
    <row r="78" spans="1:19" x14ac:dyDescent="0.2">
      <c r="A78" s="14"/>
      <c r="B78" s="1"/>
      <c r="C78" s="1"/>
      <c r="D78" s="1"/>
      <c r="E78" s="22"/>
      <c r="F78" s="12"/>
      <c r="G78" s="12"/>
      <c r="H78" s="12"/>
      <c r="I78" s="12"/>
      <c r="J78" s="1"/>
      <c r="K78" s="1"/>
      <c r="L78" s="1"/>
      <c r="M78" s="1"/>
      <c r="N78" s="1"/>
      <c r="O78" s="12"/>
      <c r="P78" s="12"/>
      <c r="Q78" s="1"/>
      <c r="R78" s="1"/>
      <c r="S78" s="1"/>
    </row>
    <row r="79" spans="1:19" x14ac:dyDescent="0.2">
      <c r="A79" s="14"/>
      <c r="B79" s="1"/>
      <c r="C79" s="1"/>
      <c r="D79" s="1"/>
      <c r="E79" s="22"/>
      <c r="F79" s="12"/>
      <c r="G79" s="12"/>
      <c r="H79" s="12"/>
      <c r="I79" s="12"/>
      <c r="J79" s="1"/>
      <c r="K79" s="12"/>
      <c r="L79" s="1"/>
      <c r="M79" s="1"/>
      <c r="N79" s="1"/>
      <c r="O79" s="1"/>
      <c r="P79" s="12"/>
      <c r="Q79" s="1"/>
      <c r="R79" s="1"/>
      <c r="S79" s="1"/>
    </row>
    <row r="80" spans="1:19" x14ac:dyDescent="0.2">
      <c r="A80" s="14"/>
      <c r="B80" s="14"/>
      <c r="C80" s="14"/>
      <c r="D80" s="1"/>
      <c r="E80" s="1"/>
      <c r="F80" s="12"/>
      <c r="G80" s="12"/>
      <c r="H80" s="12"/>
      <c r="I80" s="12"/>
      <c r="J80" s="12"/>
      <c r="K80" s="1"/>
      <c r="L80" s="1"/>
      <c r="M80" s="1"/>
      <c r="N80" s="1"/>
      <c r="O80" s="1"/>
      <c r="P80" s="1"/>
      <c r="Q80" s="1"/>
      <c r="R80" s="1"/>
      <c r="S80" s="1"/>
    </row>
    <row r="81" spans="1:19" x14ac:dyDescent="0.2">
      <c r="A81" s="14"/>
      <c r="B81" s="14"/>
      <c r="C81" s="14"/>
      <c r="D81" s="1"/>
      <c r="E81" s="1"/>
      <c r="F81" s="12"/>
      <c r="G81" s="12"/>
      <c r="H81" s="12"/>
      <c r="I81" s="12"/>
      <c r="J81" s="12"/>
      <c r="K81" s="1"/>
      <c r="L81" s="1"/>
      <c r="M81" s="1"/>
      <c r="N81" s="1"/>
      <c r="O81" s="1"/>
      <c r="P81" s="1"/>
      <c r="Q81" s="1"/>
      <c r="R81" s="1"/>
      <c r="S81" s="1"/>
    </row>
    <row r="82" spans="1:19" x14ac:dyDescent="0.2">
      <c r="A82" s="14"/>
      <c r="B82" s="14"/>
      <c r="C82" s="14"/>
      <c r="D82" s="1"/>
      <c r="E82" s="1"/>
      <c r="F82" s="12"/>
      <c r="G82" s="12"/>
      <c r="H82" s="12"/>
      <c r="I82" s="12"/>
      <c r="J82" s="12"/>
      <c r="K82" s="1"/>
      <c r="L82" s="1"/>
      <c r="M82" s="1"/>
      <c r="N82" s="1"/>
      <c r="O82" s="1"/>
      <c r="P82" s="1"/>
      <c r="Q82" s="1"/>
      <c r="R82" s="1"/>
      <c r="S82" s="1"/>
    </row>
    <row r="83" spans="1:19" x14ac:dyDescent="0.2">
      <c r="A83" s="1"/>
      <c r="B83" s="1"/>
      <c r="C83" s="1"/>
      <c r="D83" s="1"/>
      <c r="E83" s="1"/>
      <c r="F83" s="12"/>
      <c r="G83" s="12"/>
      <c r="H83" s="12"/>
      <c r="I83" s="12"/>
      <c r="J83" s="1"/>
      <c r="K83" s="1"/>
      <c r="L83" s="1"/>
      <c r="M83" s="1"/>
      <c r="N83" s="12"/>
      <c r="O83" s="12"/>
      <c r="P83" s="12"/>
      <c r="Q83" s="12"/>
      <c r="R83" s="1"/>
      <c r="S83" s="1"/>
    </row>
    <row r="84" spans="1:19" x14ac:dyDescent="0.2">
      <c r="A84" s="1"/>
      <c r="B84" s="1"/>
      <c r="C84" s="1"/>
      <c r="D84" s="1"/>
      <c r="E84" s="1"/>
      <c r="F84" s="12"/>
      <c r="G84" s="12"/>
      <c r="H84" s="12"/>
      <c r="I84" s="12"/>
      <c r="J84" s="12"/>
      <c r="K84" s="12"/>
      <c r="L84" s="1"/>
      <c r="M84" s="1"/>
      <c r="N84" s="1"/>
      <c r="O84" s="12"/>
      <c r="P84" s="12"/>
      <c r="Q84" s="12"/>
      <c r="R84" s="1"/>
      <c r="S84" s="1"/>
    </row>
    <row r="85" spans="1:19" x14ac:dyDescent="0.2">
      <c r="A85" s="1"/>
      <c r="B85" s="1"/>
      <c r="C85" s="1"/>
      <c r="D85" s="1"/>
      <c r="E85" s="1"/>
      <c r="F85" s="12"/>
      <c r="G85" s="12"/>
      <c r="H85" s="12"/>
      <c r="I85" s="12"/>
      <c r="J85" s="12"/>
      <c r="K85" s="12"/>
      <c r="L85" s="1"/>
      <c r="M85" s="1"/>
      <c r="N85" s="1"/>
      <c r="O85" s="1"/>
      <c r="P85" s="12"/>
      <c r="Q85" s="12"/>
      <c r="R85" s="1"/>
      <c r="S85" s="1"/>
    </row>
    <row r="86" spans="1:19" x14ac:dyDescent="0.2">
      <c r="A86" s="1"/>
      <c r="B86" s="1"/>
      <c r="C86" s="1"/>
      <c r="D86" s="1"/>
      <c r="E86" s="1"/>
      <c r="F86" s="12"/>
      <c r="G86" s="12"/>
      <c r="H86" s="12"/>
      <c r="I86" s="12"/>
      <c r="J86" s="12"/>
      <c r="K86" s="12"/>
      <c r="L86" s="1"/>
      <c r="M86" s="1"/>
      <c r="N86" s="1"/>
      <c r="O86" s="1"/>
      <c r="P86" s="1"/>
      <c r="Q86" s="12"/>
      <c r="R86" s="1"/>
      <c r="S86" s="1"/>
    </row>
    <row r="87" spans="1:19" x14ac:dyDescent="0.2">
      <c r="A87" s="1"/>
      <c r="B87" s="1"/>
      <c r="C87" s="1"/>
      <c r="D87" s="1"/>
      <c r="E87" s="1"/>
      <c r="F87" s="12"/>
      <c r="G87" s="12"/>
      <c r="H87" s="12"/>
      <c r="I87" s="12"/>
      <c r="J87" s="12"/>
      <c r="K87" s="12"/>
      <c r="L87" s="1"/>
      <c r="M87" s="1"/>
      <c r="N87" s="1"/>
      <c r="O87" s="1"/>
      <c r="P87" s="1"/>
      <c r="Q87" s="1"/>
      <c r="R87" s="1"/>
      <c r="S87" s="1"/>
    </row>
    <row r="88" spans="1:19" x14ac:dyDescent="0.2">
      <c r="A88" s="1"/>
      <c r="B88" s="1"/>
      <c r="C88" s="1"/>
      <c r="D88" s="1"/>
      <c r="E88" s="1"/>
      <c r="F88" s="1"/>
      <c r="G88" s="12"/>
      <c r="H88" s="12"/>
      <c r="I88" s="12"/>
      <c r="J88" s="12"/>
      <c r="K88" s="12"/>
      <c r="L88" s="1"/>
      <c r="M88" s="1"/>
      <c r="N88" s="1"/>
      <c r="O88" s="1"/>
      <c r="P88" s="1"/>
      <c r="Q88" s="1"/>
      <c r="R88" s="1"/>
      <c r="S88" s="1"/>
    </row>
    <row r="89" spans="1:19" x14ac:dyDescent="0.2">
      <c r="A89" s="1"/>
      <c r="B89" s="1"/>
      <c r="C89" s="1"/>
      <c r="D89" s="1"/>
      <c r="E89" s="1"/>
      <c r="F89" s="1"/>
      <c r="G89" s="12"/>
      <c r="H89" s="12"/>
      <c r="I89" s="12"/>
      <c r="J89" s="12"/>
      <c r="K89" s="12"/>
      <c r="L89" s="1"/>
      <c r="M89" s="1"/>
      <c r="N89" s="1"/>
      <c r="O89" s="1"/>
      <c r="P89" s="1"/>
      <c r="Q89" s="1"/>
      <c r="R89" s="1"/>
      <c r="S89" s="1"/>
    </row>
    <row r="90" spans="1:19" x14ac:dyDescent="0.2">
      <c r="F90" s="1"/>
      <c r="G90" s="1"/>
      <c r="H90" s="1"/>
      <c r="I90" s="1"/>
    </row>
  </sheetData>
  <mergeCells count="8">
    <mergeCell ref="H65:I65"/>
    <mergeCell ref="L65:M65"/>
    <mergeCell ref="A3:F3"/>
    <mergeCell ref="A29:F29"/>
    <mergeCell ref="H55:I55"/>
    <mergeCell ref="L55:M55"/>
    <mergeCell ref="A53:M53"/>
    <mergeCell ref="A63:M63"/>
  </mergeCells>
  <phoneticPr fontId="2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Class 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2025-07-30T14:29:53Z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{A154B686-56A4-45F4-980F-C0D2191DC757}</vt:lpwstr>
  </property>
</Properties>
</file>