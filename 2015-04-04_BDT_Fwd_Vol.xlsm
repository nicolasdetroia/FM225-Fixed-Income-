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95" windowHeight="8145"/>
  </bookViews>
  <sheets>
    <sheet name="IRTree" sheetId="1" r:id="rId1"/>
    <sheet name="BondPrice" sheetId="2" r:id="rId2"/>
    <sheet name="Cap" sheetId="6" r:id="rId3"/>
    <sheet name="Data" sheetId="5" r:id="rId4"/>
    <sheet name="EurodollarFutures" sheetId="7" r:id="rId5"/>
  </sheets>
  <definedNames>
    <definedName name="CallFlag">IRTree!#REF!</definedName>
    <definedName name="cc">IRTree!$F$4</definedName>
    <definedName name="d">IRTree!$I$5</definedName>
    <definedName name="h">IRTree!$I$3</definedName>
    <definedName name="h0">IRTree!$I$4</definedName>
    <definedName name="K">IRTree!$F$4</definedName>
    <definedName name="mu">IRTree!#REF!</definedName>
    <definedName name="n">IRTree!#REF!</definedName>
    <definedName name="_xlnm.Print_Area" localSheetId="1">BondPrice!$A$11:$L$23</definedName>
    <definedName name="_xlnm.Print_Area" localSheetId="0">IRTree!$A$1:$L$24</definedName>
    <definedName name="pstar">IRTree!#REF!</definedName>
    <definedName name="q">IRTree!$C$5</definedName>
    <definedName name="rr">IRTree!$C$4</definedName>
    <definedName name="S0">IRTree!$C$6</definedName>
    <definedName name="sig">IRTree!$C$3</definedName>
    <definedName name="solver_adj" localSheetId="0" hidden="1">IRTree!$O$2:$O$3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IRTree!$E$11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IRTree!$O$4</definedName>
    <definedName name="solver_pre" localSheetId="0" hidden="1">0.000001</definedName>
    <definedName name="solver_rel1" localSheetId="0" hidden="1">3</definedName>
    <definedName name="solver_rhs1" localSheetId="0" hidden="1">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T">IRTree!$F$3</definedName>
    <definedName name="TT">IRTree!$F$3</definedName>
    <definedName name="u">IRTree!#REF!</definedName>
  </definedNames>
  <calcPr calcId="145621"/>
</workbook>
</file>

<file path=xl/calcChain.xml><?xml version="1.0" encoding="utf-8"?>
<calcChain xmlns="http://schemas.openxmlformats.org/spreadsheetml/2006/main">
  <c r="E29" i="7" l="1"/>
  <c r="L29" i="7" s="1"/>
  <c r="E28" i="7"/>
  <c r="D28" i="7" s="1"/>
  <c r="K28" i="7" s="1"/>
  <c r="E27" i="7"/>
  <c r="L27" i="7" s="1"/>
  <c r="E26" i="7"/>
  <c r="D26" i="7" s="1"/>
  <c r="D24" i="7"/>
  <c r="K24" i="7" s="1"/>
  <c r="D23" i="7"/>
  <c r="K23" i="7" s="1"/>
  <c r="D22" i="7"/>
  <c r="K22" i="7" s="1"/>
  <c r="C20" i="7"/>
  <c r="J20" i="7" s="1"/>
  <c r="C19" i="7"/>
  <c r="J19" i="7" s="1"/>
  <c r="F35" i="7"/>
  <c r="M35" i="7" s="1"/>
  <c r="F34" i="7"/>
  <c r="M34" i="7" s="1"/>
  <c r="E34" i="7"/>
  <c r="L34" i="7" s="1"/>
  <c r="F33" i="7"/>
  <c r="M33" i="7" s="1"/>
  <c r="E33" i="7"/>
  <c r="L33" i="7" s="1"/>
  <c r="D33" i="7"/>
  <c r="K33" i="7" s="1"/>
  <c r="F32" i="7"/>
  <c r="M32" i="7" s="1"/>
  <c r="E32" i="7"/>
  <c r="L32" i="7" s="1"/>
  <c r="D32" i="7"/>
  <c r="K32" i="7" s="1"/>
  <c r="C32" i="7"/>
  <c r="J32" i="7" s="1"/>
  <c r="F31" i="7"/>
  <c r="M31" i="7" s="1"/>
  <c r="E31" i="7"/>
  <c r="L31" i="7" s="1"/>
  <c r="D31" i="7"/>
  <c r="K31" i="7" s="1"/>
  <c r="C31" i="7"/>
  <c r="J31" i="7" s="1"/>
  <c r="B31" i="7"/>
  <c r="I31" i="7" s="1"/>
  <c r="B12" i="1"/>
  <c r="D6" i="6"/>
  <c r="C6" i="1"/>
  <c r="C4" i="1" s="1"/>
  <c r="B11" i="6"/>
  <c r="B11" i="2"/>
  <c r="D6" i="1"/>
  <c r="D5" i="1"/>
  <c r="G6" i="1"/>
  <c r="G5" i="1"/>
  <c r="H6" i="1"/>
  <c r="H5" i="1"/>
  <c r="C5" i="1"/>
  <c r="E5" i="1"/>
  <c r="F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E6" i="1"/>
  <c r="F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15" i="1"/>
  <c r="A81" i="6"/>
  <c r="C79" i="6"/>
  <c r="D79" i="6"/>
  <c r="C78" i="6"/>
  <c r="B78" i="6"/>
  <c r="A14" i="6"/>
  <c r="B14" i="6"/>
  <c r="A15" i="6"/>
  <c r="B15" i="6"/>
  <c r="C12" i="6"/>
  <c r="C11" i="6"/>
  <c r="C16" i="6" s="1"/>
  <c r="D12" i="6"/>
  <c r="D11" i="6"/>
  <c r="C12" i="2"/>
  <c r="C11" i="2"/>
  <c r="C15" i="2" s="1"/>
  <c r="A14" i="2"/>
  <c r="B14" i="2"/>
  <c r="C13" i="1"/>
  <c r="D13" i="1"/>
  <c r="D12" i="1" s="1"/>
  <c r="C12" i="1"/>
  <c r="C7" i="1" s="1"/>
  <c r="E79" i="6"/>
  <c r="E78" i="6" s="1"/>
  <c r="B81" i="6"/>
  <c r="A16" i="1"/>
  <c r="A17" i="1" s="1"/>
  <c r="B15" i="1"/>
  <c r="A15" i="2"/>
  <c r="B15" i="2"/>
  <c r="D12" i="2"/>
  <c r="E12" i="6"/>
  <c r="E11" i="6" s="1"/>
  <c r="E17" i="6" s="1"/>
  <c r="A16" i="6"/>
  <c r="A17" i="6"/>
  <c r="C17" i="6" s="1"/>
  <c r="C15" i="6"/>
  <c r="B16" i="6"/>
  <c r="E12" i="2"/>
  <c r="F12" i="2" s="1"/>
  <c r="D11" i="2"/>
  <c r="F79" i="6"/>
  <c r="F78" i="6" s="1"/>
  <c r="D16" i="6"/>
  <c r="D78" i="6"/>
  <c r="A82" i="6"/>
  <c r="C82" i="6" s="1"/>
  <c r="B82" i="6"/>
  <c r="G79" i="6"/>
  <c r="H79" i="6" s="1"/>
  <c r="F11" i="2"/>
  <c r="G12" i="2"/>
  <c r="B17" i="6"/>
  <c r="A18" i="6"/>
  <c r="K26" i="7"/>
  <c r="B17" i="1"/>
  <c r="A18" i="1"/>
  <c r="C17" i="1"/>
  <c r="C14" i="1"/>
  <c r="C15" i="1" s="1"/>
  <c r="D18" i="1"/>
  <c r="E11" i="2"/>
  <c r="E17" i="2" s="1"/>
  <c r="C16" i="1"/>
  <c r="A16" i="2"/>
  <c r="F12" i="6"/>
  <c r="B16" i="1"/>
  <c r="C8" i="1"/>
  <c r="E13" i="1"/>
  <c r="L26" i="7"/>
  <c r="B19" i="7"/>
  <c r="I19" i="7" s="1"/>
  <c r="C22" i="7"/>
  <c r="C23" i="7"/>
  <c r="J23" i="7"/>
  <c r="D27" i="7"/>
  <c r="K27" i="7" s="1"/>
  <c r="J22" i="7"/>
  <c r="B22" i="7"/>
  <c r="I22" i="7" s="1"/>
  <c r="A17" i="2"/>
  <c r="C17" i="2" s="1"/>
  <c r="B16" i="2"/>
  <c r="D16" i="2"/>
  <c r="C18" i="1"/>
  <c r="A19" i="1"/>
  <c r="B18" i="1"/>
  <c r="D18" i="6"/>
  <c r="C18" i="6"/>
  <c r="A19" i="6"/>
  <c r="F19" i="6" s="1"/>
  <c r="B18" i="6"/>
  <c r="E18" i="6"/>
  <c r="H12" i="2"/>
  <c r="H11" i="2" s="1"/>
  <c r="G11" i="2"/>
  <c r="C26" i="7"/>
  <c r="F13" i="1"/>
  <c r="E12" i="1"/>
  <c r="D14" i="1" s="1"/>
  <c r="D80" i="6" s="1"/>
  <c r="F11" i="6"/>
  <c r="G12" i="6"/>
  <c r="C16" i="2"/>
  <c r="F18" i="6"/>
  <c r="H12" i="6"/>
  <c r="G11" i="6"/>
  <c r="G22" i="6" s="1"/>
  <c r="J26" i="7"/>
  <c r="A18" i="2"/>
  <c r="B18" i="2" s="1"/>
  <c r="F12" i="1"/>
  <c r="F19" i="1" s="1"/>
  <c r="G13" i="1"/>
  <c r="D19" i="6"/>
  <c r="B19" i="6"/>
  <c r="C19" i="6"/>
  <c r="A20" i="6"/>
  <c r="E19" i="6"/>
  <c r="A20" i="1"/>
  <c r="A21" i="1" s="1"/>
  <c r="C19" i="1"/>
  <c r="B19" i="1"/>
  <c r="D19" i="1"/>
  <c r="F20" i="1"/>
  <c r="C18" i="2"/>
  <c r="G20" i="6"/>
  <c r="D20" i="1"/>
  <c r="A21" i="6"/>
  <c r="B21" i="6" s="1"/>
  <c r="B20" i="6"/>
  <c r="C20" i="6"/>
  <c r="D20" i="6"/>
  <c r="E20" i="6"/>
  <c r="H13" i="1"/>
  <c r="G12" i="1"/>
  <c r="G20" i="1"/>
  <c r="I12" i="6"/>
  <c r="H11" i="6"/>
  <c r="H22" i="6" s="1"/>
  <c r="F20" i="6"/>
  <c r="H21" i="6"/>
  <c r="A22" i="6"/>
  <c r="C21" i="6"/>
  <c r="D21" i="6"/>
  <c r="F21" i="6"/>
  <c r="I11" i="6"/>
  <c r="I22" i="6" s="1"/>
  <c r="J12" i="6"/>
  <c r="K12" i="6" s="1"/>
  <c r="L12" i="6" s="1"/>
  <c r="H12" i="1"/>
  <c r="I13" i="1"/>
  <c r="J13" i="1" s="1"/>
  <c r="F14" i="1"/>
  <c r="F80" i="6" s="1"/>
  <c r="B22" i="6"/>
  <c r="A23" i="6"/>
  <c r="C23" i="6" s="1"/>
  <c r="C22" i="6"/>
  <c r="D22" i="6"/>
  <c r="E22" i="6"/>
  <c r="F22" i="6"/>
  <c r="I12" i="1"/>
  <c r="J11" i="6"/>
  <c r="K11" i="6"/>
  <c r="A24" i="6"/>
  <c r="B23" i="6"/>
  <c r="D23" i="6"/>
  <c r="F23" i="6"/>
  <c r="I23" i="6"/>
  <c r="C24" i="6"/>
  <c r="L11" i="6"/>
  <c r="M12" i="6"/>
  <c r="N12" i="6" s="1"/>
  <c r="M11" i="6"/>
  <c r="E14" i="1"/>
  <c r="C81" i="6" l="1"/>
  <c r="E80" i="6"/>
  <c r="F15" i="1"/>
  <c r="F16" i="1" s="1"/>
  <c r="F17" i="1" s="1"/>
  <c r="F18" i="1" s="1"/>
  <c r="D15" i="1"/>
  <c r="D16" i="1" s="1"/>
  <c r="D82" i="6" s="1"/>
  <c r="E15" i="1"/>
  <c r="C80" i="6"/>
  <c r="O12" i="6"/>
  <c r="N11" i="6"/>
  <c r="B24" i="6"/>
  <c r="D24" i="6"/>
  <c r="A25" i="6"/>
  <c r="F24" i="6"/>
  <c r="E24" i="6"/>
  <c r="H24" i="6"/>
  <c r="H21" i="1"/>
  <c r="K23" i="6"/>
  <c r="K24" i="6"/>
  <c r="L25" i="6"/>
  <c r="L24" i="6"/>
  <c r="J24" i="6"/>
  <c r="J25" i="6"/>
  <c r="J23" i="6"/>
  <c r="C21" i="1"/>
  <c r="D21" i="1"/>
  <c r="A22" i="1"/>
  <c r="G21" i="1"/>
  <c r="B21" i="1"/>
  <c r="M25" i="6"/>
  <c r="G24" i="6"/>
  <c r="J22" i="6"/>
  <c r="I22" i="1"/>
  <c r="J12" i="1"/>
  <c r="K13" i="1"/>
  <c r="G14" i="1"/>
  <c r="G15" i="1" s="1"/>
  <c r="F21" i="1"/>
  <c r="H20" i="6"/>
  <c r="B20" i="1"/>
  <c r="E18" i="2"/>
  <c r="A19" i="2"/>
  <c r="B17" i="2"/>
  <c r="E18" i="1"/>
  <c r="E19" i="1"/>
  <c r="H23" i="6"/>
  <c r="E23" i="6"/>
  <c r="E22" i="1"/>
  <c r="I21" i="6"/>
  <c r="H22" i="1"/>
  <c r="G21" i="6"/>
  <c r="E21" i="1"/>
  <c r="C20" i="1"/>
  <c r="G19" i="6"/>
  <c r="D18" i="2"/>
  <c r="D17" i="2"/>
  <c r="I12" i="2"/>
  <c r="C27" i="7"/>
  <c r="I25" i="6"/>
  <c r="I24" i="6"/>
  <c r="H14" i="1"/>
  <c r="G23" i="6"/>
  <c r="E21" i="6"/>
  <c r="E20" i="1"/>
  <c r="F18" i="2"/>
  <c r="B14" i="1"/>
  <c r="B10" i="1"/>
  <c r="D17" i="1"/>
  <c r="H78" i="6"/>
  <c r="I79" i="6"/>
  <c r="G78" i="6"/>
  <c r="A83" i="6"/>
  <c r="C9" i="1"/>
  <c r="L28" i="7"/>
  <c r="D17" i="6"/>
  <c r="F82" i="6" l="1"/>
  <c r="F81" i="6"/>
  <c r="D81" i="6"/>
  <c r="E81" i="6"/>
  <c r="E16" i="1"/>
  <c r="J79" i="6"/>
  <c r="I78" i="6"/>
  <c r="B80" i="6"/>
  <c r="G81" i="6"/>
  <c r="G16" i="1"/>
  <c r="D22" i="1"/>
  <c r="A23" i="1"/>
  <c r="G22" i="1"/>
  <c r="B22" i="1"/>
  <c r="C22" i="1"/>
  <c r="F22" i="1"/>
  <c r="B25" i="6"/>
  <c r="D25" i="6"/>
  <c r="C25" i="6"/>
  <c r="F25" i="6"/>
  <c r="H25" i="6"/>
  <c r="A26" i="6"/>
  <c r="E25" i="6"/>
  <c r="K25" i="6"/>
  <c r="G25" i="6"/>
  <c r="J27" i="7"/>
  <c r="B26" i="7"/>
  <c r="I26" i="7" s="1"/>
  <c r="K12" i="1"/>
  <c r="L13" i="1"/>
  <c r="N26" i="6"/>
  <c r="B83" i="6"/>
  <c r="D83" i="6"/>
  <c r="A84" i="6"/>
  <c r="C83" i="6"/>
  <c r="F83" i="6"/>
  <c r="H80" i="6"/>
  <c r="I11" i="2"/>
  <c r="J12" i="2"/>
  <c r="H15" i="1"/>
  <c r="A20" i="2"/>
  <c r="G19" i="2"/>
  <c r="C19" i="2"/>
  <c r="B19" i="2"/>
  <c r="E19" i="2"/>
  <c r="D19" i="2"/>
  <c r="F19" i="2"/>
  <c r="J14" i="1"/>
  <c r="J15" i="1" s="1"/>
  <c r="J16" i="1" s="1"/>
  <c r="J23" i="1"/>
  <c r="I14" i="1"/>
  <c r="O11" i="6"/>
  <c r="P12" i="6"/>
  <c r="G80" i="6"/>
  <c r="E82" i="6" l="1"/>
  <c r="E17" i="1"/>
  <c r="E83" i="6" s="1"/>
  <c r="J17" i="1"/>
  <c r="H81" i="6"/>
  <c r="H16" i="1"/>
  <c r="B26" i="6"/>
  <c r="H26" i="6"/>
  <c r="A27" i="6"/>
  <c r="E26" i="6"/>
  <c r="G26" i="6"/>
  <c r="C26" i="6"/>
  <c r="J26" i="6"/>
  <c r="D26" i="6"/>
  <c r="K26" i="6"/>
  <c r="F26" i="6"/>
  <c r="L26" i="6"/>
  <c r="I26" i="6"/>
  <c r="M26" i="6"/>
  <c r="K12" i="2"/>
  <c r="J11" i="2"/>
  <c r="B84" i="6"/>
  <c r="C84" i="6"/>
  <c r="A85" i="6"/>
  <c r="D84" i="6"/>
  <c r="E84" i="6"/>
  <c r="F84" i="6"/>
  <c r="L12" i="1"/>
  <c r="M13" i="1"/>
  <c r="P11" i="6"/>
  <c r="Q12" i="6"/>
  <c r="K14" i="1"/>
  <c r="B23" i="1"/>
  <c r="G23" i="1"/>
  <c r="D23" i="1"/>
  <c r="A24" i="1"/>
  <c r="F23" i="1"/>
  <c r="C23" i="1"/>
  <c r="E23" i="1"/>
  <c r="I23" i="1"/>
  <c r="H23" i="1"/>
  <c r="G17" i="1"/>
  <c r="G82" i="6"/>
  <c r="O27" i="6"/>
  <c r="I15" i="1"/>
  <c r="C20" i="2"/>
  <c r="A21" i="2"/>
  <c r="I21" i="2" s="1"/>
  <c r="E20" i="2"/>
  <c r="D20" i="2"/>
  <c r="G20" i="2"/>
  <c r="B20" i="2"/>
  <c r="F20" i="2"/>
  <c r="H20" i="2"/>
  <c r="I80" i="6"/>
  <c r="K79" i="6"/>
  <c r="J78" i="6"/>
  <c r="J80" i="6"/>
  <c r="J81" i="6"/>
  <c r="J82" i="6"/>
  <c r="J83" i="6" l="1"/>
  <c r="J18" i="1"/>
  <c r="I16" i="1"/>
  <c r="I81" i="6"/>
  <c r="C24" i="1"/>
  <c r="G24" i="1"/>
  <c r="D24" i="1"/>
  <c r="B24" i="1"/>
  <c r="F24" i="1"/>
  <c r="A25" i="1"/>
  <c r="I24" i="1"/>
  <c r="E24" i="1"/>
  <c r="H24" i="1"/>
  <c r="J24" i="1"/>
  <c r="M12" i="1"/>
  <c r="N13" i="1"/>
  <c r="L79" i="6"/>
  <c r="K78" i="6"/>
  <c r="K80" i="6"/>
  <c r="C21" i="2"/>
  <c r="B21" i="2"/>
  <c r="E21" i="2"/>
  <c r="A22" i="2"/>
  <c r="G21" i="2"/>
  <c r="F21" i="2"/>
  <c r="D21" i="2"/>
  <c r="H21" i="2"/>
  <c r="K15" i="1"/>
  <c r="K81" i="6" s="1"/>
  <c r="L25" i="1"/>
  <c r="L14" i="1"/>
  <c r="L15" i="1" s="1"/>
  <c r="B85" i="6"/>
  <c r="C85" i="6"/>
  <c r="E85" i="6"/>
  <c r="F85" i="6"/>
  <c r="D85" i="6"/>
  <c r="A86" i="6"/>
  <c r="L12" i="2"/>
  <c r="K11" i="2"/>
  <c r="B27" i="6"/>
  <c r="F27" i="6"/>
  <c r="D27" i="6"/>
  <c r="G27" i="6"/>
  <c r="A28" i="6"/>
  <c r="P28" i="6" s="1"/>
  <c r="I27" i="6"/>
  <c r="C27" i="6"/>
  <c r="L27" i="6"/>
  <c r="E27" i="6"/>
  <c r="H27" i="6"/>
  <c r="M27" i="6"/>
  <c r="K27" i="6"/>
  <c r="J27" i="6"/>
  <c r="N27" i="6"/>
  <c r="H82" i="6"/>
  <c r="H17" i="1"/>
  <c r="G18" i="1"/>
  <c r="G83" i="6"/>
  <c r="K24" i="1"/>
  <c r="Q11" i="6"/>
  <c r="R12" i="6"/>
  <c r="G19" i="1" l="1"/>
  <c r="G84" i="6"/>
  <c r="L11" i="2"/>
  <c r="M12" i="2"/>
  <c r="B22" i="2"/>
  <c r="E22" i="2"/>
  <c r="D22" i="2"/>
  <c r="F22" i="2"/>
  <c r="C22" i="2"/>
  <c r="A23" i="2"/>
  <c r="G22" i="2"/>
  <c r="H22" i="2"/>
  <c r="I22" i="2"/>
  <c r="I17" i="1"/>
  <c r="I82" i="6"/>
  <c r="S12" i="6"/>
  <c r="R11" i="6"/>
  <c r="D86" i="6"/>
  <c r="A87" i="6"/>
  <c r="G86" i="6"/>
  <c r="E86" i="6"/>
  <c r="C86" i="6"/>
  <c r="F86" i="6"/>
  <c r="B86" i="6"/>
  <c r="M79" i="6"/>
  <c r="L78" i="6"/>
  <c r="L80" i="6"/>
  <c r="L81" i="6"/>
  <c r="J22" i="2"/>
  <c r="C25" i="1"/>
  <c r="G25" i="1"/>
  <c r="D25" i="1"/>
  <c r="F25" i="1"/>
  <c r="B25" i="1"/>
  <c r="I25" i="1"/>
  <c r="A26" i="1"/>
  <c r="E25" i="1"/>
  <c r="H25" i="1"/>
  <c r="J25" i="1"/>
  <c r="K25" i="1"/>
  <c r="D28" i="6"/>
  <c r="G28" i="6"/>
  <c r="B28" i="6"/>
  <c r="H28" i="6"/>
  <c r="L28" i="6"/>
  <c r="A29" i="6"/>
  <c r="E28" i="6"/>
  <c r="I28" i="6"/>
  <c r="M28" i="6"/>
  <c r="C28" i="6"/>
  <c r="F28" i="6"/>
  <c r="J28" i="6"/>
  <c r="K28" i="6"/>
  <c r="N28" i="6"/>
  <c r="O28" i="6"/>
  <c r="L16" i="1"/>
  <c r="L82" i="6" s="1"/>
  <c r="J19" i="1"/>
  <c r="J84" i="6"/>
  <c r="H18" i="1"/>
  <c r="H83" i="6"/>
  <c r="K23" i="2"/>
  <c r="K16" i="1"/>
  <c r="N12" i="1"/>
  <c r="O13" i="1"/>
  <c r="M14" i="1" l="1"/>
  <c r="M80" i="6" s="1"/>
  <c r="D23" i="2"/>
  <c r="F23" i="2"/>
  <c r="A24" i="2"/>
  <c r="G23" i="2"/>
  <c r="E23" i="2"/>
  <c r="H23" i="2"/>
  <c r="B23" i="2"/>
  <c r="C23" i="2"/>
  <c r="I23" i="2"/>
  <c r="J23" i="2"/>
  <c r="K17" i="1"/>
  <c r="K82" i="6"/>
  <c r="J20" i="1"/>
  <c r="J85" i="6"/>
  <c r="E29" i="6"/>
  <c r="H29" i="6"/>
  <c r="A30" i="6"/>
  <c r="D29" i="6"/>
  <c r="I29" i="6"/>
  <c r="M29" i="6"/>
  <c r="C29" i="6"/>
  <c r="F29" i="6"/>
  <c r="J29" i="6"/>
  <c r="B29" i="6"/>
  <c r="G29" i="6"/>
  <c r="K29" i="6"/>
  <c r="L29" i="6"/>
  <c r="N29" i="6"/>
  <c r="O29" i="6"/>
  <c r="P29" i="6"/>
  <c r="N79" i="6"/>
  <c r="M78" i="6"/>
  <c r="S11" i="6"/>
  <c r="T12" i="6"/>
  <c r="N12" i="2"/>
  <c r="M11" i="2"/>
  <c r="H87" i="6"/>
  <c r="C87" i="6"/>
  <c r="F87" i="6"/>
  <c r="D87" i="6"/>
  <c r="A88" i="6"/>
  <c r="B87" i="6"/>
  <c r="E87" i="6"/>
  <c r="G87" i="6"/>
  <c r="L24" i="2"/>
  <c r="G85" i="6"/>
  <c r="P13" i="1"/>
  <c r="O12" i="1"/>
  <c r="H19" i="1"/>
  <c r="H84" i="6"/>
  <c r="L17" i="1"/>
  <c r="Q29" i="6"/>
  <c r="B26" i="1"/>
  <c r="G26" i="1"/>
  <c r="D26" i="1"/>
  <c r="F26" i="1"/>
  <c r="A27" i="1"/>
  <c r="I26" i="1"/>
  <c r="C26" i="1"/>
  <c r="E26" i="1"/>
  <c r="H26" i="1"/>
  <c r="J26" i="1"/>
  <c r="K26" i="1"/>
  <c r="L26" i="1"/>
  <c r="I83" i="6"/>
  <c r="I18" i="1"/>
  <c r="M26" i="1"/>
  <c r="M15" i="1" l="1"/>
  <c r="M81" i="6" s="1"/>
  <c r="D27" i="1"/>
  <c r="H27" i="1"/>
  <c r="B27" i="1"/>
  <c r="E27" i="1"/>
  <c r="I27" i="1"/>
  <c r="G27" i="1"/>
  <c r="A28" i="1"/>
  <c r="O28" i="1" s="1"/>
  <c r="C27" i="1"/>
  <c r="F27" i="1"/>
  <c r="J27" i="1"/>
  <c r="K27" i="1"/>
  <c r="L27" i="1"/>
  <c r="M27" i="1"/>
  <c r="O12" i="2"/>
  <c r="N11" i="2"/>
  <c r="N78" i="6"/>
  <c r="O79" i="6"/>
  <c r="N27" i="1"/>
  <c r="N14" i="1"/>
  <c r="N15" i="1" s="1"/>
  <c r="N81" i="6" s="1"/>
  <c r="Q13" i="1"/>
  <c r="P12" i="1"/>
  <c r="I19" i="1"/>
  <c r="I84" i="6"/>
  <c r="L18" i="1"/>
  <c r="L83" i="6"/>
  <c r="E88" i="6"/>
  <c r="G88" i="6"/>
  <c r="F88" i="6"/>
  <c r="C88" i="6"/>
  <c r="H88" i="6"/>
  <c r="B88" i="6"/>
  <c r="I88" i="6"/>
  <c r="A89" i="6"/>
  <c r="D88" i="6"/>
  <c r="C30" i="6"/>
  <c r="G30" i="6"/>
  <c r="K30" i="6"/>
  <c r="E30" i="6"/>
  <c r="H30" i="6"/>
  <c r="L30" i="6"/>
  <c r="A31" i="6"/>
  <c r="D30" i="6"/>
  <c r="I30" i="6"/>
  <c r="M30" i="6"/>
  <c r="B30" i="6"/>
  <c r="F30" i="6"/>
  <c r="J30" i="6"/>
  <c r="N30" i="6"/>
  <c r="O30" i="6"/>
  <c r="P30" i="6"/>
  <c r="Q30" i="6"/>
  <c r="K18" i="1"/>
  <c r="K83" i="6"/>
  <c r="H20" i="1"/>
  <c r="H85" i="6"/>
  <c r="U12" i="6"/>
  <c r="T11" i="6"/>
  <c r="J21" i="1"/>
  <c r="J86" i="6"/>
  <c r="A25" i="2"/>
  <c r="G24" i="2"/>
  <c r="C24" i="2"/>
  <c r="D24" i="2"/>
  <c r="E24" i="2"/>
  <c r="F24" i="2"/>
  <c r="B24" i="2"/>
  <c r="H24" i="2"/>
  <c r="I24" i="2"/>
  <c r="J24" i="2"/>
  <c r="K24" i="2"/>
  <c r="R30" i="6"/>
  <c r="M16" i="1" l="1"/>
  <c r="M17" i="1" s="1"/>
  <c r="B25" i="2"/>
  <c r="F25" i="2"/>
  <c r="A26" i="2"/>
  <c r="E25" i="2"/>
  <c r="C25" i="2"/>
  <c r="G25" i="2"/>
  <c r="H25" i="2"/>
  <c r="D25" i="2"/>
  <c r="I25" i="2"/>
  <c r="J25" i="2"/>
  <c r="K25" i="2"/>
  <c r="L25" i="2"/>
  <c r="H86" i="6"/>
  <c r="K19" i="1"/>
  <c r="K84" i="6"/>
  <c r="C31" i="6"/>
  <c r="B31" i="6"/>
  <c r="I31" i="6"/>
  <c r="M31" i="6"/>
  <c r="E31" i="6"/>
  <c r="F31" i="6"/>
  <c r="J31" i="6"/>
  <c r="A32" i="6"/>
  <c r="G31" i="6"/>
  <c r="K31" i="6"/>
  <c r="D31" i="6"/>
  <c r="H31" i="6"/>
  <c r="L31" i="6"/>
  <c r="N31" i="6"/>
  <c r="O31" i="6"/>
  <c r="P31" i="6"/>
  <c r="Q31" i="6"/>
  <c r="R31" i="6"/>
  <c r="L19" i="1"/>
  <c r="L84" i="6"/>
  <c r="I20" i="1"/>
  <c r="I85" i="6"/>
  <c r="T32" i="6"/>
  <c r="U11" i="6"/>
  <c r="V12" i="6"/>
  <c r="N16" i="1"/>
  <c r="C89" i="6"/>
  <c r="I89" i="6"/>
  <c r="B89" i="6"/>
  <c r="D89" i="6"/>
  <c r="E89" i="6"/>
  <c r="F89" i="6"/>
  <c r="H89" i="6"/>
  <c r="G89" i="6"/>
  <c r="A90" i="6"/>
  <c r="J89" i="6"/>
  <c r="R13" i="1"/>
  <c r="Q12" i="1"/>
  <c r="P79" i="6"/>
  <c r="O78" i="6"/>
  <c r="S31" i="6"/>
  <c r="P12" i="2"/>
  <c r="O11" i="2"/>
  <c r="N26" i="2"/>
  <c r="O14" i="1"/>
  <c r="O80" i="6" s="1"/>
  <c r="B28" i="1"/>
  <c r="E28" i="1"/>
  <c r="I28" i="1"/>
  <c r="A29" i="1"/>
  <c r="P29" i="1" s="1"/>
  <c r="F28" i="1"/>
  <c r="D28" i="1"/>
  <c r="G28" i="1"/>
  <c r="C28" i="1"/>
  <c r="H28" i="1"/>
  <c r="J28" i="1"/>
  <c r="K28" i="1"/>
  <c r="L28" i="1"/>
  <c r="M28" i="1"/>
  <c r="N28" i="1"/>
  <c r="J22" i="1"/>
  <c r="J87" i="6"/>
  <c r="M25" i="2"/>
  <c r="N80" i="6"/>
  <c r="M82" i="6" l="1"/>
  <c r="M83" i="6"/>
  <c r="M18" i="1"/>
  <c r="P14" i="1"/>
  <c r="P80" i="6" s="1"/>
  <c r="K20" i="1"/>
  <c r="K85" i="6"/>
  <c r="J88" i="6"/>
  <c r="A30" i="1"/>
  <c r="F29" i="1"/>
  <c r="B29" i="1"/>
  <c r="C29" i="1"/>
  <c r="H29" i="1"/>
  <c r="D29" i="1"/>
  <c r="E29" i="1"/>
  <c r="I29" i="1"/>
  <c r="J29" i="1"/>
  <c r="K29" i="1"/>
  <c r="L29" i="1"/>
  <c r="M29" i="1"/>
  <c r="N29" i="1"/>
  <c r="O29" i="1"/>
  <c r="Q79" i="6"/>
  <c r="P78" i="6"/>
  <c r="B90" i="6"/>
  <c r="C90" i="6"/>
  <c r="I90" i="6"/>
  <c r="D90" i="6"/>
  <c r="F90" i="6"/>
  <c r="E90" i="6"/>
  <c r="K90" i="6"/>
  <c r="H90" i="6"/>
  <c r="J90" i="6"/>
  <c r="G90" i="6"/>
  <c r="A91" i="6"/>
  <c r="R12" i="1"/>
  <c r="S13" i="1"/>
  <c r="W12" i="6"/>
  <c r="V11" i="6"/>
  <c r="O15" i="1"/>
  <c r="P11" i="2"/>
  <c r="Q12" i="2"/>
  <c r="Q30" i="1"/>
  <c r="Q14" i="1"/>
  <c r="N17" i="1"/>
  <c r="N82" i="6"/>
  <c r="I21" i="1"/>
  <c r="I86" i="6"/>
  <c r="L20" i="1"/>
  <c r="L85" i="6"/>
  <c r="C32" i="6"/>
  <c r="F32" i="6"/>
  <c r="J32" i="6"/>
  <c r="A33" i="6"/>
  <c r="G32" i="6"/>
  <c r="K32" i="6"/>
  <c r="D32" i="6"/>
  <c r="H32" i="6"/>
  <c r="L32" i="6"/>
  <c r="E32" i="6"/>
  <c r="B32" i="6"/>
  <c r="I32" i="6"/>
  <c r="M32" i="6"/>
  <c r="N32" i="6"/>
  <c r="O32" i="6"/>
  <c r="P32" i="6"/>
  <c r="Q32" i="6"/>
  <c r="R32" i="6"/>
  <c r="S32" i="6"/>
  <c r="D26" i="2"/>
  <c r="G26" i="2"/>
  <c r="C26" i="2"/>
  <c r="F26" i="2"/>
  <c r="A27" i="2"/>
  <c r="H26" i="2"/>
  <c r="B26" i="2"/>
  <c r="E26" i="2"/>
  <c r="I26" i="2"/>
  <c r="J26" i="2"/>
  <c r="K26" i="2"/>
  <c r="L26" i="2"/>
  <c r="M26" i="2"/>
  <c r="X12" i="6" l="1"/>
  <c r="W11" i="6"/>
  <c r="K21" i="1"/>
  <c r="K86" i="6"/>
  <c r="A28" i="2"/>
  <c r="G27" i="2"/>
  <c r="B27" i="2"/>
  <c r="H27" i="2"/>
  <c r="C27" i="2"/>
  <c r="E27" i="2"/>
  <c r="D27" i="2"/>
  <c r="F27" i="2"/>
  <c r="I27" i="2"/>
  <c r="J27" i="2"/>
  <c r="K27" i="2"/>
  <c r="L27" i="2"/>
  <c r="M27" i="2"/>
  <c r="N27" i="2"/>
  <c r="D33" i="6"/>
  <c r="G33" i="6"/>
  <c r="K33" i="6"/>
  <c r="B33" i="6"/>
  <c r="H33" i="6"/>
  <c r="L33" i="6"/>
  <c r="C33" i="6"/>
  <c r="A34" i="6"/>
  <c r="I33" i="6"/>
  <c r="M33" i="6"/>
  <c r="E33" i="6"/>
  <c r="F33" i="6"/>
  <c r="J33" i="6"/>
  <c r="N33" i="6"/>
  <c r="O33" i="6"/>
  <c r="P33" i="6"/>
  <c r="Q33" i="6"/>
  <c r="R33" i="6"/>
  <c r="S33" i="6"/>
  <c r="T33" i="6"/>
  <c r="Q15" i="1"/>
  <c r="Q81" i="6" s="1"/>
  <c r="V34" i="6"/>
  <c r="K91" i="6"/>
  <c r="J91" i="6"/>
  <c r="L91" i="6"/>
  <c r="G91" i="6"/>
  <c r="B91" i="6"/>
  <c r="D91" i="6"/>
  <c r="C91" i="6"/>
  <c r="I91" i="6"/>
  <c r="F91" i="6"/>
  <c r="H91" i="6"/>
  <c r="E91" i="6"/>
  <c r="A92" i="6"/>
  <c r="M84" i="6"/>
  <c r="M19" i="1"/>
  <c r="R12" i="2"/>
  <c r="Q11" i="2"/>
  <c r="L21" i="1"/>
  <c r="L86" i="6"/>
  <c r="I87" i="6"/>
  <c r="P28" i="2"/>
  <c r="T13" i="1"/>
  <c r="S12" i="1"/>
  <c r="Q78" i="6"/>
  <c r="R79" i="6"/>
  <c r="Q80" i="6"/>
  <c r="U33" i="6"/>
  <c r="N83" i="6"/>
  <c r="N18" i="1"/>
  <c r="O16" i="1"/>
  <c r="O81" i="6"/>
  <c r="R14" i="1"/>
  <c r="R15" i="1" s="1"/>
  <c r="R16" i="1" s="1"/>
  <c r="O27" i="2"/>
  <c r="A31" i="1"/>
  <c r="G30" i="1"/>
  <c r="C30" i="1"/>
  <c r="H30" i="1"/>
  <c r="B30" i="1"/>
  <c r="E30" i="1"/>
  <c r="I30" i="1"/>
  <c r="D30" i="1"/>
  <c r="F30" i="1"/>
  <c r="J30" i="1"/>
  <c r="K30" i="1"/>
  <c r="L30" i="1"/>
  <c r="M30" i="1"/>
  <c r="N30" i="1"/>
  <c r="O30" i="1"/>
  <c r="P30" i="1"/>
  <c r="P15" i="1"/>
  <c r="P81" i="6" l="1"/>
  <c r="P16" i="1"/>
  <c r="O82" i="6"/>
  <c r="O17" i="1"/>
  <c r="N19" i="1"/>
  <c r="N84" i="6"/>
  <c r="S12" i="2"/>
  <c r="R11" i="2"/>
  <c r="D31" i="1"/>
  <c r="H31" i="1"/>
  <c r="C31" i="1"/>
  <c r="E31" i="1"/>
  <c r="I31" i="1"/>
  <c r="A32" i="1"/>
  <c r="F31" i="1"/>
  <c r="B31" i="1"/>
  <c r="G31" i="1"/>
  <c r="J31" i="1"/>
  <c r="K31" i="1"/>
  <c r="L31" i="1"/>
  <c r="M31" i="1"/>
  <c r="N31" i="1"/>
  <c r="O31" i="1"/>
  <c r="P31" i="1"/>
  <c r="Q31" i="1"/>
  <c r="S32" i="1"/>
  <c r="L22" i="1"/>
  <c r="L87" i="6"/>
  <c r="K92" i="6"/>
  <c r="L92" i="6"/>
  <c r="B92" i="6"/>
  <c r="I92" i="6"/>
  <c r="G92" i="6"/>
  <c r="D92" i="6"/>
  <c r="A93" i="6"/>
  <c r="C92" i="6"/>
  <c r="M92" i="6"/>
  <c r="J92" i="6"/>
  <c r="F92" i="6"/>
  <c r="E92" i="6"/>
  <c r="H92" i="6"/>
  <c r="Y12" i="6"/>
  <c r="X11" i="6"/>
  <c r="R31" i="1"/>
  <c r="T12" i="1"/>
  <c r="U13" i="1"/>
  <c r="M85" i="6"/>
  <c r="M20" i="1"/>
  <c r="Q16" i="1"/>
  <c r="B34" i="6"/>
  <c r="G34" i="6"/>
  <c r="K34" i="6"/>
  <c r="E34" i="6"/>
  <c r="A35" i="6"/>
  <c r="H34" i="6"/>
  <c r="L34" i="6"/>
  <c r="C34" i="6"/>
  <c r="I34" i="6"/>
  <c r="M34" i="6"/>
  <c r="D34" i="6"/>
  <c r="F34" i="6"/>
  <c r="J34" i="6"/>
  <c r="N34" i="6"/>
  <c r="O34" i="6"/>
  <c r="P34" i="6"/>
  <c r="Q34" i="6"/>
  <c r="R34" i="6"/>
  <c r="S34" i="6"/>
  <c r="T34" i="6"/>
  <c r="U34" i="6"/>
  <c r="K22" i="1"/>
  <c r="K87" i="6"/>
  <c r="R17" i="1"/>
  <c r="R83" i="6" s="1"/>
  <c r="R78" i="6"/>
  <c r="S79" i="6"/>
  <c r="R81" i="6"/>
  <c r="R80" i="6"/>
  <c r="R82" i="6"/>
  <c r="D28" i="2"/>
  <c r="G28" i="2"/>
  <c r="B28" i="2"/>
  <c r="H28" i="2"/>
  <c r="A29" i="2"/>
  <c r="E28" i="2"/>
  <c r="C28" i="2"/>
  <c r="F28" i="2"/>
  <c r="I28" i="2"/>
  <c r="J28" i="2"/>
  <c r="K28" i="2"/>
  <c r="L28" i="2"/>
  <c r="M28" i="2"/>
  <c r="N28" i="2"/>
  <c r="O28" i="2"/>
  <c r="A36" i="6" l="1"/>
  <c r="H35" i="6"/>
  <c r="L35" i="6"/>
  <c r="D35" i="6"/>
  <c r="C35" i="6"/>
  <c r="I35" i="6"/>
  <c r="M35" i="6"/>
  <c r="B35" i="6"/>
  <c r="F35" i="6"/>
  <c r="J35" i="6"/>
  <c r="E35" i="6"/>
  <c r="G35" i="6"/>
  <c r="K35" i="6"/>
  <c r="N35" i="6"/>
  <c r="O35" i="6"/>
  <c r="P35" i="6"/>
  <c r="Q35" i="6"/>
  <c r="R35" i="6"/>
  <c r="S35" i="6"/>
  <c r="T35" i="6"/>
  <c r="U35" i="6"/>
  <c r="V35" i="6"/>
  <c r="M86" i="6"/>
  <c r="M21" i="1"/>
  <c r="L23" i="1"/>
  <c r="L88" i="6"/>
  <c r="S14" i="1"/>
  <c r="S80" i="6" s="1"/>
  <c r="P17" i="1"/>
  <c r="P82" i="6"/>
  <c r="Q17" i="1"/>
  <c r="Q82" i="6"/>
  <c r="O18" i="1"/>
  <c r="O83" i="6"/>
  <c r="D29" i="2"/>
  <c r="E29" i="2"/>
  <c r="A30" i="2"/>
  <c r="F29" i="2"/>
  <c r="B29" i="2"/>
  <c r="G29" i="2"/>
  <c r="C29" i="2"/>
  <c r="H29" i="2"/>
  <c r="I29" i="2"/>
  <c r="J29" i="2"/>
  <c r="K29" i="2"/>
  <c r="L29" i="2"/>
  <c r="M29" i="2"/>
  <c r="N29" i="2"/>
  <c r="O29" i="2"/>
  <c r="P29" i="2"/>
  <c r="K23" i="1"/>
  <c r="K88" i="6"/>
  <c r="X36" i="6"/>
  <c r="B32" i="1"/>
  <c r="E32" i="1"/>
  <c r="I32" i="1"/>
  <c r="A33" i="1"/>
  <c r="F32" i="1"/>
  <c r="C32" i="1"/>
  <c r="G32" i="1"/>
  <c r="D32" i="1"/>
  <c r="H32" i="1"/>
  <c r="J32" i="1"/>
  <c r="K32" i="1"/>
  <c r="L32" i="1"/>
  <c r="M32" i="1"/>
  <c r="N32" i="1"/>
  <c r="O32" i="1"/>
  <c r="P32" i="1"/>
  <c r="Q32" i="1"/>
  <c r="R32" i="1"/>
  <c r="S11" i="2"/>
  <c r="T12" i="2"/>
  <c r="N85" i="6"/>
  <c r="N20" i="1"/>
  <c r="Q29" i="2"/>
  <c r="S78" i="6"/>
  <c r="T79" i="6"/>
  <c r="R18" i="1"/>
  <c r="U12" i="1"/>
  <c r="T14" i="1" s="1"/>
  <c r="V13" i="1"/>
  <c r="Z12" i="6"/>
  <c r="Y11" i="6"/>
  <c r="L93" i="6"/>
  <c r="K93" i="6"/>
  <c r="G93" i="6"/>
  <c r="M93" i="6"/>
  <c r="D93" i="6"/>
  <c r="C93" i="6"/>
  <c r="F93" i="6"/>
  <c r="I93" i="6"/>
  <c r="J93" i="6"/>
  <c r="N93" i="6"/>
  <c r="H93" i="6"/>
  <c r="E93" i="6"/>
  <c r="B93" i="6"/>
  <c r="A94" i="6"/>
  <c r="W35" i="6"/>
  <c r="S15" i="1" l="1"/>
  <c r="S16" i="1" s="1"/>
  <c r="S82" i="6" s="1"/>
  <c r="AA12" i="6"/>
  <c r="Z11" i="6"/>
  <c r="U12" i="2"/>
  <c r="T11" i="2"/>
  <c r="C30" i="2"/>
  <c r="F30" i="2"/>
  <c r="D30" i="2"/>
  <c r="G30" i="2"/>
  <c r="B30" i="2"/>
  <c r="H30" i="2"/>
  <c r="A31" i="2"/>
  <c r="E30" i="2"/>
  <c r="I30" i="2"/>
  <c r="J30" i="2"/>
  <c r="K30" i="2"/>
  <c r="L30" i="2"/>
  <c r="M30" i="2"/>
  <c r="N30" i="2"/>
  <c r="O30" i="2"/>
  <c r="P30" i="2"/>
  <c r="Q30" i="2"/>
  <c r="Q18" i="1"/>
  <c r="Q83" i="6"/>
  <c r="P18" i="1"/>
  <c r="P83" i="6"/>
  <c r="T15" i="1"/>
  <c r="T81" i="6" s="1"/>
  <c r="I94" i="6"/>
  <c r="L94" i="6"/>
  <c r="J94" i="6"/>
  <c r="A95" i="6"/>
  <c r="E94" i="6"/>
  <c r="D94" i="6"/>
  <c r="H94" i="6"/>
  <c r="C94" i="6"/>
  <c r="N94" i="6"/>
  <c r="O94" i="6"/>
  <c r="K94" i="6"/>
  <c r="M94" i="6"/>
  <c r="F94" i="6"/>
  <c r="G94" i="6"/>
  <c r="B94" i="6"/>
  <c r="W13" i="1"/>
  <c r="V12" i="1"/>
  <c r="U79" i="6"/>
  <c r="T78" i="6"/>
  <c r="T80" i="6"/>
  <c r="N86" i="6"/>
  <c r="N21" i="1"/>
  <c r="S31" i="2"/>
  <c r="B33" i="1"/>
  <c r="E33" i="1"/>
  <c r="I33" i="1"/>
  <c r="C33" i="1"/>
  <c r="F33" i="1"/>
  <c r="D33" i="1"/>
  <c r="G33" i="1"/>
  <c r="A34" i="1"/>
  <c r="H33" i="1"/>
  <c r="J33" i="1"/>
  <c r="K33" i="1"/>
  <c r="L33" i="1"/>
  <c r="M33" i="1"/>
  <c r="N33" i="1"/>
  <c r="O33" i="1"/>
  <c r="P33" i="1"/>
  <c r="Q33" i="1"/>
  <c r="R33" i="1"/>
  <c r="S33" i="1"/>
  <c r="K89" i="6"/>
  <c r="O19" i="1"/>
  <c r="O84" i="6"/>
  <c r="M87" i="6"/>
  <c r="M22" i="1"/>
  <c r="A37" i="6"/>
  <c r="H36" i="6"/>
  <c r="L36" i="6"/>
  <c r="C36" i="6"/>
  <c r="E36" i="6"/>
  <c r="I36" i="6"/>
  <c r="M36" i="6"/>
  <c r="B36" i="6"/>
  <c r="G36" i="6"/>
  <c r="K36" i="6"/>
  <c r="D36" i="6"/>
  <c r="F36" i="6"/>
  <c r="J36" i="6"/>
  <c r="N36" i="6"/>
  <c r="O36" i="6"/>
  <c r="P36" i="6"/>
  <c r="Q36" i="6"/>
  <c r="R36" i="6"/>
  <c r="S36" i="6"/>
  <c r="T36" i="6"/>
  <c r="U36" i="6"/>
  <c r="V36" i="6"/>
  <c r="W36" i="6"/>
  <c r="U34" i="1"/>
  <c r="U14" i="1"/>
  <c r="L24" i="1"/>
  <c r="L89" i="6"/>
  <c r="T33" i="1"/>
  <c r="Y37" i="6"/>
  <c r="R19" i="1"/>
  <c r="R84" i="6"/>
  <c r="R30" i="2"/>
  <c r="T16" i="1" l="1"/>
  <c r="T82" i="6" s="1"/>
  <c r="S17" i="1"/>
  <c r="S18" i="1" s="1"/>
  <c r="S81" i="6"/>
  <c r="L90" i="6"/>
  <c r="N87" i="6"/>
  <c r="N22" i="1"/>
  <c r="V12" i="2"/>
  <c r="U11" i="2"/>
  <c r="M23" i="1"/>
  <c r="M88" i="6"/>
  <c r="O85" i="6"/>
  <c r="O20" i="1"/>
  <c r="V79" i="6"/>
  <c r="U78" i="6"/>
  <c r="U80" i="6"/>
  <c r="U15" i="1"/>
  <c r="C34" i="1"/>
  <c r="H34" i="1"/>
  <c r="B34" i="1"/>
  <c r="E34" i="1"/>
  <c r="I34" i="1"/>
  <c r="A35" i="1"/>
  <c r="F34" i="1"/>
  <c r="D34" i="1"/>
  <c r="G34" i="1"/>
  <c r="J34" i="1"/>
  <c r="K34" i="1"/>
  <c r="L34" i="1"/>
  <c r="M34" i="1"/>
  <c r="N34" i="1"/>
  <c r="O34" i="1"/>
  <c r="P34" i="1"/>
  <c r="Q34" i="1"/>
  <c r="R34" i="1"/>
  <c r="S34" i="1"/>
  <c r="T34" i="1"/>
  <c r="V35" i="1"/>
  <c r="E95" i="6"/>
  <c r="F95" i="6"/>
  <c r="D95" i="6"/>
  <c r="L95" i="6"/>
  <c r="P95" i="6"/>
  <c r="A96" i="6"/>
  <c r="B95" i="6"/>
  <c r="O95" i="6"/>
  <c r="M95" i="6"/>
  <c r="H95" i="6"/>
  <c r="K95" i="6"/>
  <c r="G95" i="6"/>
  <c r="I95" i="6"/>
  <c r="N95" i="6"/>
  <c r="C95" i="6"/>
  <c r="J95" i="6"/>
  <c r="P19" i="1"/>
  <c r="P84" i="6"/>
  <c r="Q19" i="1"/>
  <c r="Q84" i="6"/>
  <c r="D31" i="2"/>
  <c r="F31" i="2"/>
  <c r="C31" i="2"/>
  <c r="E31" i="2"/>
  <c r="A32" i="2"/>
  <c r="G31" i="2"/>
  <c r="B31" i="2"/>
  <c r="H31" i="2"/>
  <c r="I31" i="2"/>
  <c r="J31" i="2"/>
  <c r="K31" i="2"/>
  <c r="L31" i="2"/>
  <c r="M31" i="2"/>
  <c r="N31" i="2"/>
  <c r="O31" i="2"/>
  <c r="P31" i="2"/>
  <c r="Q31" i="2"/>
  <c r="R31" i="2"/>
  <c r="AA11" i="6"/>
  <c r="AB12" i="6"/>
  <c r="R20" i="1"/>
  <c r="R85" i="6"/>
  <c r="B37" i="6"/>
  <c r="F37" i="6"/>
  <c r="J37" i="6"/>
  <c r="E37" i="6"/>
  <c r="G37" i="6"/>
  <c r="K37" i="6"/>
  <c r="H37" i="6"/>
  <c r="A38" i="6"/>
  <c r="Z38" i="6" s="1"/>
  <c r="I37" i="6"/>
  <c r="C37" i="6"/>
  <c r="L37" i="6"/>
  <c r="D37" i="6"/>
  <c r="M37" i="6"/>
  <c r="N37" i="6"/>
  <c r="O37" i="6"/>
  <c r="P37" i="6"/>
  <c r="Q37" i="6"/>
  <c r="R37" i="6"/>
  <c r="S37" i="6"/>
  <c r="T37" i="6"/>
  <c r="U37" i="6"/>
  <c r="V37" i="6"/>
  <c r="W37" i="6"/>
  <c r="X37" i="6"/>
  <c r="W12" i="1"/>
  <c r="V14" i="1" s="1"/>
  <c r="X13" i="1"/>
  <c r="T32" i="2"/>
  <c r="S83" i="6" l="1"/>
  <c r="T17" i="1"/>
  <c r="R21" i="1"/>
  <c r="R86" i="6"/>
  <c r="O21" i="1"/>
  <c r="O86" i="6"/>
  <c r="V11" i="2"/>
  <c r="W12" i="2"/>
  <c r="E38" i="6"/>
  <c r="D38" i="6"/>
  <c r="I38" i="6"/>
  <c r="M38" i="6"/>
  <c r="B38" i="6"/>
  <c r="F38" i="6"/>
  <c r="J38" i="6"/>
  <c r="A39" i="6"/>
  <c r="K38" i="6"/>
  <c r="C38" i="6"/>
  <c r="L38" i="6"/>
  <c r="G38" i="6"/>
  <c r="H38" i="6"/>
  <c r="N38" i="6"/>
  <c r="O38" i="6"/>
  <c r="P38" i="6"/>
  <c r="Q38" i="6"/>
  <c r="R38" i="6"/>
  <c r="S38" i="6"/>
  <c r="T38" i="6"/>
  <c r="U38" i="6"/>
  <c r="V38" i="6"/>
  <c r="W38" i="6"/>
  <c r="X38" i="6"/>
  <c r="Y38" i="6"/>
  <c r="Q20" i="1"/>
  <c r="Q85" i="6"/>
  <c r="P20" i="1"/>
  <c r="P85" i="6"/>
  <c r="U16" i="1"/>
  <c r="M24" i="1"/>
  <c r="M89" i="6"/>
  <c r="S19" i="1"/>
  <c r="S84" i="6"/>
  <c r="Y13" i="1"/>
  <c r="X12" i="1"/>
  <c r="C32" i="2"/>
  <c r="H32" i="2"/>
  <c r="B32" i="2"/>
  <c r="E32" i="2"/>
  <c r="D32" i="2"/>
  <c r="F32" i="2"/>
  <c r="A33" i="2"/>
  <c r="G32" i="2"/>
  <c r="I32" i="2"/>
  <c r="J32" i="2"/>
  <c r="K32" i="2"/>
  <c r="L32" i="2"/>
  <c r="M32" i="2"/>
  <c r="N32" i="2"/>
  <c r="O32" i="2"/>
  <c r="P32" i="2"/>
  <c r="Q32" i="2"/>
  <c r="R32" i="2"/>
  <c r="S32" i="2"/>
  <c r="U81" i="6"/>
  <c r="W79" i="6"/>
  <c r="V78" i="6"/>
  <c r="V80" i="6"/>
  <c r="W14" i="1"/>
  <c r="AC12" i="6"/>
  <c r="AB11" i="6"/>
  <c r="I96" i="6"/>
  <c r="P96" i="6"/>
  <c r="C96" i="6"/>
  <c r="J96" i="6"/>
  <c r="E96" i="6"/>
  <c r="H96" i="6"/>
  <c r="B96" i="6"/>
  <c r="Q96" i="6"/>
  <c r="M96" i="6"/>
  <c r="F96" i="6"/>
  <c r="K96" i="6"/>
  <c r="O96" i="6"/>
  <c r="G96" i="6"/>
  <c r="N96" i="6"/>
  <c r="L96" i="6"/>
  <c r="D96" i="6"/>
  <c r="A97" i="6"/>
  <c r="V15" i="1"/>
  <c r="V16" i="1" s="1"/>
  <c r="C35" i="1"/>
  <c r="E35" i="1"/>
  <c r="I35" i="1"/>
  <c r="D35" i="1"/>
  <c r="F35" i="1"/>
  <c r="B35" i="1"/>
  <c r="H35" i="1"/>
  <c r="G35" i="1"/>
  <c r="A36" i="1"/>
  <c r="J35" i="1"/>
  <c r="K35" i="1"/>
  <c r="L35" i="1"/>
  <c r="M35" i="1"/>
  <c r="N35" i="1"/>
  <c r="O35" i="1"/>
  <c r="P35" i="1"/>
  <c r="Q35" i="1"/>
  <c r="R35" i="1"/>
  <c r="S35" i="1"/>
  <c r="T35" i="1"/>
  <c r="U35" i="1"/>
  <c r="U33" i="2"/>
  <c r="N23" i="1"/>
  <c r="N88" i="6"/>
  <c r="T18" i="1" l="1"/>
  <c r="T83" i="6"/>
  <c r="V17" i="1"/>
  <c r="V82" i="6"/>
  <c r="X79" i="6"/>
  <c r="W78" i="6"/>
  <c r="W80" i="6"/>
  <c r="C33" i="2"/>
  <c r="H33" i="2"/>
  <c r="A34" i="2"/>
  <c r="E33" i="2"/>
  <c r="B33" i="2"/>
  <c r="F33" i="2"/>
  <c r="D33" i="2"/>
  <c r="G33" i="2"/>
  <c r="I33" i="2"/>
  <c r="J33" i="2"/>
  <c r="K33" i="2"/>
  <c r="L33" i="2"/>
  <c r="M33" i="2"/>
  <c r="N33" i="2"/>
  <c r="O33" i="2"/>
  <c r="P33" i="2"/>
  <c r="Q33" i="2"/>
  <c r="R33" i="2"/>
  <c r="S33" i="2"/>
  <c r="T33" i="2"/>
  <c r="K97" i="6"/>
  <c r="D97" i="6"/>
  <c r="Q97" i="6"/>
  <c r="B97" i="6"/>
  <c r="J97" i="6"/>
  <c r="O97" i="6"/>
  <c r="L97" i="6"/>
  <c r="A98" i="6"/>
  <c r="R97" i="6"/>
  <c r="E97" i="6"/>
  <c r="G97" i="6"/>
  <c r="I97" i="6"/>
  <c r="C97" i="6"/>
  <c r="P97" i="6"/>
  <c r="F97" i="6"/>
  <c r="H97" i="6"/>
  <c r="M97" i="6"/>
  <c r="N97" i="6"/>
  <c r="V81" i="6"/>
  <c r="A40" i="6"/>
  <c r="F39" i="6"/>
  <c r="J39" i="6"/>
  <c r="B39" i="6"/>
  <c r="G39" i="6"/>
  <c r="K39" i="6"/>
  <c r="H39" i="6"/>
  <c r="D39" i="6"/>
  <c r="I39" i="6"/>
  <c r="E39" i="6"/>
  <c r="L39" i="6"/>
  <c r="C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W11" i="2"/>
  <c r="X12" i="2"/>
  <c r="O22" i="1"/>
  <c r="O87" i="6"/>
  <c r="R22" i="1"/>
  <c r="R87" i="6"/>
  <c r="N24" i="1"/>
  <c r="N89" i="6"/>
  <c r="AB40" i="6"/>
  <c r="S85" i="6"/>
  <c r="S20" i="1"/>
  <c r="M25" i="1"/>
  <c r="M90" i="6"/>
  <c r="U17" i="1"/>
  <c r="U82" i="6"/>
  <c r="P21" i="1"/>
  <c r="P86" i="6"/>
  <c r="Q21" i="1"/>
  <c r="Q86" i="6"/>
  <c r="V34" i="2"/>
  <c r="AA39" i="6"/>
  <c r="A37" i="1"/>
  <c r="X37" i="1" s="1"/>
  <c r="F36" i="1"/>
  <c r="D36" i="1"/>
  <c r="G36" i="1"/>
  <c r="B36" i="1"/>
  <c r="E36" i="1"/>
  <c r="I36" i="1"/>
  <c r="C36" i="1"/>
  <c r="H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AC11" i="6"/>
  <c r="AD12" i="6"/>
  <c r="W36" i="1"/>
  <c r="W15" i="1"/>
  <c r="Y12" i="1"/>
  <c r="X14" i="1" s="1"/>
  <c r="Z13" i="1"/>
  <c r="T19" i="1" l="1"/>
  <c r="T84" i="6"/>
  <c r="U18" i="1"/>
  <c r="U83" i="6"/>
  <c r="M91" i="6"/>
  <c r="Y12" i="2"/>
  <c r="X11" i="2"/>
  <c r="Q22" i="1"/>
  <c r="Q87" i="6"/>
  <c r="P22" i="1"/>
  <c r="P87" i="6"/>
  <c r="X15" i="1"/>
  <c r="X81" i="6" s="1"/>
  <c r="N25" i="1"/>
  <c r="N90" i="6"/>
  <c r="R23" i="1"/>
  <c r="R88" i="6"/>
  <c r="AA13" i="1"/>
  <c r="Z12" i="1"/>
  <c r="Y14" i="1"/>
  <c r="AD11" i="6"/>
  <c r="AE12" i="6"/>
  <c r="O88" i="6"/>
  <c r="O23" i="1"/>
  <c r="V83" i="6"/>
  <c r="V18" i="1"/>
  <c r="A38" i="1"/>
  <c r="C37" i="1"/>
  <c r="H37" i="1"/>
  <c r="E37" i="1"/>
  <c r="I37" i="1"/>
  <c r="B37" i="1"/>
  <c r="D37" i="1"/>
  <c r="F37" i="1"/>
  <c r="G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W16" i="1"/>
  <c r="S86" i="6"/>
  <c r="S21" i="1"/>
  <c r="B40" i="6"/>
  <c r="F40" i="6"/>
  <c r="J40" i="6"/>
  <c r="D40" i="6"/>
  <c r="G40" i="6"/>
  <c r="K40" i="6"/>
  <c r="A41" i="6"/>
  <c r="L40" i="6"/>
  <c r="E40" i="6"/>
  <c r="M40" i="6"/>
  <c r="H40" i="6"/>
  <c r="C40" i="6"/>
  <c r="I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G98" i="6"/>
  <c r="P98" i="6"/>
  <c r="I98" i="6"/>
  <c r="M98" i="6"/>
  <c r="K98" i="6"/>
  <c r="F98" i="6"/>
  <c r="Q98" i="6"/>
  <c r="D98" i="6"/>
  <c r="L98" i="6"/>
  <c r="S98" i="6"/>
  <c r="H98" i="6"/>
  <c r="J98" i="6"/>
  <c r="O98" i="6"/>
  <c r="A99" i="6"/>
  <c r="E98" i="6"/>
  <c r="N98" i="6"/>
  <c r="B98" i="6"/>
  <c r="C98" i="6"/>
  <c r="R98" i="6"/>
  <c r="D34" i="2"/>
  <c r="H34" i="2"/>
  <c r="A35" i="2"/>
  <c r="W35" i="2" s="1"/>
  <c r="E34" i="2"/>
  <c r="C34" i="2"/>
  <c r="G34" i="2"/>
  <c r="B34" i="2"/>
  <c r="F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W81" i="6"/>
  <c r="X78" i="6"/>
  <c r="Y79" i="6"/>
  <c r="X80" i="6"/>
  <c r="X16" i="1" l="1"/>
  <c r="X82" i="6" s="1"/>
  <c r="T20" i="1"/>
  <c r="T85" i="6"/>
  <c r="E41" i="6"/>
  <c r="H41" i="6"/>
  <c r="L41" i="6"/>
  <c r="A42" i="6"/>
  <c r="D41" i="6"/>
  <c r="I41" i="6"/>
  <c r="M41" i="6"/>
  <c r="F41" i="6"/>
  <c r="G41" i="6"/>
  <c r="C41" i="6"/>
  <c r="J41" i="6"/>
  <c r="B41" i="6"/>
  <c r="K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Y11" i="2"/>
  <c r="Z12" i="2"/>
  <c r="U19" i="1"/>
  <c r="U84" i="6"/>
  <c r="AB13" i="1"/>
  <c r="AA12" i="1"/>
  <c r="Z14" i="1" s="1"/>
  <c r="R24" i="1"/>
  <c r="R89" i="6"/>
  <c r="N26" i="1"/>
  <c r="N91" i="6"/>
  <c r="P88" i="6"/>
  <c r="P23" i="1"/>
  <c r="Q23" i="1"/>
  <c r="Q88" i="6"/>
  <c r="Z79" i="6"/>
  <c r="Y78" i="6"/>
  <c r="Y80" i="6"/>
  <c r="S99" i="6"/>
  <c r="C99" i="6"/>
  <c r="J99" i="6"/>
  <c r="T99" i="6"/>
  <c r="N99" i="6"/>
  <c r="G99" i="6"/>
  <c r="R99" i="6"/>
  <c r="I99" i="6"/>
  <c r="E99" i="6"/>
  <c r="A100" i="6"/>
  <c r="O99" i="6"/>
  <c r="B99" i="6"/>
  <c r="M99" i="6"/>
  <c r="K99" i="6"/>
  <c r="Q99" i="6"/>
  <c r="L99" i="6"/>
  <c r="H99" i="6"/>
  <c r="F99" i="6"/>
  <c r="P99" i="6"/>
  <c r="D99" i="6"/>
  <c r="S22" i="1"/>
  <c r="S87" i="6"/>
  <c r="W17" i="1"/>
  <c r="W82" i="6"/>
  <c r="D38" i="1"/>
  <c r="G38" i="1"/>
  <c r="C38" i="1"/>
  <c r="H38" i="1"/>
  <c r="A39" i="1"/>
  <c r="Z39" i="1" s="1"/>
  <c r="I38" i="1"/>
  <c r="B38" i="1"/>
  <c r="E38" i="1"/>
  <c r="F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AF12" i="6"/>
  <c r="AE11" i="6"/>
  <c r="Y15" i="1"/>
  <c r="Y81" i="6" s="1"/>
  <c r="Y38" i="1"/>
  <c r="D35" i="2"/>
  <c r="G35" i="2"/>
  <c r="B35" i="2"/>
  <c r="H35" i="2"/>
  <c r="A36" i="2"/>
  <c r="E35" i="2"/>
  <c r="F35" i="2"/>
  <c r="C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AC41" i="6"/>
  <c r="V19" i="1"/>
  <c r="V84" i="6"/>
  <c r="O24" i="1"/>
  <c r="O89" i="6"/>
  <c r="AD42" i="6"/>
  <c r="X36" i="2"/>
  <c r="X17" i="1" l="1"/>
  <c r="X18" i="1" s="1"/>
  <c r="T21" i="1"/>
  <c r="T86" i="6"/>
  <c r="O25" i="1"/>
  <c r="O90" i="6"/>
  <c r="V20" i="1"/>
  <c r="V85" i="6"/>
  <c r="D36" i="2"/>
  <c r="G36" i="2"/>
  <c r="B36" i="2"/>
  <c r="H36" i="2"/>
  <c r="A37" i="2"/>
  <c r="C36" i="2"/>
  <c r="E36" i="2"/>
  <c r="F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W18" i="1"/>
  <c r="W83" i="6"/>
  <c r="S23" i="1"/>
  <c r="S88" i="6"/>
  <c r="AA12" i="2"/>
  <c r="Z11" i="2"/>
  <c r="A43" i="6"/>
  <c r="F42" i="6"/>
  <c r="J42" i="6"/>
  <c r="G42" i="6"/>
  <c r="K42" i="6"/>
  <c r="B42" i="6"/>
  <c r="C42" i="6"/>
  <c r="H42" i="6"/>
  <c r="L42" i="6"/>
  <c r="E42" i="6"/>
  <c r="D42" i="6"/>
  <c r="I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E43" i="6"/>
  <c r="P89" i="6"/>
  <c r="P24" i="1"/>
  <c r="U20" i="1"/>
  <c r="U85" i="6"/>
  <c r="Y37" i="2"/>
  <c r="AG12" i="6"/>
  <c r="AF11" i="6"/>
  <c r="C39" i="1"/>
  <c r="E39" i="1"/>
  <c r="I39" i="1"/>
  <c r="D39" i="1"/>
  <c r="F39" i="1"/>
  <c r="B39" i="1"/>
  <c r="A40" i="1"/>
  <c r="G39" i="1"/>
  <c r="H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S100" i="6"/>
  <c r="C100" i="6"/>
  <c r="L100" i="6"/>
  <c r="E100" i="6"/>
  <c r="Q100" i="6"/>
  <c r="G100" i="6"/>
  <c r="T100" i="6"/>
  <c r="M100" i="6"/>
  <c r="A101" i="6"/>
  <c r="I100" i="6"/>
  <c r="N100" i="6"/>
  <c r="J100" i="6"/>
  <c r="B100" i="6"/>
  <c r="F100" i="6"/>
  <c r="P100" i="6"/>
  <c r="K100" i="6"/>
  <c r="U100" i="6"/>
  <c r="H100" i="6"/>
  <c r="R100" i="6"/>
  <c r="D100" i="6"/>
  <c r="O100" i="6"/>
  <c r="Q24" i="1"/>
  <c r="Q89" i="6"/>
  <c r="AC13" i="1"/>
  <c r="AB12" i="1"/>
  <c r="Y16" i="1"/>
  <c r="AA79" i="6"/>
  <c r="Z78" i="6"/>
  <c r="Z80" i="6"/>
  <c r="N92" i="6"/>
  <c r="R25" i="1"/>
  <c r="R90" i="6"/>
  <c r="Z15" i="1"/>
  <c r="Z81" i="6" s="1"/>
  <c r="X83" i="6" l="1"/>
  <c r="T87" i="6"/>
  <c r="T22" i="1"/>
  <c r="X19" i="1"/>
  <c r="X84" i="6"/>
  <c r="R26" i="1"/>
  <c r="R91" i="6"/>
  <c r="AD13" i="1"/>
  <c r="AC12" i="1"/>
  <c r="AB79" i="6"/>
  <c r="AA78" i="6"/>
  <c r="B40" i="1"/>
  <c r="F40" i="1"/>
  <c r="C40" i="1"/>
  <c r="G40" i="1"/>
  <c r="D40" i="1"/>
  <c r="E40" i="1"/>
  <c r="A41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G11" i="6"/>
  <c r="AH12" i="6"/>
  <c r="AA40" i="1"/>
  <c r="P25" i="1"/>
  <c r="P90" i="6"/>
  <c r="D43" i="6"/>
  <c r="G43" i="6"/>
  <c r="K43" i="6"/>
  <c r="A44" i="6"/>
  <c r="H43" i="6"/>
  <c r="L43" i="6"/>
  <c r="E43" i="6"/>
  <c r="C43" i="6"/>
  <c r="I43" i="6"/>
  <c r="M43" i="6"/>
  <c r="B43" i="6"/>
  <c r="F43" i="6"/>
  <c r="J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V21" i="1"/>
  <c r="V86" i="6"/>
  <c r="O26" i="1"/>
  <c r="O91" i="6"/>
  <c r="Y17" i="1"/>
  <c r="Y82" i="6"/>
  <c r="G101" i="6"/>
  <c r="V101" i="6"/>
  <c r="Q101" i="6"/>
  <c r="J101" i="6"/>
  <c r="M101" i="6"/>
  <c r="S101" i="6"/>
  <c r="C101" i="6"/>
  <c r="N101" i="6"/>
  <c r="I101" i="6"/>
  <c r="U101" i="6"/>
  <c r="L101" i="6"/>
  <c r="K101" i="6"/>
  <c r="H101" i="6"/>
  <c r="A102" i="6"/>
  <c r="D101" i="6"/>
  <c r="R101" i="6"/>
  <c r="F101" i="6"/>
  <c r="T101" i="6"/>
  <c r="P101" i="6"/>
  <c r="B101" i="6"/>
  <c r="O101" i="6"/>
  <c r="E101" i="6"/>
  <c r="U21" i="1"/>
  <c r="U86" i="6"/>
  <c r="Z16" i="1"/>
  <c r="S24" i="1"/>
  <c r="S89" i="6"/>
  <c r="W19" i="1"/>
  <c r="W84" i="6"/>
  <c r="D37" i="2"/>
  <c r="E37" i="2"/>
  <c r="C37" i="2"/>
  <c r="G37" i="2"/>
  <c r="H37" i="2"/>
  <c r="B37" i="2"/>
  <c r="A38" i="2"/>
  <c r="F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AB14" i="1"/>
  <c r="AB15" i="1" s="1"/>
  <c r="AB41" i="1"/>
  <c r="Q90" i="6"/>
  <c r="Q25" i="1"/>
  <c r="AA14" i="1"/>
  <c r="AA11" i="2"/>
  <c r="AB12" i="2"/>
  <c r="T23" i="1" l="1"/>
  <c r="T88" i="6"/>
  <c r="AC12" i="2"/>
  <c r="AB11" i="2"/>
  <c r="Y18" i="1"/>
  <c r="Y83" i="6"/>
  <c r="K102" i="6"/>
  <c r="J102" i="6"/>
  <c r="A103" i="6"/>
  <c r="N102" i="6"/>
  <c r="F102" i="6"/>
  <c r="W102" i="6"/>
  <c r="G102" i="6"/>
  <c r="B102" i="6"/>
  <c r="U102" i="6"/>
  <c r="T102" i="6"/>
  <c r="Q102" i="6"/>
  <c r="O102" i="6"/>
  <c r="R102" i="6"/>
  <c r="H102" i="6"/>
  <c r="E102" i="6"/>
  <c r="I102" i="6"/>
  <c r="L102" i="6"/>
  <c r="S102" i="6"/>
  <c r="D102" i="6"/>
  <c r="C102" i="6"/>
  <c r="V102" i="6"/>
  <c r="M102" i="6"/>
  <c r="P102" i="6"/>
  <c r="O27" i="1"/>
  <c r="O92" i="6"/>
  <c r="V87" i="6"/>
  <c r="V22" i="1"/>
  <c r="B44" i="6"/>
  <c r="F44" i="6"/>
  <c r="J44" i="6"/>
  <c r="A45" i="6"/>
  <c r="G44" i="6"/>
  <c r="K44" i="6"/>
  <c r="C44" i="6"/>
  <c r="H44" i="6"/>
  <c r="L44" i="6"/>
  <c r="D44" i="6"/>
  <c r="E44" i="6"/>
  <c r="I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I12" i="6"/>
  <c r="AH11" i="6"/>
  <c r="AF44" i="6"/>
  <c r="R27" i="1"/>
  <c r="R92" i="6"/>
  <c r="X20" i="1"/>
  <c r="X85" i="6"/>
  <c r="Q91" i="6"/>
  <c r="Q26" i="1"/>
  <c r="AB16" i="1"/>
  <c r="AB82" i="6" s="1"/>
  <c r="C38" i="2"/>
  <c r="H38" i="2"/>
  <c r="B38" i="2"/>
  <c r="E38" i="2"/>
  <c r="F38" i="2"/>
  <c r="G38" i="2"/>
  <c r="A39" i="2"/>
  <c r="D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82" i="6"/>
  <c r="Z17" i="1"/>
  <c r="U22" i="1"/>
  <c r="U87" i="6"/>
  <c r="AG45" i="6"/>
  <c r="C41" i="1"/>
  <c r="H41" i="1"/>
  <c r="B41" i="1"/>
  <c r="F41" i="1"/>
  <c r="A42" i="1"/>
  <c r="AC42" i="1" s="1"/>
  <c r="G41" i="1"/>
  <c r="D41" i="1"/>
  <c r="I41" i="1"/>
  <c r="E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C79" i="6"/>
  <c r="AB78" i="6"/>
  <c r="AB80" i="6"/>
  <c r="AB81" i="6"/>
  <c r="AD12" i="1"/>
  <c r="AE13" i="1"/>
  <c r="W20" i="1"/>
  <c r="W85" i="6"/>
  <c r="S25" i="1"/>
  <c r="S90" i="6"/>
  <c r="Z38" i="2"/>
  <c r="P26" i="1"/>
  <c r="P91" i="6"/>
  <c r="AA80" i="6"/>
  <c r="AA15" i="1"/>
  <c r="T89" i="6" l="1"/>
  <c r="T24" i="1"/>
  <c r="AE12" i="1"/>
  <c r="AF13" i="1"/>
  <c r="AC78" i="6"/>
  <c r="AD79" i="6"/>
  <c r="Q27" i="1"/>
  <c r="Q92" i="6"/>
  <c r="AI11" i="6"/>
  <c r="AJ12" i="6"/>
  <c r="G45" i="6"/>
  <c r="K45" i="6"/>
  <c r="C45" i="6"/>
  <c r="B45" i="6"/>
  <c r="H45" i="6"/>
  <c r="L45" i="6"/>
  <c r="D45" i="6"/>
  <c r="E45" i="6"/>
  <c r="I45" i="6"/>
  <c r="M45" i="6"/>
  <c r="A46" i="6"/>
  <c r="F45" i="6"/>
  <c r="J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P27" i="1"/>
  <c r="P92" i="6"/>
  <c r="AD14" i="1"/>
  <c r="AD15" i="1" s="1"/>
  <c r="AD16" i="1" s="1"/>
  <c r="Z83" i="6"/>
  <c r="Z18" i="1"/>
  <c r="X86" i="6"/>
  <c r="X21" i="1"/>
  <c r="R28" i="1"/>
  <c r="R93" i="6"/>
  <c r="V88" i="6"/>
  <c r="V23" i="1"/>
  <c r="AA81" i="6"/>
  <c r="AA16" i="1"/>
  <c r="S91" i="6"/>
  <c r="S26" i="1"/>
  <c r="W21" i="1"/>
  <c r="W86" i="6"/>
  <c r="C39" i="2"/>
  <c r="F39" i="2"/>
  <c r="D39" i="2"/>
  <c r="G39" i="2"/>
  <c r="B39" i="2"/>
  <c r="E39" i="2"/>
  <c r="H39" i="2"/>
  <c r="A40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B17" i="1"/>
  <c r="O93" i="6"/>
  <c r="Y84" i="6"/>
  <c r="Y19" i="1"/>
  <c r="AC11" i="2"/>
  <c r="AD12" i="2"/>
  <c r="B42" i="1"/>
  <c r="H42" i="1"/>
  <c r="A43" i="1"/>
  <c r="AD43" i="1" s="1"/>
  <c r="F42" i="1"/>
  <c r="D42" i="1"/>
  <c r="G42" i="1"/>
  <c r="C42" i="1"/>
  <c r="I42" i="1"/>
  <c r="E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U23" i="1"/>
  <c r="U88" i="6"/>
  <c r="AC14" i="1"/>
  <c r="AC80" i="6" s="1"/>
  <c r="AH46" i="6"/>
  <c r="U103" i="6"/>
  <c r="E103" i="6"/>
  <c r="V103" i="6"/>
  <c r="W103" i="6"/>
  <c r="D103" i="6"/>
  <c r="R103" i="6"/>
  <c r="Q103" i="6"/>
  <c r="X103" i="6"/>
  <c r="N103" i="6"/>
  <c r="O103" i="6"/>
  <c r="J103" i="6"/>
  <c r="K103" i="6"/>
  <c r="I103" i="6"/>
  <c r="H103" i="6"/>
  <c r="A104" i="6"/>
  <c r="T103" i="6"/>
  <c r="C103" i="6"/>
  <c r="B103" i="6"/>
  <c r="F103" i="6"/>
  <c r="G103" i="6"/>
  <c r="P103" i="6"/>
  <c r="L103" i="6"/>
  <c r="S103" i="6"/>
  <c r="M103" i="6"/>
  <c r="AA39" i="2"/>
  <c r="T25" i="1" l="1"/>
  <c r="T90" i="6"/>
  <c r="U24" i="1"/>
  <c r="U89" i="6"/>
  <c r="AB18" i="1"/>
  <c r="AB83" i="6"/>
  <c r="D40" i="2"/>
  <c r="H40" i="2"/>
  <c r="B40" i="2"/>
  <c r="F40" i="2"/>
  <c r="A41" i="2"/>
  <c r="G40" i="2"/>
  <c r="C40" i="2"/>
  <c r="E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A82" i="6"/>
  <c r="AA17" i="1"/>
  <c r="R29" i="1"/>
  <c r="R94" i="6"/>
  <c r="P28" i="1"/>
  <c r="P93" i="6"/>
  <c r="Y20" i="1"/>
  <c r="Y85" i="6"/>
  <c r="S92" i="6"/>
  <c r="S27" i="1"/>
  <c r="V24" i="1"/>
  <c r="V89" i="6"/>
  <c r="AG13" i="1"/>
  <c r="AF12" i="1"/>
  <c r="Q104" i="6"/>
  <c r="V104" i="6"/>
  <c r="P104" i="6"/>
  <c r="K104" i="6"/>
  <c r="D104" i="6"/>
  <c r="R104" i="6"/>
  <c r="M104" i="6"/>
  <c r="N104" i="6"/>
  <c r="H104" i="6"/>
  <c r="C104" i="6"/>
  <c r="W104" i="6"/>
  <c r="B104" i="6"/>
  <c r="U104" i="6"/>
  <c r="E104" i="6"/>
  <c r="X104" i="6"/>
  <c r="S104" i="6"/>
  <c r="T104" i="6"/>
  <c r="G104" i="6"/>
  <c r="Y104" i="6"/>
  <c r="J104" i="6"/>
  <c r="I104" i="6"/>
  <c r="O104" i="6"/>
  <c r="A105" i="6"/>
  <c r="F104" i="6"/>
  <c r="L104" i="6"/>
  <c r="AE12" i="2"/>
  <c r="AD11" i="2"/>
  <c r="W22" i="1"/>
  <c r="W87" i="6"/>
  <c r="AB40" i="2"/>
  <c r="AD17" i="1"/>
  <c r="AJ11" i="6"/>
  <c r="AK12" i="6"/>
  <c r="AE14" i="1"/>
  <c r="AC15" i="1"/>
  <c r="A44" i="1"/>
  <c r="AE44" i="1" s="1"/>
  <c r="D43" i="1"/>
  <c r="H43" i="1"/>
  <c r="E43" i="1"/>
  <c r="I43" i="1"/>
  <c r="B43" i="1"/>
  <c r="F43" i="1"/>
  <c r="C43" i="1"/>
  <c r="G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C41" i="2"/>
  <c r="X87" i="6"/>
  <c r="X22" i="1"/>
  <c r="Z84" i="6"/>
  <c r="Z19" i="1"/>
  <c r="E46" i="6"/>
  <c r="D46" i="6"/>
  <c r="I46" i="6"/>
  <c r="M46" i="6"/>
  <c r="A47" i="6"/>
  <c r="F46" i="6"/>
  <c r="J46" i="6"/>
  <c r="C46" i="6"/>
  <c r="G46" i="6"/>
  <c r="K46" i="6"/>
  <c r="B46" i="6"/>
  <c r="H46" i="6"/>
  <c r="L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I47" i="6"/>
  <c r="Q28" i="1"/>
  <c r="Q93" i="6"/>
  <c r="AE79" i="6"/>
  <c r="AD78" i="6"/>
  <c r="AD80" i="6"/>
  <c r="AD81" i="6"/>
  <c r="AD82" i="6"/>
  <c r="AD83" i="6"/>
  <c r="T91" i="6" l="1"/>
  <c r="T26" i="1"/>
  <c r="Q29" i="1"/>
  <c r="Q94" i="6"/>
  <c r="R30" i="1"/>
  <c r="R95" i="6"/>
  <c r="D41" i="2"/>
  <c r="F41" i="2"/>
  <c r="C41" i="2"/>
  <c r="G41" i="2"/>
  <c r="A42" i="2"/>
  <c r="H41" i="2"/>
  <c r="B41" i="2"/>
  <c r="E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Z85" i="6"/>
  <c r="Z20" i="1"/>
  <c r="X88" i="6"/>
  <c r="X23" i="1"/>
  <c r="C44" i="1"/>
  <c r="F44" i="1"/>
  <c r="H44" i="1"/>
  <c r="A45" i="1"/>
  <c r="I44" i="1"/>
  <c r="G44" i="1"/>
  <c r="E44" i="1"/>
  <c r="D44" i="1"/>
  <c r="B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D18" i="1"/>
  <c r="AE11" i="2"/>
  <c r="AF12" i="2"/>
  <c r="AF79" i="6"/>
  <c r="AE78" i="6"/>
  <c r="AE80" i="6"/>
  <c r="AC81" i="6"/>
  <c r="AC16" i="1"/>
  <c r="AE15" i="1"/>
  <c r="W23" i="1"/>
  <c r="W88" i="6"/>
  <c r="S105" i="6"/>
  <c r="C105" i="6"/>
  <c r="V105" i="6"/>
  <c r="U105" i="6"/>
  <c r="Z105" i="6"/>
  <c r="I105" i="6"/>
  <c r="B105" i="6"/>
  <c r="O105" i="6"/>
  <c r="T105" i="6"/>
  <c r="N105" i="6"/>
  <c r="M105" i="6"/>
  <c r="J105" i="6"/>
  <c r="X105" i="6"/>
  <c r="W105" i="6"/>
  <c r="G105" i="6"/>
  <c r="D105" i="6"/>
  <c r="A106" i="6"/>
  <c r="P105" i="6"/>
  <c r="Q105" i="6"/>
  <c r="K105" i="6"/>
  <c r="Y105" i="6"/>
  <c r="L105" i="6"/>
  <c r="H105" i="6"/>
  <c r="E105" i="6"/>
  <c r="R105" i="6"/>
  <c r="F105" i="6"/>
  <c r="AH13" i="1"/>
  <c r="AG12" i="1"/>
  <c r="V25" i="1"/>
  <c r="V90" i="6"/>
  <c r="S93" i="6"/>
  <c r="S28" i="1"/>
  <c r="AB19" i="1"/>
  <c r="AB84" i="6"/>
  <c r="U25" i="1"/>
  <c r="U90" i="6"/>
  <c r="A48" i="6"/>
  <c r="AJ48" i="6" s="1"/>
  <c r="F47" i="6"/>
  <c r="J47" i="6"/>
  <c r="C47" i="6"/>
  <c r="G47" i="6"/>
  <c r="K47" i="6"/>
  <c r="D47" i="6"/>
  <c r="H47" i="6"/>
  <c r="L47" i="6"/>
  <c r="E47" i="6"/>
  <c r="B47" i="6"/>
  <c r="I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L12" i="6"/>
  <c r="AK11" i="6"/>
  <c r="Y86" i="6"/>
  <c r="Y21" i="1"/>
  <c r="P94" i="6"/>
  <c r="AA18" i="1"/>
  <c r="AA83" i="6"/>
  <c r="T27" i="1" l="1"/>
  <c r="T92" i="6"/>
  <c r="Y22" i="1"/>
  <c r="Y87" i="6"/>
  <c r="AM12" i="6"/>
  <c r="AL11" i="6"/>
  <c r="R96" i="6"/>
  <c r="S29" i="1"/>
  <c r="S94" i="6"/>
  <c r="AH12" i="1"/>
  <c r="AI13" i="1"/>
  <c r="AE16" i="1"/>
  <c r="AD19" i="1"/>
  <c r="AD84" i="6"/>
  <c r="A43" i="2"/>
  <c r="F42" i="2"/>
  <c r="B42" i="2"/>
  <c r="G42" i="2"/>
  <c r="D42" i="2"/>
  <c r="H42" i="2"/>
  <c r="C42" i="2"/>
  <c r="E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A19" i="1"/>
  <c r="AA84" i="6"/>
  <c r="U26" i="1"/>
  <c r="U91" i="6"/>
  <c r="AB20" i="1"/>
  <c r="AB85" i="6"/>
  <c r="V26" i="1"/>
  <c r="V91" i="6"/>
  <c r="AC82" i="6"/>
  <c r="AC17" i="1"/>
  <c r="AE81" i="6"/>
  <c r="AG79" i="6"/>
  <c r="AF78" i="6"/>
  <c r="AF14" i="1"/>
  <c r="F45" i="1"/>
  <c r="C45" i="1"/>
  <c r="G45" i="1"/>
  <c r="A46" i="1"/>
  <c r="D45" i="1"/>
  <c r="H45" i="1"/>
  <c r="E45" i="1"/>
  <c r="I45" i="1"/>
  <c r="B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D42" i="2"/>
  <c r="Q95" i="6"/>
  <c r="D48" i="6"/>
  <c r="G48" i="6"/>
  <c r="K48" i="6"/>
  <c r="C48" i="6"/>
  <c r="H48" i="6"/>
  <c r="L48" i="6"/>
  <c r="F48" i="6"/>
  <c r="A49" i="6"/>
  <c r="AK49" i="6" s="1"/>
  <c r="I48" i="6"/>
  <c r="B48" i="6"/>
  <c r="J48" i="6"/>
  <c r="E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O106" i="6"/>
  <c r="V106" i="6"/>
  <c r="P106" i="6"/>
  <c r="Q106" i="6"/>
  <c r="T106" i="6"/>
  <c r="E106" i="6"/>
  <c r="AA106" i="6"/>
  <c r="K106" i="6"/>
  <c r="N106" i="6"/>
  <c r="H106" i="6"/>
  <c r="I106" i="6"/>
  <c r="D106" i="6"/>
  <c r="R106" i="6"/>
  <c r="S106" i="6"/>
  <c r="X106" i="6"/>
  <c r="J106" i="6"/>
  <c r="L106" i="6"/>
  <c r="G106" i="6"/>
  <c r="A107" i="6"/>
  <c r="U106" i="6"/>
  <c r="W106" i="6"/>
  <c r="F106" i="6"/>
  <c r="Z106" i="6"/>
  <c r="B106" i="6"/>
  <c r="C106" i="6"/>
  <c r="Y106" i="6"/>
  <c r="M106" i="6"/>
  <c r="W24" i="1"/>
  <c r="W89" i="6"/>
  <c r="AF45" i="1"/>
  <c r="AF11" i="2"/>
  <c r="AG12" i="2"/>
  <c r="X24" i="1"/>
  <c r="X89" i="6"/>
  <c r="Z21" i="1"/>
  <c r="Z86" i="6"/>
  <c r="T28" i="1" l="1"/>
  <c r="T93" i="6"/>
  <c r="AH12" i="2"/>
  <c r="AG11" i="2"/>
  <c r="C46" i="1"/>
  <c r="H46" i="1"/>
  <c r="F46" i="1"/>
  <c r="D46" i="1"/>
  <c r="I46" i="1"/>
  <c r="B46" i="1"/>
  <c r="A47" i="1"/>
  <c r="G46" i="1"/>
  <c r="E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C83" i="6"/>
  <c r="AC18" i="1"/>
  <c r="C43" i="2"/>
  <c r="E43" i="2"/>
  <c r="D43" i="2"/>
  <c r="F43" i="2"/>
  <c r="B43" i="2"/>
  <c r="G43" i="2"/>
  <c r="A44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F15" i="1"/>
  <c r="AI12" i="1"/>
  <c r="AJ13" i="1"/>
  <c r="S30" i="1"/>
  <c r="S95" i="6"/>
  <c r="Y88" i="6"/>
  <c r="Y23" i="1"/>
  <c r="AF44" i="2"/>
  <c r="B49" i="6"/>
  <c r="F49" i="6"/>
  <c r="J49" i="6"/>
  <c r="C49" i="6"/>
  <c r="G49" i="6"/>
  <c r="K49" i="6"/>
  <c r="D49" i="6"/>
  <c r="M49" i="6"/>
  <c r="H49" i="6"/>
  <c r="A50" i="6"/>
  <c r="AL50" i="6" s="1"/>
  <c r="I49" i="6"/>
  <c r="E49" i="6"/>
  <c r="L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H79" i="6"/>
  <c r="AG78" i="6"/>
  <c r="V92" i="6"/>
  <c r="V27" i="1"/>
  <c r="AB21" i="1"/>
  <c r="AB86" i="6"/>
  <c r="U27" i="1"/>
  <c r="U92" i="6"/>
  <c r="AA85" i="6"/>
  <c r="AA20" i="1"/>
  <c r="AH14" i="1"/>
  <c r="AH15" i="1" s="1"/>
  <c r="AH47" i="1"/>
  <c r="AM11" i="6"/>
  <c r="AN12" i="6"/>
  <c r="Z22" i="1"/>
  <c r="Z87" i="6"/>
  <c r="X90" i="6"/>
  <c r="X25" i="1"/>
  <c r="W25" i="1"/>
  <c r="W90" i="6"/>
  <c r="AD20" i="1"/>
  <c r="AD85" i="6"/>
  <c r="AE17" i="1"/>
  <c r="AE82" i="6"/>
  <c r="AB107" i="6"/>
  <c r="U107" i="6"/>
  <c r="E107" i="6"/>
  <c r="J107" i="6"/>
  <c r="O107" i="6"/>
  <c r="A108" i="6"/>
  <c r="K107" i="6"/>
  <c r="X107" i="6"/>
  <c r="Q107" i="6"/>
  <c r="P107" i="6"/>
  <c r="B107" i="6"/>
  <c r="G107" i="6"/>
  <c r="Z107" i="6"/>
  <c r="C107" i="6"/>
  <c r="Y107" i="6"/>
  <c r="R107" i="6"/>
  <c r="N107" i="6"/>
  <c r="F107" i="6"/>
  <c r="M107" i="6"/>
  <c r="V107" i="6"/>
  <c r="AA107" i="6"/>
  <c r="T107" i="6"/>
  <c r="H107" i="6"/>
  <c r="L107" i="6"/>
  <c r="D107" i="6"/>
  <c r="I107" i="6"/>
  <c r="W107" i="6"/>
  <c r="S107" i="6"/>
  <c r="AF80" i="6"/>
  <c r="AE43" i="2"/>
  <c r="AG46" i="1"/>
  <c r="AG14" i="1"/>
  <c r="AG80" i="6" s="1"/>
  <c r="T29" i="1" l="1"/>
  <c r="T94" i="6"/>
  <c r="AH16" i="1"/>
  <c r="AE18" i="1"/>
  <c r="AE83" i="6"/>
  <c r="AD21" i="1"/>
  <c r="AD86" i="6"/>
  <c r="W26" i="1"/>
  <c r="W91" i="6"/>
  <c r="Z88" i="6"/>
  <c r="Z23" i="1"/>
  <c r="U108" i="6"/>
  <c r="E108" i="6"/>
  <c r="B108" i="6"/>
  <c r="A109" i="6"/>
  <c r="C108" i="6"/>
  <c r="W108" i="6"/>
  <c r="F108" i="6"/>
  <c r="Q108" i="6"/>
  <c r="Z108" i="6"/>
  <c r="X108" i="6"/>
  <c r="AA108" i="6"/>
  <c r="N108" i="6"/>
  <c r="O108" i="6"/>
  <c r="T108" i="6"/>
  <c r="I108" i="6"/>
  <c r="H108" i="6"/>
  <c r="L108" i="6"/>
  <c r="AC108" i="6"/>
  <c r="R108" i="6"/>
  <c r="S108" i="6"/>
  <c r="G108" i="6"/>
  <c r="M108" i="6"/>
  <c r="P108" i="6"/>
  <c r="AB108" i="6"/>
  <c r="D108" i="6"/>
  <c r="Y108" i="6"/>
  <c r="J108" i="6"/>
  <c r="K108" i="6"/>
  <c r="V108" i="6"/>
  <c r="AA21" i="1"/>
  <c r="AA86" i="6"/>
  <c r="V93" i="6"/>
  <c r="V28" i="1"/>
  <c r="S31" i="1"/>
  <c r="S96" i="6"/>
  <c r="AF16" i="1"/>
  <c r="AF81" i="6"/>
  <c r="A45" i="2"/>
  <c r="F44" i="2"/>
  <c r="B44" i="2"/>
  <c r="E44" i="2"/>
  <c r="D44" i="2"/>
  <c r="G44" i="2"/>
  <c r="C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C84" i="6"/>
  <c r="AC19" i="1"/>
  <c r="AG45" i="2"/>
  <c r="AO12" i="6"/>
  <c r="AN11" i="6"/>
  <c r="U28" i="1"/>
  <c r="U93" i="6"/>
  <c r="AB22" i="1"/>
  <c r="AB87" i="6"/>
  <c r="C50" i="6"/>
  <c r="B50" i="6"/>
  <c r="F50" i="6"/>
  <c r="J50" i="6"/>
  <c r="A51" i="6"/>
  <c r="G50" i="6"/>
  <c r="K50" i="6"/>
  <c r="E50" i="6"/>
  <c r="H50" i="6"/>
  <c r="L50" i="6"/>
  <c r="D50" i="6"/>
  <c r="I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Y24" i="1"/>
  <c r="Y89" i="6"/>
  <c r="C47" i="1"/>
  <c r="B47" i="1"/>
  <c r="F47" i="1"/>
  <c r="I47" i="1"/>
  <c r="G47" i="1"/>
  <c r="D47" i="1"/>
  <c r="A48" i="1"/>
  <c r="AI48" i="1" s="1"/>
  <c r="E47" i="1"/>
  <c r="H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I12" i="2"/>
  <c r="AH11" i="2"/>
  <c r="AG15" i="1"/>
  <c r="X91" i="6"/>
  <c r="X26" i="1"/>
  <c r="AM51" i="6"/>
  <c r="AI79" i="6"/>
  <c r="AH78" i="6"/>
  <c r="AH81" i="6"/>
  <c r="AH80" i="6"/>
  <c r="AH82" i="6"/>
  <c r="AJ12" i="1"/>
  <c r="AK13" i="1"/>
  <c r="T30" i="1" l="1"/>
  <c r="T95" i="6"/>
  <c r="AJ14" i="1"/>
  <c r="AI11" i="2"/>
  <c r="AJ12" i="2"/>
  <c r="AC85" i="6"/>
  <c r="AC20" i="1"/>
  <c r="V29" i="1"/>
  <c r="V94" i="6"/>
  <c r="AI14" i="1"/>
  <c r="AI15" i="1" s="1"/>
  <c r="AG81" i="6"/>
  <c r="AG16" i="1"/>
  <c r="Y25" i="1"/>
  <c r="Y90" i="6"/>
  <c r="AO11" i="6"/>
  <c r="AP12" i="6"/>
  <c r="B45" i="2"/>
  <c r="E45" i="2"/>
  <c r="A46" i="2"/>
  <c r="G45" i="2"/>
  <c r="C45" i="2"/>
  <c r="D45" i="2"/>
  <c r="F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A22" i="1"/>
  <c r="AA87" i="6"/>
  <c r="Y109" i="6"/>
  <c r="I109" i="6"/>
  <c r="L109" i="6"/>
  <c r="J109" i="6"/>
  <c r="K109" i="6"/>
  <c r="N109" i="6"/>
  <c r="G109" i="6"/>
  <c r="F109" i="6"/>
  <c r="U109" i="6"/>
  <c r="E109" i="6"/>
  <c r="D109" i="6"/>
  <c r="B109" i="6"/>
  <c r="C109" i="6"/>
  <c r="A110" i="6"/>
  <c r="X109" i="6"/>
  <c r="AC109" i="6"/>
  <c r="T109" i="6"/>
  <c r="S109" i="6"/>
  <c r="O109" i="6"/>
  <c r="Q109" i="6"/>
  <c r="Z109" i="6"/>
  <c r="P109" i="6"/>
  <c r="H109" i="6"/>
  <c r="AB109" i="6"/>
  <c r="AA109" i="6"/>
  <c r="W109" i="6"/>
  <c r="M109" i="6"/>
  <c r="R109" i="6"/>
  <c r="AD109" i="6"/>
  <c r="V109" i="6"/>
  <c r="AH17" i="1"/>
  <c r="AI78" i="6"/>
  <c r="AJ79" i="6"/>
  <c r="X92" i="6"/>
  <c r="X27" i="1"/>
  <c r="AB23" i="1"/>
  <c r="AB88" i="6"/>
  <c r="U29" i="1"/>
  <c r="U94" i="6"/>
  <c r="Z89" i="6"/>
  <c r="Z24" i="1"/>
  <c r="AL13" i="1"/>
  <c r="AK12" i="1"/>
  <c r="I48" i="1"/>
  <c r="G48" i="1"/>
  <c r="E48" i="1"/>
  <c r="D48" i="1"/>
  <c r="H48" i="1"/>
  <c r="F48" i="1"/>
  <c r="B48" i="1"/>
  <c r="C48" i="1"/>
  <c r="A49" i="1"/>
  <c r="AJ49" i="1" s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D51" i="6"/>
  <c r="A52" i="6"/>
  <c r="I51" i="6"/>
  <c r="M51" i="6"/>
  <c r="B51" i="6"/>
  <c r="F51" i="6"/>
  <c r="J51" i="6"/>
  <c r="E51" i="6"/>
  <c r="G51" i="6"/>
  <c r="K51" i="6"/>
  <c r="C51" i="6"/>
  <c r="H51" i="6"/>
  <c r="L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F17" i="1"/>
  <c r="AF82" i="6"/>
  <c r="S97" i="6"/>
  <c r="W27" i="1"/>
  <c r="W92" i="6"/>
  <c r="AD22" i="1"/>
  <c r="AD87" i="6"/>
  <c r="AE19" i="1"/>
  <c r="AE84" i="6"/>
  <c r="AI80" i="6" l="1"/>
  <c r="T31" i="1"/>
  <c r="T96" i="6"/>
  <c r="AI16" i="1"/>
  <c r="AI81" i="6"/>
  <c r="AB24" i="1"/>
  <c r="AB89" i="6"/>
  <c r="C46" i="2"/>
  <c r="H46" i="2"/>
  <c r="A47" i="2"/>
  <c r="E46" i="2"/>
  <c r="D46" i="2"/>
  <c r="F46" i="2"/>
  <c r="G46" i="2"/>
  <c r="B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E52" i="6"/>
  <c r="F52" i="6"/>
  <c r="J52" i="6"/>
  <c r="D52" i="6"/>
  <c r="G52" i="6"/>
  <c r="K52" i="6"/>
  <c r="B52" i="6"/>
  <c r="H52" i="6"/>
  <c r="L52" i="6"/>
  <c r="C52" i="6"/>
  <c r="A53" i="6"/>
  <c r="I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Z25" i="1"/>
  <c r="Z90" i="6"/>
  <c r="X28" i="1"/>
  <c r="X93" i="6"/>
  <c r="AN52" i="6"/>
  <c r="AH18" i="1"/>
  <c r="AH83" i="6"/>
  <c r="AP11" i="6"/>
  <c r="AQ12" i="6"/>
  <c r="Y26" i="1"/>
  <c r="Y91" i="6"/>
  <c r="AC21" i="1"/>
  <c r="AC86" i="6"/>
  <c r="AJ11" i="2"/>
  <c r="AK12" i="2"/>
  <c r="AJ15" i="1"/>
  <c r="AJ81" i="6" s="1"/>
  <c r="AF18" i="1"/>
  <c r="AF83" i="6"/>
  <c r="AL12" i="1"/>
  <c r="AM13" i="1"/>
  <c r="U30" i="1"/>
  <c r="U95" i="6"/>
  <c r="V95" i="6"/>
  <c r="V30" i="1"/>
  <c r="AI47" i="2"/>
  <c r="AE20" i="1"/>
  <c r="AE85" i="6"/>
  <c r="AD23" i="1"/>
  <c r="AD88" i="6"/>
  <c r="W28" i="1"/>
  <c r="W93" i="6"/>
  <c r="H49" i="1"/>
  <c r="A50" i="1"/>
  <c r="AK50" i="1" s="1"/>
  <c r="I49" i="1"/>
  <c r="E49" i="1"/>
  <c r="D49" i="1"/>
  <c r="F49" i="1"/>
  <c r="B49" i="1"/>
  <c r="C49" i="1"/>
  <c r="G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H46" i="2"/>
  <c r="AJ78" i="6"/>
  <c r="AK79" i="6"/>
  <c r="AJ80" i="6"/>
  <c r="Q110" i="6"/>
  <c r="AD110" i="6"/>
  <c r="AB110" i="6"/>
  <c r="AA110" i="6"/>
  <c r="R110" i="6"/>
  <c r="AE110" i="6"/>
  <c r="Z110" i="6"/>
  <c r="AC110" i="6"/>
  <c r="M110" i="6"/>
  <c r="V110" i="6"/>
  <c r="T110" i="6"/>
  <c r="S110" i="6"/>
  <c r="B110" i="6"/>
  <c r="W110" i="6"/>
  <c r="J110" i="6"/>
  <c r="E110" i="6"/>
  <c r="D110" i="6"/>
  <c r="A111" i="6"/>
  <c r="H110" i="6"/>
  <c r="Y110" i="6"/>
  <c r="N110" i="6"/>
  <c r="K110" i="6"/>
  <c r="O110" i="6"/>
  <c r="I110" i="6"/>
  <c r="L110" i="6"/>
  <c r="P110" i="6"/>
  <c r="X110" i="6"/>
  <c r="U110" i="6"/>
  <c r="F110" i="6"/>
  <c r="C110" i="6"/>
  <c r="G110" i="6"/>
  <c r="AA23" i="1"/>
  <c r="AA88" i="6"/>
  <c r="AG17" i="1"/>
  <c r="AG82" i="6"/>
  <c r="T97" i="6" l="1"/>
  <c r="T32" i="1"/>
  <c r="T98" i="6" s="1"/>
  <c r="AG83" i="6"/>
  <c r="AG18" i="1"/>
  <c r="AA89" i="6"/>
  <c r="AA24" i="1"/>
  <c r="AQ11" i="6"/>
  <c r="AR12" i="6"/>
  <c r="X94" i="6"/>
  <c r="X29" i="1"/>
  <c r="Z26" i="1"/>
  <c r="Z91" i="6"/>
  <c r="AK78" i="6"/>
  <c r="AL79" i="6"/>
  <c r="H50" i="1"/>
  <c r="B50" i="1"/>
  <c r="I50" i="1"/>
  <c r="E50" i="1"/>
  <c r="A51" i="1"/>
  <c r="G50" i="1"/>
  <c r="F50" i="1"/>
  <c r="D50" i="1"/>
  <c r="C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W29" i="1"/>
  <c r="W94" i="6"/>
  <c r="AD24" i="1"/>
  <c r="AD89" i="6"/>
  <c r="AE21" i="1"/>
  <c r="AE86" i="6"/>
  <c r="V31" i="1"/>
  <c r="V96" i="6"/>
  <c r="AM12" i="1"/>
  <c r="AN13" i="1"/>
  <c r="AF84" i="6"/>
  <c r="AF19" i="1"/>
  <c r="AL12" i="2"/>
  <c r="AK11" i="2"/>
  <c r="AP45" i="6"/>
  <c r="AP66" i="6"/>
  <c r="AP34" i="6"/>
  <c r="AP71" i="6"/>
  <c r="AP60" i="6"/>
  <c r="AP67" i="6"/>
  <c r="AP56" i="6"/>
  <c r="AP65" i="6"/>
  <c r="AP33" i="6"/>
  <c r="AP54" i="6"/>
  <c r="AP22" i="6"/>
  <c r="AP47" i="6"/>
  <c r="AP36" i="6"/>
  <c r="AP43" i="6"/>
  <c r="AP32" i="6"/>
  <c r="AP69" i="6"/>
  <c r="AP37" i="6"/>
  <c r="AP58" i="6"/>
  <c r="AP26" i="6"/>
  <c r="AP55" i="6"/>
  <c r="AP44" i="6"/>
  <c r="AP51" i="6"/>
  <c r="AP40" i="6"/>
  <c r="AP57" i="6"/>
  <c r="AP25" i="6"/>
  <c r="AP46" i="6"/>
  <c r="AP16" i="6"/>
  <c r="AP31" i="6"/>
  <c r="AP21" i="6"/>
  <c r="AP27" i="6"/>
  <c r="AP17" i="6"/>
  <c r="AP61" i="6"/>
  <c r="AP29" i="6"/>
  <c r="AP50" i="6"/>
  <c r="AP19" i="6"/>
  <c r="AP39" i="6"/>
  <c r="AP28" i="6"/>
  <c r="AP35" i="6"/>
  <c r="AP24" i="6"/>
  <c r="AP49" i="6"/>
  <c r="AP70" i="6"/>
  <c r="AP38" i="6"/>
  <c r="AP18" i="6"/>
  <c r="AP68" i="6"/>
  <c r="AP15" i="6"/>
  <c r="AP64" i="6"/>
  <c r="AP53" i="6"/>
  <c r="AP73" i="6"/>
  <c r="AP42" i="6"/>
  <c r="AP13" i="6"/>
  <c r="AP23" i="6"/>
  <c r="AP14" i="6"/>
  <c r="AP72" i="6"/>
  <c r="AP20" i="6"/>
  <c r="AP41" i="6"/>
  <c r="AP62" i="6"/>
  <c r="AP30" i="6"/>
  <c r="AP63" i="6"/>
  <c r="AP52" i="6"/>
  <c r="AP59" i="6"/>
  <c r="AP48" i="6"/>
  <c r="B47" i="2"/>
  <c r="G47" i="2"/>
  <c r="C47" i="2"/>
  <c r="H47" i="2"/>
  <c r="D47" i="2"/>
  <c r="E47" i="2"/>
  <c r="F47" i="2"/>
  <c r="A48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17" i="1"/>
  <c r="AI82" i="6"/>
  <c r="U111" i="6"/>
  <c r="M111" i="6"/>
  <c r="X111" i="6"/>
  <c r="V111" i="6"/>
  <c r="AE111" i="6"/>
  <c r="AB111" i="6"/>
  <c r="AA111" i="6"/>
  <c r="T111" i="6"/>
  <c r="AC111" i="6"/>
  <c r="I111" i="6"/>
  <c r="P111" i="6"/>
  <c r="N111" i="6"/>
  <c r="W111" i="6"/>
  <c r="L111" i="6"/>
  <c r="S111" i="6"/>
  <c r="D111" i="6"/>
  <c r="Q111" i="6"/>
  <c r="AF111" i="6"/>
  <c r="AD111" i="6"/>
  <c r="A112" i="6"/>
  <c r="G111" i="6"/>
  <c r="J111" i="6"/>
  <c r="C111" i="6"/>
  <c r="B111" i="6"/>
  <c r="Y111" i="6"/>
  <c r="O111" i="6"/>
  <c r="E111" i="6"/>
  <c r="Z111" i="6"/>
  <c r="H111" i="6"/>
  <c r="K111" i="6"/>
  <c r="F111" i="6"/>
  <c r="R111" i="6"/>
  <c r="AL14" i="1"/>
  <c r="AL15" i="1" s="1"/>
  <c r="AL51" i="1"/>
  <c r="AJ48" i="2"/>
  <c r="AC87" i="6"/>
  <c r="AC22" i="1"/>
  <c r="Y92" i="6"/>
  <c r="Y27" i="1"/>
  <c r="AJ16" i="1"/>
  <c r="C53" i="6"/>
  <c r="H53" i="6"/>
  <c r="L53" i="6"/>
  <c r="D53" i="6"/>
  <c r="E53" i="6"/>
  <c r="I53" i="6"/>
  <c r="M53" i="6"/>
  <c r="B53" i="6"/>
  <c r="F53" i="6"/>
  <c r="J53" i="6"/>
  <c r="A54" i="6"/>
  <c r="G53" i="6"/>
  <c r="K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B25" i="1"/>
  <c r="AB90" i="6"/>
  <c r="U31" i="1"/>
  <c r="U96" i="6"/>
  <c r="AH19" i="1"/>
  <c r="AH84" i="6"/>
  <c r="AK14" i="1"/>
  <c r="AH20" i="1" l="1"/>
  <c r="AH85" i="6"/>
  <c r="U32" i="1"/>
  <c r="U97" i="6"/>
  <c r="AB26" i="1"/>
  <c r="AB91" i="6"/>
  <c r="AF20" i="1"/>
  <c r="AF85" i="6"/>
  <c r="F51" i="1"/>
  <c r="A52" i="1"/>
  <c r="AM52" i="1" s="1"/>
  <c r="G51" i="1"/>
  <c r="B51" i="1"/>
  <c r="E51" i="1"/>
  <c r="D51" i="1"/>
  <c r="I51" i="1"/>
  <c r="C51" i="1"/>
  <c r="H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Q56" i="6"/>
  <c r="AQ24" i="6"/>
  <c r="AQ43" i="6"/>
  <c r="AQ17" i="6"/>
  <c r="AQ50" i="6"/>
  <c r="AQ69" i="6"/>
  <c r="AQ37" i="6"/>
  <c r="AQ13" i="6"/>
  <c r="AQ44" i="6"/>
  <c r="AQ63" i="6"/>
  <c r="AQ31" i="6"/>
  <c r="AQ70" i="6"/>
  <c r="AQ38" i="6"/>
  <c r="AQ57" i="6"/>
  <c r="AQ25" i="6"/>
  <c r="AQ48" i="6"/>
  <c r="AQ67" i="6"/>
  <c r="AQ35" i="6"/>
  <c r="AQ73" i="6"/>
  <c r="AQ42" i="6"/>
  <c r="AQ61" i="6"/>
  <c r="AQ29" i="6"/>
  <c r="AQ68" i="6"/>
  <c r="AQ36" i="6"/>
  <c r="AQ55" i="6"/>
  <c r="AQ23" i="6"/>
  <c r="AQ62" i="6"/>
  <c r="AQ30" i="6"/>
  <c r="AQ49" i="6"/>
  <c r="AQ15" i="6"/>
  <c r="AQ72" i="6"/>
  <c r="AQ40" i="6"/>
  <c r="AQ59" i="6"/>
  <c r="AQ27" i="6"/>
  <c r="AQ66" i="6"/>
  <c r="AQ34" i="6"/>
  <c r="AQ53" i="6"/>
  <c r="AQ20" i="6"/>
  <c r="AQ60" i="6"/>
  <c r="AQ28" i="6"/>
  <c r="AQ47" i="6"/>
  <c r="AQ21" i="6"/>
  <c r="AQ54" i="6"/>
  <c r="AQ22" i="6"/>
  <c r="AQ41" i="6"/>
  <c r="AQ16" i="6"/>
  <c r="AQ64" i="6"/>
  <c r="AQ32" i="6"/>
  <c r="AQ51" i="6"/>
  <c r="AQ18" i="6"/>
  <c r="AQ58" i="6"/>
  <c r="AQ26" i="6"/>
  <c r="AQ45" i="6"/>
  <c r="AQ19" i="6"/>
  <c r="AQ52" i="6"/>
  <c r="AQ71" i="6"/>
  <c r="AQ39" i="6"/>
  <c r="AQ14" i="6"/>
  <c r="AQ46" i="6"/>
  <c r="AQ65" i="6"/>
  <c r="AQ33" i="6"/>
  <c r="AG112" i="6"/>
  <c r="Q112" i="6"/>
  <c r="AD112" i="6"/>
  <c r="AF112" i="6"/>
  <c r="A113" i="6"/>
  <c r="G112" i="6"/>
  <c r="L112" i="6"/>
  <c r="C112" i="6"/>
  <c r="D112" i="6"/>
  <c r="AC112" i="6"/>
  <c r="M112" i="6"/>
  <c r="V112" i="6"/>
  <c r="X112" i="6"/>
  <c r="AE112" i="6"/>
  <c r="Z112" i="6"/>
  <c r="AA112" i="6"/>
  <c r="R112" i="6"/>
  <c r="U112" i="6"/>
  <c r="E112" i="6"/>
  <c r="F112" i="6"/>
  <c r="H112" i="6"/>
  <c r="O112" i="6"/>
  <c r="AB112" i="6"/>
  <c r="K112" i="6"/>
  <c r="T112" i="6"/>
  <c r="Y112" i="6"/>
  <c r="W112" i="6"/>
  <c r="I112" i="6"/>
  <c r="J112" i="6"/>
  <c r="N112" i="6"/>
  <c r="S112" i="6"/>
  <c r="P112" i="6"/>
  <c r="B112" i="6"/>
  <c r="AK15" i="1"/>
  <c r="AJ17" i="1"/>
  <c r="AJ82" i="6"/>
  <c r="AI83" i="6"/>
  <c r="AI18" i="1"/>
  <c r="B48" i="2"/>
  <c r="G48" i="2"/>
  <c r="C48" i="2"/>
  <c r="H48" i="2"/>
  <c r="A49" i="2"/>
  <c r="AK49" i="2" s="1"/>
  <c r="E48" i="2"/>
  <c r="F48" i="2"/>
  <c r="D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M12" i="2"/>
  <c r="AL11" i="2"/>
  <c r="AK80" i="6"/>
  <c r="X95" i="6"/>
  <c r="X30" i="1"/>
  <c r="C54" i="6"/>
  <c r="H54" i="6"/>
  <c r="L54" i="6"/>
  <c r="E54" i="6"/>
  <c r="D54" i="6"/>
  <c r="I54" i="6"/>
  <c r="M54" i="6"/>
  <c r="B54" i="6"/>
  <c r="F54" i="6"/>
  <c r="J54" i="6"/>
  <c r="A55" i="6"/>
  <c r="G54" i="6"/>
  <c r="K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Y28" i="1"/>
  <c r="Y93" i="6"/>
  <c r="AC88" i="6"/>
  <c r="AC23" i="1"/>
  <c r="AL16" i="1"/>
  <c r="AL82" i="6" s="1"/>
  <c r="AN12" i="1"/>
  <c r="AO13" i="1"/>
  <c r="V32" i="1"/>
  <c r="V97" i="6"/>
  <c r="AE22" i="1"/>
  <c r="AE87" i="6"/>
  <c r="AD25" i="1"/>
  <c r="AD90" i="6"/>
  <c r="W30" i="1"/>
  <c r="W95" i="6"/>
  <c r="AM79" i="6"/>
  <c r="AL78" i="6"/>
  <c r="AL81" i="6"/>
  <c r="AL80" i="6"/>
  <c r="Z92" i="6"/>
  <c r="Z27" i="1"/>
  <c r="AR11" i="6"/>
  <c r="AS12" i="6"/>
  <c r="AA25" i="1"/>
  <c r="AA90" i="6"/>
  <c r="AG84" i="6"/>
  <c r="AG19" i="1"/>
  <c r="AA26" i="1" l="1"/>
  <c r="AA91" i="6"/>
  <c r="AM78" i="6"/>
  <c r="AN79" i="6"/>
  <c r="AN12" i="2"/>
  <c r="AM11" i="2"/>
  <c r="AK81" i="6"/>
  <c r="AK16" i="1"/>
  <c r="Z93" i="6"/>
  <c r="Z28" i="1"/>
  <c r="AO12" i="1"/>
  <c r="AP13" i="1"/>
  <c r="AI19" i="1"/>
  <c r="AI84" i="6"/>
  <c r="H52" i="1"/>
  <c r="A53" i="1"/>
  <c r="I52" i="1"/>
  <c r="E52" i="1"/>
  <c r="D52" i="1"/>
  <c r="G52" i="1"/>
  <c r="F52" i="1"/>
  <c r="B52" i="1"/>
  <c r="C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F86" i="6"/>
  <c r="AF21" i="1"/>
  <c r="AB27" i="1"/>
  <c r="AB92" i="6"/>
  <c r="U33" i="1"/>
  <c r="U98" i="6"/>
  <c r="AH21" i="1"/>
  <c r="AH86" i="6"/>
  <c r="AS11" i="6"/>
  <c r="AT12" i="6"/>
  <c r="AN14" i="1"/>
  <c r="AN15" i="1" s="1"/>
  <c r="AN16" i="1" s="1"/>
  <c r="AN53" i="1"/>
  <c r="AC89" i="6"/>
  <c r="AC24" i="1"/>
  <c r="AJ18" i="1"/>
  <c r="AJ83" i="6"/>
  <c r="AM14" i="1"/>
  <c r="AM80" i="6" s="1"/>
  <c r="AG20" i="1"/>
  <c r="AG85" i="6"/>
  <c r="AR69" i="6"/>
  <c r="AR37" i="6"/>
  <c r="AR58" i="6"/>
  <c r="AR26" i="6"/>
  <c r="AR63" i="6"/>
  <c r="AR31" i="6"/>
  <c r="AR52" i="6"/>
  <c r="AR21" i="6"/>
  <c r="AR57" i="6"/>
  <c r="AR25" i="6"/>
  <c r="AR46" i="6"/>
  <c r="AR16" i="6"/>
  <c r="AR51" i="6"/>
  <c r="AR72" i="6"/>
  <c r="AR40" i="6"/>
  <c r="AR20" i="6"/>
  <c r="AR61" i="6"/>
  <c r="AR29" i="6"/>
  <c r="AR50" i="6"/>
  <c r="AR19" i="6"/>
  <c r="AR55" i="6"/>
  <c r="AR23" i="6"/>
  <c r="AR44" i="6"/>
  <c r="AR14" i="6"/>
  <c r="AR49" i="6"/>
  <c r="AR70" i="6"/>
  <c r="AR38" i="6"/>
  <c r="AR18" i="6"/>
  <c r="AR43" i="6"/>
  <c r="AR64" i="6"/>
  <c r="AR32" i="6"/>
  <c r="AR45" i="6"/>
  <c r="AR34" i="6"/>
  <c r="AR39" i="6"/>
  <c r="AR28" i="6"/>
  <c r="AR33" i="6"/>
  <c r="AR22" i="6"/>
  <c r="AR27" i="6"/>
  <c r="AR17" i="6"/>
  <c r="AR73" i="6"/>
  <c r="AR13" i="6"/>
  <c r="AR68" i="6"/>
  <c r="AR15" i="6"/>
  <c r="AR62" i="6"/>
  <c r="AR67" i="6"/>
  <c r="AR56" i="6"/>
  <c r="AR66" i="6"/>
  <c r="AR71" i="6"/>
  <c r="AR60" i="6"/>
  <c r="AR65" i="6"/>
  <c r="AR54" i="6"/>
  <c r="AR59" i="6"/>
  <c r="AR48" i="6"/>
  <c r="AR53" i="6"/>
  <c r="AR42" i="6"/>
  <c r="AR47" i="6"/>
  <c r="AR36" i="6"/>
  <c r="AR41" i="6"/>
  <c r="AR30" i="6"/>
  <c r="AR35" i="6"/>
  <c r="AR24" i="6"/>
  <c r="W96" i="6"/>
  <c r="W31" i="1"/>
  <c r="AD26" i="1"/>
  <c r="AD91" i="6"/>
  <c r="AE23" i="1"/>
  <c r="AE88" i="6"/>
  <c r="V33" i="1"/>
  <c r="V98" i="6"/>
  <c r="AL17" i="1"/>
  <c r="Y94" i="6"/>
  <c r="Y29" i="1"/>
  <c r="E55" i="6"/>
  <c r="C55" i="6"/>
  <c r="I55" i="6"/>
  <c r="M55" i="6"/>
  <c r="B55" i="6"/>
  <c r="F55" i="6"/>
  <c r="J55" i="6"/>
  <c r="D55" i="6"/>
  <c r="G55" i="6"/>
  <c r="K55" i="6"/>
  <c r="A56" i="6"/>
  <c r="H55" i="6"/>
  <c r="L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X31" i="1"/>
  <c r="X96" i="6"/>
  <c r="D49" i="2"/>
  <c r="E49" i="2"/>
  <c r="C49" i="2"/>
  <c r="F49" i="2"/>
  <c r="A50" i="2"/>
  <c r="G49" i="2"/>
  <c r="B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A113" i="6"/>
  <c r="K113" i="6"/>
  <c r="T113" i="6"/>
  <c r="V113" i="6"/>
  <c r="AC113" i="6"/>
  <c r="X113" i="6"/>
  <c r="AG113" i="6"/>
  <c r="AF113" i="6"/>
  <c r="B113" i="6"/>
  <c r="W113" i="6"/>
  <c r="G113" i="6"/>
  <c r="L113" i="6"/>
  <c r="N113" i="6"/>
  <c r="U113" i="6"/>
  <c r="H113" i="6"/>
  <c r="Y113" i="6"/>
  <c r="P113" i="6"/>
  <c r="AE113" i="6"/>
  <c r="O113" i="6"/>
  <c r="AB113" i="6"/>
  <c r="AD113" i="6"/>
  <c r="A114" i="6"/>
  <c r="E113" i="6"/>
  <c r="J113" i="6"/>
  <c r="I113" i="6"/>
  <c r="R113" i="6"/>
  <c r="F113" i="6"/>
  <c r="AH113" i="6"/>
  <c r="S113" i="6"/>
  <c r="M113" i="6"/>
  <c r="C113" i="6"/>
  <c r="Z113" i="6"/>
  <c r="D113" i="6"/>
  <c r="Q113" i="6"/>
  <c r="AM15" i="1"/>
  <c r="AM16" i="1" s="1"/>
  <c r="AN17" i="1" l="1"/>
  <c r="AM17" i="1"/>
  <c r="AM82" i="6"/>
  <c r="D50" i="2"/>
  <c r="H50" i="2"/>
  <c r="B50" i="2"/>
  <c r="E50" i="2"/>
  <c r="A51" i="2"/>
  <c r="F50" i="2"/>
  <c r="C50" i="2"/>
  <c r="G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X97" i="6"/>
  <c r="X32" i="1"/>
  <c r="E56" i="6"/>
  <c r="H56" i="6"/>
  <c r="L56" i="6"/>
  <c r="D56" i="6"/>
  <c r="C56" i="6"/>
  <c r="I56" i="6"/>
  <c r="M56" i="6"/>
  <c r="B56" i="6"/>
  <c r="F56" i="6"/>
  <c r="J56" i="6"/>
  <c r="A57" i="6"/>
  <c r="G56" i="6"/>
  <c r="K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Y30" i="1"/>
  <c r="Y95" i="6"/>
  <c r="AG86" i="6"/>
  <c r="AG21" i="1"/>
  <c r="AC25" i="1"/>
  <c r="AC90" i="6"/>
  <c r="AS44" i="6"/>
  <c r="AS63" i="6"/>
  <c r="AS31" i="6"/>
  <c r="AS70" i="6"/>
  <c r="AS38" i="6"/>
  <c r="AS57" i="6"/>
  <c r="AS25" i="6"/>
  <c r="AS64" i="6"/>
  <c r="AS32" i="6"/>
  <c r="AS51" i="6"/>
  <c r="AS18" i="6"/>
  <c r="AS58" i="6"/>
  <c r="AS26" i="6"/>
  <c r="AS45" i="6"/>
  <c r="AS19" i="6"/>
  <c r="AS68" i="6"/>
  <c r="AS36" i="6"/>
  <c r="AS55" i="6"/>
  <c r="AS23" i="6"/>
  <c r="AS62" i="6"/>
  <c r="AS30" i="6"/>
  <c r="AS49" i="6"/>
  <c r="AS15" i="6"/>
  <c r="AS56" i="6"/>
  <c r="AS24" i="6"/>
  <c r="AS43" i="6"/>
  <c r="AS17" i="6"/>
  <c r="AS50" i="6"/>
  <c r="AS69" i="6"/>
  <c r="AS37" i="6"/>
  <c r="AS13" i="6"/>
  <c r="AS60" i="6"/>
  <c r="AS28" i="6"/>
  <c r="AS47" i="6"/>
  <c r="AS21" i="6"/>
  <c r="AS54" i="6"/>
  <c r="AS22" i="6"/>
  <c r="AS41" i="6"/>
  <c r="AS16" i="6"/>
  <c r="AS48" i="6"/>
  <c r="AS67" i="6"/>
  <c r="AS35" i="6"/>
  <c r="AS73" i="6"/>
  <c r="AS42" i="6"/>
  <c r="AS61" i="6"/>
  <c r="AS29" i="6"/>
  <c r="AS52" i="6"/>
  <c r="AS71" i="6"/>
  <c r="AS39" i="6"/>
  <c r="AS14" i="6"/>
  <c r="AS46" i="6"/>
  <c r="AS65" i="6"/>
  <c r="AS33" i="6"/>
  <c r="AS72" i="6"/>
  <c r="AS40" i="6"/>
  <c r="AS59" i="6"/>
  <c r="AS27" i="6"/>
  <c r="AS66" i="6"/>
  <c r="AS34" i="6"/>
  <c r="AS53" i="6"/>
  <c r="AS20" i="6"/>
  <c r="AP12" i="1"/>
  <c r="AQ13" i="1"/>
  <c r="AK17" i="1"/>
  <c r="AK82" i="6"/>
  <c r="AN11" i="2"/>
  <c r="AO12" i="2"/>
  <c r="W114" i="6"/>
  <c r="G114" i="6"/>
  <c r="N114" i="6"/>
  <c r="P114" i="6"/>
  <c r="Y114" i="6"/>
  <c r="R114" i="6"/>
  <c r="AC114" i="6"/>
  <c r="Z114" i="6"/>
  <c r="AI114" i="6"/>
  <c r="S114" i="6"/>
  <c r="C114" i="6"/>
  <c r="F114" i="6"/>
  <c r="H114" i="6"/>
  <c r="Q114" i="6"/>
  <c r="B114" i="6"/>
  <c r="U114" i="6"/>
  <c r="J114" i="6"/>
  <c r="AA114" i="6"/>
  <c r="K114" i="6"/>
  <c r="V114" i="6"/>
  <c r="X114" i="6"/>
  <c r="AG114" i="6"/>
  <c r="AH114" i="6"/>
  <c r="D114" i="6"/>
  <c r="E114" i="6"/>
  <c r="L114" i="6"/>
  <c r="AD114" i="6"/>
  <c r="T114" i="6"/>
  <c r="AF114" i="6"/>
  <c r="M114" i="6"/>
  <c r="AE114" i="6"/>
  <c r="A115" i="6"/>
  <c r="AB114" i="6"/>
  <c r="O114" i="6"/>
  <c r="I114" i="6"/>
  <c r="AL50" i="2"/>
  <c r="AJ19" i="1"/>
  <c r="AJ84" i="6"/>
  <c r="AO14" i="1"/>
  <c r="AO15" i="1" s="1"/>
  <c r="AN78" i="6"/>
  <c r="AO79" i="6"/>
  <c r="AN81" i="6"/>
  <c r="AN80" i="6"/>
  <c r="AN82" i="6"/>
  <c r="AN83" i="6"/>
  <c r="AA27" i="1"/>
  <c r="AA92" i="6"/>
  <c r="W32" i="1"/>
  <c r="W97" i="6"/>
  <c r="AF22" i="1"/>
  <c r="AF87" i="6"/>
  <c r="H53" i="1"/>
  <c r="C53" i="1"/>
  <c r="I53" i="1"/>
  <c r="E53" i="1"/>
  <c r="D53" i="1"/>
  <c r="F53" i="1"/>
  <c r="A54" i="1"/>
  <c r="G53" i="1"/>
  <c r="B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I85" i="6"/>
  <c r="AI20" i="1"/>
  <c r="AL18" i="1"/>
  <c r="AL83" i="6"/>
  <c r="V34" i="1"/>
  <c r="V99" i="6"/>
  <c r="AE24" i="1"/>
  <c r="AE89" i="6"/>
  <c r="AD27" i="1"/>
  <c r="AD92" i="6"/>
  <c r="AU12" i="6"/>
  <c r="AT11" i="6"/>
  <c r="AH22" i="1"/>
  <c r="AH87" i="6"/>
  <c r="U99" i="6"/>
  <c r="AB28" i="1"/>
  <c r="AB93" i="6"/>
  <c r="Z94" i="6"/>
  <c r="Z29" i="1"/>
  <c r="AM51" i="2"/>
  <c r="AM81" i="6"/>
  <c r="AO16" i="1" l="1"/>
  <c r="AO82" i="6" s="1"/>
  <c r="Z30" i="1"/>
  <c r="Z95" i="6"/>
  <c r="AH23" i="1"/>
  <c r="AH88" i="6"/>
  <c r="AI86" i="6"/>
  <c r="AI21" i="1"/>
  <c r="AF88" i="6"/>
  <c r="AF23" i="1"/>
  <c r="AO11" i="2"/>
  <c r="AP12" i="2"/>
  <c r="AK83" i="6"/>
  <c r="AK18" i="1"/>
  <c r="AM18" i="1"/>
  <c r="AM83" i="6"/>
  <c r="AB29" i="1"/>
  <c r="AB94" i="6"/>
  <c r="AL19" i="1"/>
  <c r="AL84" i="6"/>
  <c r="AP79" i="6"/>
  <c r="AO78" i="6"/>
  <c r="AO81" i="6"/>
  <c r="AO14" i="6" s="1"/>
  <c r="AO80" i="6"/>
  <c r="AO13" i="6" s="1"/>
  <c r="AT43" i="6"/>
  <c r="AT64" i="6"/>
  <c r="AT32" i="6"/>
  <c r="AT69" i="6"/>
  <c r="AT37" i="6"/>
  <c r="AT58" i="6"/>
  <c r="AT26" i="6"/>
  <c r="AT63" i="6"/>
  <c r="AT31" i="6"/>
  <c r="AT52" i="6"/>
  <c r="AT21" i="6"/>
  <c r="AT57" i="6"/>
  <c r="AT25" i="6"/>
  <c r="AT46" i="6"/>
  <c r="AT16" i="6"/>
  <c r="AT67" i="6"/>
  <c r="AT35" i="6"/>
  <c r="AT56" i="6"/>
  <c r="AT24" i="6"/>
  <c r="AT61" i="6"/>
  <c r="AT29" i="6"/>
  <c r="AT50" i="6"/>
  <c r="AT19" i="6"/>
  <c r="AT55" i="6"/>
  <c r="AT23" i="6"/>
  <c r="AT44" i="6"/>
  <c r="AT14" i="6"/>
  <c r="AT49" i="6"/>
  <c r="AT70" i="6"/>
  <c r="AT38" i="6"/>
  <c r="AT18" i="6"/>
  <c r="AT59" i="6"/>
  <c r="AT27" i="6"/>
  <c r="AT48" i="6"/>
  <c r="AT17" i="6"/>
  <c r="AT53" i="6"/>
  <c r="AT73" i="6"/>
  <c r="AT42" i="6"/>
  <c r="AT13" i="6"/>
  <c r="AT47" i="6"/>
  <c r="AT68" i="6"/>
  <c r="AT36" i="6"/>
  <c r="AT15" i="6"/>
  <c r="AT41" i="6"/>
  <c r="AT62" i="6"/>
  <c r="AT30" i="6"/>
  <c r="AT51" i="6"/>
  <c r="AT72" i="6"/>
  <c r="AT40" i="6"/>
  <c r="AT20" i="6"/>
  <c r="AT45" i="6"/>
  <c r="AT66" i="6"/>
  <c r="AT34" i="6"/>
  <c r="AT71" i="6"/>
  <c r="AT39" i="6"/>
  <c r="AT60" i="6"/>
  <c r="AT28" i="6"/>
  <c r="AT65" i="6"/>
  <c r="AT33" i="6"/>
  <c r="AT54" i="6"/>
  <c r="AT22" i="6"/>
  <c r="AD28" i="1"/>
  <c r="AD93" i="6"/>
  <c r="AE25" i="1"/>
  <c r="AE90" i="6"/>
  <c r="V100" i="6"/>
  <c r="W33" i="1"/>
  <c r="W98" i="6"/>
  <c r="AA93" i="6"/>
  <c r="AA28" i="1"/>
  <c r="AJ85" i="6"/>
  <c r="AJ20" i="1"/>
  <c r="AQ12" i="1"/>
  <c r="AR13" i="1"/>
  <c r="AG87" i="6"/>
  <c r="AG22" i="1"/>
  <c r="C51" i="2"/>
  <c r="H51" i="2"/>
  <c r="B51" i="2"/>
  <c r="E51" i="2"/>
  <c r="A52" i="2"/>
  <c r="F51" i="2"/>
  <c r="D51" i="2"/>
  <c r="G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N18" i="1"/>
  <c r="AU11" i="6"/>
  <c r="AV12" i="6"/>
  <c r="H54" i="1"/>
  <c r="I54" i="1"/>
  <c r="E54" i="1"/>
  <c r="D54" i="1"/>
  <c r="F54" i="1"/>
  <c r="B54" i="1"/>
  <c r="G54" i="1"/>
  <c r="A55" i="1"/>
  <c r="C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G115" i="6"/>
  <c r="Q115" i="6"/>
  <c r="AJ115" i="6"/>
  <c r="D115" i="6"/>
  <c r="F115" i="6"/>
  <c r="O115" i="6"/>
  <c r="AH115" i="6"/>
  <c r="AA115" i="6"/>
  <c r="X115" i="6"/>
  <c r="AC115" i="6"/>
  <c r="M115" i="6"/>
  <c r="AB115" i="6"/>
  <c r="AD115" i="6"/>
  <c r="A116" i="6"/>
  <c r="G115" i="6"/>
  <c r="R115" i="6"/>
  <c r="S115" i="6"/>
  <c r="H115" i="6"/>
  <c r="U115" i="6"/>
  <c r="E115" i="6"/>
  <c r="L115" i="6"/>
  <c r="N115" i="6"/>
  <c r="W115" i="6"/>
  <c r="P115" i="6"/>
  <c r="AI115" i="6"/>
  <c r="C115" i="6"/>
  <c r="J115" i="6"/>
  <c r="I115" i="6"/>
  <c r="AF115" i="6"/>
  <c r="T115" i="6"/>
  <c r="B115" i="6"/>
  <c r="V115" i="6"/>
  <c r="K115" i="6"/>
  <c r="Y115" i="6"/>
  <c r="AE115" i="6"/>
  <c r="Z115" i="6"/>
  <c r="AP115" i="6"/>
  <c r="AP70" i="1"/>
  <c r="AP42" i="1"/>
  <c r="AP27" i="1"/>
  <c r="AP66" i="1"/>
  <c r="AP41" i="1"/>
  <c r="AP69" i="1"/>
  <c r="AP36" i="1"/>
  <c r="AP71" i="1"/>
  <c r="AP52" i="1"/>
  <c r="AP62" i="1"/>
  <c r="AP21" i="1"/>
  <c r="AP61" i="1"/>
  <c r="AP30" i="1"/>
  <c r="AP56" i="1"/>
  <c r="AP24" i="1"/>
  <c r="AP74" i="1"/>
  <c r="AP55" i="1"/>
  <c r="AP38" i="1"/>
  <c r="AP23" i="1"/>
  <c r="AP68" i="1"/>
  <c r="AP34" i="1"/>
  <c r="AP57" i="1"/>
  <c r="AP28" i="1"/>
  <c r="AP67" i="1"/>
  <c r="AP48" i="1"/>
  <c r="AP33" i="1"/>
  <c r="AP17" i="1"/>
  <c r="AP53" i="1"/>
  <c r="AP22" i="1"/>
  <c r="AP47" i="1"/>
  <c r="AP16" i="1"/>
  <c r="AP72" i="1"/>
  <c r="AP50" i="1"/>
  <c r="AP35" i="1"/>
  <c r="AP19" i="1"/>
  <c r="AP64" i="1"/>
  <c r="AP26" i="1"/>
  <c r="AP51" i="1"/>
  <c r="AP20" i="1"/>
  <c r="AP59" i="1"/>
  <c r="AP44" i="1"/>
  <c r="AP29" i="1"/>
  <c r="AP58" i="1"/>
  <c r="AP45" i="1"/>
  <c r="AP14" i="1"/>
  <c r="AP39" i="1"/>
  <c r="AP63" i="1"/>
  <c r="AP46" i="1"/>
  <c r="AP31" i="1"/>
  <c r="AP15" i="1"/>
  <c r="AP49" i="1"/>
  <c r="AP18" i="1"/>
  <c r="AP43" i="1"/>
  <c r="AP54" i="1"/>
  <c r="AP60" i="1"/>
  <c r="AP40" i="1"/>
  <c r="AP25" i="1"/>
  <c r="AP73" i="1"/>
  <c r="AP37" i="1"/>
  <c r="AP65" i="1"/>
  <c r="AP32" i="1"/>
  <c r="AC91" i="6"/>
  <c r="AC26" i="1"/>
  <c r="Y96" i="6"/>
  <c r="Y31" i="1"/>
  <c r="A58" i="6"/>
  <c r="D57" i="6"/>
  <c r="I57" i="6"/>
  <c r="M57" i="6"/>
  <c r="C57" i="6"/>
  <c r="F57" i="6"/>
  <c r="J57" i="6"/>
  <c r="H57" i="6"/>
  <c r="B57" i="6"/>
  <c r="K57" i="6"/>
  <c r="E57" i="6"/>
  <c r="L57" i="6"/>
  <c r="G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X33" i="1"/>
  <c r="X98" i="6"/>
  <c r="X34" i="1" l="1"/>
  <c r="X99" i="6"/>
  <c r="Y32" i="1"/>
  <c r="Y97" i="6"/>
  <c r="AC27" i="1"/>
  <c r="AC92" i="6"/>
  <c r="AN19" i="1"/>
  <c r="AN84" i="6"/>
  <c r="AS13" i="1"/>
  <c r="AR12" i="1"/>
  <c r="AA29" i="1"/>
  <c r="AA94" i="6"/>
  <c r="AE26" i="1"/>
  <c r="AE91" i="6"/>
  <c r="AD29" i="1"/>
  <c r="AD94" i="6"/>
  <c r="AP78" i="6"/>
  <c r="AQ79" i="6"/>
  <c r="AP82" i="6"/>
  <c r="AP81" i="6"/>
  <c r="AP80" i="6"/>
  <c r="AP83" i="6"/>
  <c r="AP84" i="6"/>
  <c r="AP85" i="6"/>
  <c r="AP86" i="6"/>
  <c r="AP87" i="6"/>
  <c r="AP88" i="6"/>
  <c r="AP89" i="6"/>
  <c r="AP90" i="6"/>
  <c r="AP91" i="6"/>
  <c r="AP92" i="6"/>
  <c r="AP93" i="6"/>
  <c r="AP94" i="6"/>
  <c r="AP95" i="6"/>
  <c r="AP96" i="6"/>
  <c r="AP97" i="6"/>
  <c r="AP98" i="6"/>
  <c r="AP99" i="6"/>
  <c r="AP100" i="6"/>
  <c r="AP101" i="6"/>
  <c r="AP102" i="6"/>
  <c r="AP103" i="6"/>
  <c r="AP104" i="6"/>
  <c r="AP105" i="6"/>
  <c r="AP106" i="6"/>
  <c r="AP107" i="6"/>
  <c r="AP108" i="6"/>
  <c r="AP109" i="6"/>
  <c r="AP110" i="6"/>
  <c r="AP111" i="6"/>
  <c r="AP112" i="6"/>
  <c r="AP113" i="6"/>
  <c r="AP114" i="6"/>
  <c r="AP11" i="2"/>
  <c r="AQ12" i="2"/>
  <c r="AH24" i="1"/>
  <c r="AH89" i="6"/>
  <c r="Z96" i="6"/>
  <c r="Z31" i="1"/>
  <c r="AG88" i="6"/>
  <c r="AG23" i="1"/>
  <c r="AQ62" i="1"/>
  <c r="AQ54" i="1"/>
  <c r="AQ59" i="1"/>
  <c r="AQ42" i="1"/>
  <c r="AQ25" i="1"/>
  <c r="AQ15" i="1"/>
  <c r="AQ32" i="1"/>
  <c r="AQ22" i="1"/>
  <c r="AQ58" i="1"/>
  <c r="AQ65" i="1"/>
  <c r="AQ69" i="1"/>
  <c r="AQ49" i="1"/>
  <c r="AQ73" i="1"/>
  <c r="AQ55" i="1"/>
  <c r="AQ57" i="1"/>
  <c r="AQ41" i="1"/>
  <c r="AQ17" i="1"/>
  <c r="AQ38" i="1"/>
  <c r="AQ24" i="1"/>
  <c r="AQ14" i="1"/>
  <c r="AQ63" i="1"/>
  <c r="AQ50" i="1"/>
  <c r="AQ51" i="1"/>
  <c r="AQ34" i="1"/>
  <c r="AQ60" i="1"/>
  <c r="AQ39" i="1"/>
  <c r="AQ23" i="1"/>
  <c r="AQ30" i="1"/>
  <c r="AQ67" i="1"/>
  <c r="AQ52" i="1"/>
  <c r="AQ36" i="1"/>
  <c r="AQ44" i="1"/>
  <c r="AQ20" i="1"/>
  <c r="AQ8" i="1"/>
  <c r="AQ46" i="1"/>
  <c r="AQ53" i="1"/>
  <c r="AQ35" i="1"/>
  <c r="AQ72" i="1"/>
  <c r="AQ70" i="1"/>
  <c r="AQ45" i="1"/>
  <c r="AQ27" i="1"/>
  <c r="AQ61" i="1"/>
  <c r="AQ33" i="1"/>
  <c r="AQ68" i="1"/>
  <c r="AQ64" i="1"/>
  <c r="AQ37" i="1"/>
  <c r="AQ48" i="1"/>
  <c r="AQ66" i="1"/>
  <c r="AQ56" i="1"/>
  <c r="AQ29" i="1"/>
  <c r="AQ19" i="1"/>
  <c r="AQ40" i="1"/>
  <c r="AQ26" i="1"/>
  <c r="AQ74" i="1"/>
  <c r="AQ47" i="1"/>
  <c r="AQ31" i="1"/>
  <c r="AQ16" i="1"/>
  <c r="AQ71" i="1"/>
  <c r="AQ43" i="1"/>
  <c r="AQ21" i="1"/>
  <c r="AQ9" i="1"/>
  <c r="AQ28" i="1"/>
  <c r="AQ18" i="1"/>
  <c r="W34" i="1"/>
  <c r="W99" i="6"/>
  <c r="AK19" i="1"/>
  <c r="AK84" i="6"/>
  <c r="E58" i="6"/>
  <c r="C58" i="6"/>
  <c r="I58" i="6"/>
  <c r="M58" i="6"/>
  <c r="B58" i="6"/>
  <c r="F58" i="6"/>
  <c r="J58" i="6"/>
  <c r="A59" i="6"/>
  <c r="G58" i="6"/>
  <c r="K58" i="6"/>
  <c r="D58" i="6"/>
  <c r="H58" i="6"/>
  <c r="L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I55" i="1"/>
  <c r="E55" i="1"/>
  <c r="F55" i="1"/>
  <c r="D55" i="1"/>
  <c r="G55" i="1"/>
  <c r="C55" i="1"/>
  <c r="B55" i="1"/>
  <c r="H55" i="1"/>
  <c r="A56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W12" i="6"/>
  <c r="AV11" i="6"/>
  <c r="AN13" i="6"/>
  <c r="AM19" i="1"/>
  <c r="AM84" i="6"/>
  <c r="AO15" i="6"/>
  <c r="AO17" i="1"/>
  <c r="AK116" i="6"/>
  <c r="U116" i="6"/>
  <c r="E116" i="6"/>
  <c r="J116" i="6"/>
  <c r="P116" i="6"/>
  <c r="W116" i="6"/>
  <c r="N116" i="6"/>
  <c r="AI116" i="6"/>
  <c r="C116" i="6"/>
  <c r="L116" i="6"/>
  <c r="AG116" i="6"/>
  <c r="Q116" i="6"/>
  <c r="AH116" i="6"/>
  <c r="B116" i="6"/>
  <c r="H116" i="6"/>
  <c r="O116" i="6"/>
  <c r="AJ116" i="6"/>
  <c r="AA116" i="6"/>
  <c r="V116" i="6"/>
  <c r="Y116" i="6"/>
  <c r="Z116" i="6"/>
  <c r="A117" i="6"/>
  <c r="T116" i="6"/>
  <c r="F116" i="6"/>
  <c r="AC116" i="6"/>
  <c r="R116" i="6"/>
  <c r="AE116" i="6"/>
  <c r="D116" i="6"/>
  <c r="AB116" i="6"/>
  <c r="M116" i="6"/>
  <c r="AF116" i="6"/>
  <c r="G116" i="6"/>
  <c r="S116" i="6"/>
  <c r="I116" i="6"/>
  <c r="X116" i="6"/>
  <c r="AD116" i="6"/>
  <c r="K116" i="6"/>
  <c r="AQ116" i="6"/>
  <c r="AP116" i="6"/>
  <c r="AU58" i="6"/>
  <c r="AU26" i="6"/>
  <c r="AU45" i="6"/>
  <c r="AU19" i="6"/>
  <c r="AU52" i="6"/>
  <c r="AU71" i="6"/>
  <c r="AU39" i="6"/>
  <c r="AU14" i="6"/>
  <c r="AU46" i="6"/>
  <c r="AU65" i="6"/>
  <c r="AU33" i="6"/>
  <c r="AU72" i="6"/>
  <c r="AU40" i="6"/>
  <c r="AU59" i="6"/>
  <c r="AU27" i="6"/>
  <c r="AU50" i="6"/>
  <c r="AU69" i="6"/>
  <c r="AU37" i="6"/>
  <c r="AU13" i="6"/>
  <c r="AU44" i="6"/>
  <c r="AU63" i="6"/>
  <c r="AU31" i="6"/>
  <c r="AU70" i="6"/>
  <c r="AU38" i="6"/>
  <c r="AU57" i="6"/>
  <c r="AU25" i="6"/>
  <c r="AU64" i="6"/>
  <c r="AU32" i="6"/>
  <c r="AU51" i="6"/>
  <c r="AU18" i="6"/>
  <c r="AU73" i="6"/>
  <c r="AU42" i="6"/>
  <c r="AU61" i="6"/>
  <c r="AU29" i="6"/>
  <c r="AU68" i="6"/>
  <c r="AU36" i="6"/>
  <c r="AU55" i="6"/>
  <c r="AU23" i="6"/>
  <c r="AU62" i="6"/>
  <c r="AU30" i="6"/>
  <c r="AU49" i="6"/>
  <c r="AU15" i="6"/>
  <c r="AU56" i="6"/>
  <c r="AU24" i="6"/>
  <c r="AU43" i="6"/>
  <c r="AU17" i="6"/>
  <c r="AU66" i="6"/>
  <c r="AU34" i="6"/>
  <c r="AU53" i="6"/>
  <c r="AU20" i="6"/>
  <c r="AU60" i="6"/>
  <c r="AU28" i="6"/>
  <c r="AU47" i="6"/>
  <c r="AU21" i="6"/>
  <c r="AU54" i="6"/>
  <c r="AU22" i="6"/>
  <c r="AU41" i="6"/>
  <c r="AU35" i="6"/>
  <c r="AU16" i="6"/>
  <c r="AU48" i="6"/>
  <c r="AU67" i="6"/>
  <c r="D52" i="2"/>
  <c r="G52" i="2"/>
  <c r="C52" i="2"/>
  <c r="H52" i="2"/>
  <c r="B52" i="2"/>
  <c r="E52" i="2"/>
  <c r="A53" i="2"/>
  <c r="F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J86" i="6"/>
  <c r="AJ21" i="1"/>
  <c r="AN52" i="2"/>
  <c r="AL20" i="1"/>
  <c r="AL85" i="6"/>
  <c r="AB30" i="1"/>
  <c r="AB95" i="6"/>
  <c r="AF89" i="6"/>
  <c r="AF24" i="1"/>
  <c r="AI87" i="6"/>
  <c r="AI22" i="1"/>
  <c r="AL21" i="1" l="1"/>
  <c r="AL86" i="6"/>
  <c r="AO18" i="1"/>
  <c r="AO83" i="6"/>
  <c r="AO16" i="6" s="1"/>
  <c r="AM85" i="6"/>
  <c r="AM20" i="1"/>
  <c r="AX12" i="6"/>
  <c r="AW11" i="6"/>
  <c r="AG24" i="1"/>
  <c r="AG89" i="6"/>
  <c r="Z97" i="6"/>
  <c r="Z32" i="1"/>
  <c r="AP49" i="2"/>
  <c r="AP17" i="2"/>
  <c r="AP22" i="2"/>
  <c r="AP35" i="2"/>
  <c r="AP48" i="2"/>
  <c r="AP32" i="2"/>
  <c r="AP16" i="2"/>
  <c r="AP29" i="2"/>
  <c r="AP42" i="2"/>
  <c r="AP47" i="2"/>
  <c r="AP15" i="2"/>
  <c r="AO15" i="2" s="1"/>
  <c r="AP41" i="2"/>
  <c r="AP46" i="2"/>
  <c r="AP14" i="2"/>
  <c r="AP27" i="2"/>
  <c r="AP44" i="2"/>
  <c r="AP28" i="2"/>
  <c r="AP53" i="2"/>
  <c r="AP21" i="2"/>
  <c r="AP34" i="2"/>
  <c r="AP39" i="2"/>
  <c r="AP33" i="2"/>
  <c r="AP38" i="2"/>
  <c r="AP51" i="2"/>
  <c r="AP19" i="2"/>
  <c r="AP40" i="2"/>
  <c r="AP24" i="2"/>
  <c r="AP45" i="2"/>
  <c r="AP13" i="2"/>
  <c r="AP26" i="2"/>
  <c r="AP31" i="2"/>
  <c r="AP25" i="2"/>
  <c r="AP30" i="2"/>
  <c r="AP43" i="2"/>
  <c r="AP52" i="2"/>
  <c r="AP36" i="2"/>
  <c r="AP20" i="2"/>
  <c r="AP37" i="2"/>
  <c r="AP50" i="2"/>
  <c r="AP18" i="2"/>
  <c r="AP23" i="2"/>
  <c r="AR79" i="6"/>
  <c r="AQ78" i="6"/>
  <c r="AQ81" i="6"/>
  <c r="AQ80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D30" i="1"/>
  <c r="AD95" i="6"/>
  <c r="AE27" i="1"/>
  <c r="AE92" i="6"/>
  <c r="AA95" i="6"/>
  <c r="AA30" i="1"/>
  <c r="AB31" i="1"/>
  <c r="AB96" i="6"/>
  <c r="D53" i="2"/>
  <c r="G53" i="2"/>
  <c r="B53" i="2"/>
  <c r="H53" i="2"/>
  <c r="A54" i="2"/>
  <c r="AP54" i="2" s="1"/>
  <c r="E53" i="2"/>
  <c r="C53" i="2"/>
  <c r="F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K117" i="6"/>
  <c r="Y117" i="6"/>
  <c r="I117" i="6"/>
  <c r="T117" i="6"/>
  <c r="Z117" i="6"/>
  <c r="AI117" i="6"/>
  <c r="C117" i="6"/>
  <c r="N117" i="6"/>
  <c r="O117" i="6"/>
  <c r="AL117" i="6"/>
  <c r="U117" i="6"/>
  <c r="E117" i="6"/>
  <c r="L117" i="6"/>
  <c r="R117" i="6"/>
  <c r="AA117" i="6"/>
  <c r="X117" i="6"/>
  <c r="A118" i="6"/>
  <c r="G117" i="6"/>
  <c r="V117" i="6"/>
  <c r="AG117" i="6"/>
  <c r="Q117" i="6"/>
  <c r="AJ117" i="6"/>
  <c r="D117" i="6"/>
  <c r="J117" i="6"/>
  <c r="S117" i="6"/>
  <c r="H117" i="6"/>
  <c r="AE117" i="6"/>
  <c r="AF117" i="6"/>
  <c r="F117" i="6"/>
  <c r="AC117" i="6"/>
  <c r="M117" i="6"/>
  <c r="AB117" i="6"/>
  <c r="AH117" i="6"/>
  <c r="B117" i="6"/>
  <c r="K117" i="6"/>
  <c r="AD117" i="6"/>
  <c r="W117" i="6"/>
  <c r="P117" i="6"/>
  <c r="AR117" i="6"/>
  <c r="AP117" i="6"/>
  <c r="AQ117" i="6"/>
  <c r="AI88" i="6"/>
  <c r="AI23" i="1"/>
  <c r="AF25" i="1"/>
  <c r="AF90" i="6"/>
  <c r="F56" i="1"/>
  <c r="A57" i="1"/>
  <c r="G56" i="1"/>
  <c r="D56" i="1"/>
  <c r="H56" i="1"/>
  <c r="B56" i="1"/>
  <c r="I56" i="1"/>
  <c r="E56" i="1"/>
  <c r="C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H25" i="1"/>
  <c r="AH90" i="6"/>
  <c r="AN20" i="1"/>
  <c r="AN85" i="6"/>
  <c r="AC28" i="1"/>
  <c r="AC93" i="6"/>
  <c r="Y98" i="6"/>
  <c r="Y33" i="1"/>
  <c r="X35" i="1"/>
  <c r="X100" i="6"/>
  <c r="AK85" i="6"/>
  <c r="AK20" i="1"/>
  <c r="W35" i="1"/>
  <c r="W100" i="6"/>
  <c r="AR59" i="1"/>
  <c r="AR44" i="1"/>
  <c r="AR30" i="1"/>
  <c r="AR14" i="1"/>
  <c r="AR57" i="1"/>
  <c r="AR43" i="1"/>
  <c r="AR29" i="1"/>
  <c r="AR64" i="1"/>
  <c r="AR68" i="1"/>
  <c r="AR42" i="1"/>
  <c r="AR28" i="1"/>
  <c r="AR72" i="1"/>
  <c r="AR66" i="1"/>
  <c r="AR41" i="1"/>
  <c r="AR27" i="1"/>
  <c r="AR56" i="1"/>
  <c r="AR62" i="1"/>
  <c r="AR40" i="1"/>
  <c r="AR26" i="1"/>
  <c r="AR8" i="1"/>
  <c r="AR58" i="1"/>
  <c r="AR39" i="1"/>
  <c r="AR25" i="1"/>
  <c r="AR9" i="1"/>
  <c r="AR55" i="1"/>
  <c r="AR38" i="1"/>
  <c r="AR24" i="1"/>
  <c r="AR74" i="1"/>
  <c r="AR53" i="1"/>
  <c r="AR37" i="1"/>
  <c r="AR23" i="1"/>
  <c r="AR73" i="1"/>
  <c r="AR52" i="1"/>
  <c r="AR60" i="1"/>
  <c r="AR22" i="1"/>
  <c r="AR71" i="1"/>
  <c r="AR51" i="1"/>
  <c r="AR54" i="1"/>
  <c r="AR21" i="1"/>
  <c r="AR69" i="1"/>
  <c r="AR50" i="1"/>
  <c r="AR36" i="1"/>
  <c r="AR20" i="1"/>
  <c r="AR70" i="1"/>
  <c r="AR49" i="1"/>
  <c r="AR35" i="1"/>
  <c r="AR19" i="1"/>
  <c r="AR67" i="1"/>
  <c r="AR48" i="1"/>
  <c r="AR34" i="1"/>
  <c r="AR18" i="1"/>
  <c r="AR65" i="1"/>
  <c r="AR47" i="1"/>
  <c r="AR33" i="1"/>
  <c r="AR17" i="1"/>
  <c r="AR63" i="1"/>
  <c r="AR46" i="1"/>
  <c r="AR32" i="1"/>
  <c r="AR16" i="1"/>
  <c r="AR61" i="1"/>
  <c r="AR45" i="1"/>
  <c r="AR31" i="1"/>
  <c r="AR15" i="1"/>
  <c r="AJ22" i="1"/>
  <c r="AJ87" i="6"/>
  <c r="AV63" i="6"/>
  <c r="AV31" i="6"/>
  <c r="AV52" i="6"/>
  <c r="AV21" i="6"/>
  <c r="AV57" i="6"/>
  <c r="AV25" i="6"/>
  <c r="AV46" i="6"/>
  <c r="AV16" i="6"/>
  <c r="AV51" i="6"/>
  <c r="AV72" i="6"/>
  <c r="AV40" i="6"/>
  <c r="AV20" i="6"/>
  <c r="AV45" i="6"/>
  <c r="AV66" i="6"/>
  <c r="AV34" i="6"/>
  <c r="AV55" i="6"/>
  <c r="AV23" i="6"/>
  <c r="AV44" i="6"/>
  <c r="AV14" i="6"/>
  <c r="AV49" i="6"/>
  <c r="AV70" i="6"/>
  <c r="AV38" i="6"/>
  <c r="AV18" i="6"/>
  <c r="AV43" i="6"/>
  <c r="AV64" i="6"/>
  <c r="AV32" i="6"/>
  <c r="AV69" i="6"/>
  <c r="AV37" i="6"/>
  <c r="AV58" i="6"/>
  <c r="AV26" i="6"/>
  <c r="AV68" i="6"/>
  <c r="AV15" i="6"/>
  <c r="AV62" i="6"/>
  <c r="AV67" i="6"/>
  <c r="AV56" i="6"/>
  <c r="AV61" i="6"/>
  <c r="AV50" i="6"/>
  <c r="AV71" i="6"/>
  <c r="AV60" i="6"/>
  <c r="AV65" i="6"/>
  <c r="AV54" i="6"/>
  <c r="AV59" i="6"/>
  <c r="AV48" i="6"/>
  <c r="AV53" i="6"/>
  <c r="AV42" i="6"/>
  <c r="AV47" i="6"/>
  <c r="AV36" i="6"/>
  <c r="AV41" i="6"/>
  <c r="AV30" i="6"/>
  <c r="AV35" i="6"/>
  <c r="AV24" i="6"/>
  <c r="AV29" i="6"/>
  <c r="AV19" i="6"/>
  <c r="AV39" i="6"/>
  <c r="AV28" i="6"/>
  <c r="AV33" i="6"/>
  <c r="AV22" i="6"/>
  <c r="AV27" i="6"/>
  <c r="AV17" i="6"/>
  <c r="AV73" i="6"/>
  <c r="AV13" i="6"/>
  <c r="D59" i="6"/>
  <c r="H59" i="6"/>
  <c r="L59" i="6"/>
  <c r="E59" i="6"/>
  <c r="C59" i="6"/>
  <c r="I59" i="6"/>
  <c r="M59" i="6"/>
  <c r="B59" i="6"/>
  <c r="F59" i="6"/>
  <c r="J59" i="6"/>
  <c r="A60" i="6"/>
  <c r="G59" i="6"/>
  <c r="K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O53" i="2"/>
  <c r="AQ11" i="2"/>
  <c r="AR12" i="2"/>
  <c r="AS12" i="1"/>
  <c r="AT13" i="1"/>
  <c r="AN14" i="6"/>
  <c r="AO16" i="2" l="1"/>
  <c r="AN15" i="2" s="1"/>
  <c r="AO13" i="2"/>
  <c r="AN15" i="6"/>
  <c r="AM14" i="6" s="1"/>
  <c r="AU13" i="1"/>
  <c r="AT12" i="1"/>
  <c r="W101" i="6"/>
  <c r="AN21" i="1"/>
  <c r="AN86" i="6"/>
  <c r="AB32" i="1"/>
  <c r="AB97" i="6"/>
  <c r="AE28" i="1"/>
  <c r="AE93" i="6"/>
  <c r="AQ64" i="2"/>
  <c r="AQ32" i="2"/>
  <c r="AQ59" i="2"/>
  <c r="AQ27" i="2"/>
  <c r="AQ58" i="2"/>
  <c r="AQ26" i="2"/>
  <c r="AQ53" i="2"/>
  <c r="AQ21" i="2"/>
  <c r="AQ52" i="2"/>
  <c r="AQ20" i="2"/>
  <c r="AQ47" i="2"/>
  <c r="AQ15" i="2"/>
  <c r="AQ46" i="2"/>
  <c r="AQ14" i="2"/>
  <c r="AQ41" i="2"/>
  <c r="AQ56" i="2"/>
  <c r="AQ24" i="2"/>
  <c r="AQ51" i="2"/>
  <c r="AQ19" i="2"/>
  <c r="AQ50" i="2"/>
  <c r="AQ18" i="2"/>
  <c r="AQ45" i="2"/>
  <c r="AQ13" i="2"/>
  <c r="AQ44" i="2"/>
  <c r="AQ71" i="2"/>
  <c r="AQ39" i="2"/>
  <c r="AQ70" i="2"/>
  <c r="AQ38" i="2"/>
  <c r="AQ65" i="2"/>
  <c r="AQ33" i="2"/>
  <c r="AQ48" i="2"/>
  <c r="AQ16" i="2"/>
  <c r="AQ43" i="2"/>
  <c r="AQ73" i="2"/>
  <c r="AQ42" i="2"/>
  <c r="AQ69" i="2"/>
  <c r="AQ37" i="2"/>
  <c r="AQ68" i="2"/>
  <c r="AQ36" i="2"/>
  <c r="AQ63" i="2"/>
  <c r="AQ31" i="2"/>
  <c r="AQ62" i="2"/>
  <c r="AQ30" i="2"/>
  <c r="AQ57" i="2"/>
  <c r="AQ25" i="2"/>
  <c r="AQ72" i="2"/>
  <c r="AQ40" i="2"/>
  <c r="AQ67" i="2"/>
  <c r="AQ35" i="2"/>
  <c r="AQ66" i="2"/>
  <c r="AQ34" i="2"/>
  <c r="AQ61" i="2"/>
  <c r="AQ29" i="2"/>
  <c r="AQ60" i="2"/>
  <c r="AQ28" i="2"/>
  <c r="AQ55" i="2"/>
  <c r="AQ23" i="2"/>
  <c r="AQ54" i="2"/>
  <c r="AQ22" i="2"/>
  <c r="AQ49" i="2"/>
  <c r="AQ17" i="2"/>
  <c r="B60" i="6"/>
  <c r="G60" i="6"/>
  <c r="K60" i="6"/>
  <c r="A61" i="6"/>
  <c r="H60" i="6"/>
  <c r="L60" i="6"/>
  <c r="C60" i="6"/>
  <c r="E60" i="6"/>
  <c r="I60" i="6"/>
  <c r="M60" i="6"/>
  <c r="D60" i="6"/>
  <c r="F60" i="6"/>
  <c r="J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K21" i="1"/>
  <c r="AK86" i="6"/>
  <c r="Y34" i="1"/>
  <c r="Y99" i="6"/>
  <c r="AA31" i="1"/>
  <c r="AA96" i="6"/>
  <c r="AR78" i="6"/>
  <c r="AS79" i="6"/>
  <c r="AR82" i="6"/>
  <c r="AR80" i="6"/>
  <c r="AR81" i="6"/>
  <c r="AR83" i="6"/>
  <c r="AR84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08" i="6"/>
  <c r="AR109" i="6"/>
  <c r="AR110" i="6"/>
  <c r="AR111" i="6"/>
  <c r="AR112" i="6"/>
  <c r="AR113" i="6"/>
  <c r="AR114" i="6"/>
  <c r="AR115" i="6"/>
  <c r="AR116" i="6"/>
  <c r="AO14" i="2"/>
  <c r="AN14" i="2" s="1"/>
  <c r="AG90" i="6"/>
  <c r="AG25" i="1"/>
  <c r="AO19" i="1"/>
  <c r="AO84" i="6"/>
  <c r="AO17" i="6" s="1"/>
  <c r="AO17" i="2"/>
  <c r="AS74" i="1"/>
  <c r="AS54" i="1"/>
  <c r="AS42" i="1"/>
  <c r="AS15" i="1"/>
  <c r="AS72" i="1"/>
  <c r="AS63" i="1"/>
  <c r="AS36" i="1"/>
  <c r="AS14" i="1"/>
  <c r="AS70" i="1"/>
  <c r="AS53" i="1"/>
  <c r="AS33" i="1"/>
  <c r="AS35" i="1"/>
  <c r="AS68" i="1"/>
  <c r="AS52" i="1"/>
  <c r="AS67" i="1"/>
  <c r="AS34" i="1"/>
  <c r="AS73" i="1"/>
  <c r="AS49" i="1"/>
  <c r="AS47" i="1"/>
  <c r="AS32" i="1"/>
  <c r="AS69" i="1"/>
  <c r="AS48" i="1"/>
  <c r="AS46" i="1"/>
  <c r="AS29" i="1"/>
  <c r="AS66" i="1"/>
  <c r="AS45" i="1"/>
  <c r="AS39" i="1"/>
  <c r="AS28" i="1"/>
  <c r="AS64" i="1"/>
  <c r="AS44" i="1"/>
  <c r="AS38" i="1"/>
  <c r="AS25" i="1"/>
  <c r="AS62" i="1"/>
  <c r="AS41" i="1"/>
  <c r="AS31" i="1"/>
  <c r="AS24" i="1"/>
  <c r="AS60" i="1"/>
  <c r="AS40" i="1"/>
  <c r="AS30" i="1"/>
  <c r="AS21" i="1"/>
  <c r="AS58" i="1"/>
  <c r="AS37" i="1"/>
  <c r="AS27" i="1"/>
  <c r="AS20" i="1"/>
  <c r="AS56" i="1"/>
  <c r="AS59" i="1"/>
  <c r="AS26" i="1"/>
  <c r="AS17" i="1"/>
  <c r="AS71" i="1"/>
  <c r="AS55" i="1"/>
  <c r="AS23" i="1"/>
  <c r="AS16" i="1"/>
  <c r="AS65" i="1"/>
  <c r="AS51" i="1"/>
  <c r="AS22" i="1"/>
  <c r="AS9" i="1"/>
  <c r="AS61" i="1"/>
  <c r="AS50" i="1"/>
  <c r="AS19" i="1"/>
  <c r="AS8" i="1"/>
  <c r="AS57" i="1"/>
  <c r="AS43" i="1"/>
  <c r="AS18" i="1"/>
  <c r="AJ23" i="1"/>
  <c r="AJ88" i="6"/>
  <c r="F57" i="1"/>
  <c r="G57" i="1"/>
  <c r="B57" i="1"/>
  <c r="C57" i="1"/>
  <c r="H57" i="1"/>
  <c r="D57" i="1"/>
  <c r="I57" i="1"/>
  <c r="E57" i="1"/>
  <c r="A58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I89" i="6"/>
  <c r="AI24" i="1"/>
  <c r="AG118" i="6"/>
  <c r="Q118" i="6"/>
  <c r="AL118" i="6"/>
  <c r="F118" i="6"/>
  <c r="L118" i="6"/>
  <c r="S118" i="6"/>
  <c r="J118" i="6"/>
  <c r="AM118" i="6"/>
  <c r="G118" i="6"/>
  <c r="X118" i="6"/>
  <c r="AC118" i="6"/>
  <c r="M118" i="6"/>
  <c r="AD118" i="6"/>
  <c r="AJ118" i="6"/>
  <c r="D118" i="6"/>
  <c r="K118" i="6"/>
  <c r="AF118" i="6"/>
  <c r="AE118" i="6"/>
  <c r="AH118" i="6"/>
  <c r="H118" i="6"/>
  <c r="Y118" i="6"/>
  <c r="I118" i="6"/>
  <c r="V118" i="6"/>
  <c r="AB118" i="6"/>
  <c r="AI118" i="6"/>
  <c r="C118" i="6"/>
  <c r="P118" i="6"/>
  <c r="W118" i="6"/>
  <c r="R118" i="6"/>
  <c r="AK118" i="6"/>
  <c r="U118" i="6"/>
  <c r="E118" i="6"/>
  <c r="N118" i="6"/>
  <c r="T118" i="6"/>
  <c r="AA118" i="6"/>
  <c r="Z118" i="6"/>
  <c r="A119" i="6"/>
  <c r="O118" i="6"/>
  <c r="B118" i="6"/>
  <c r="AP118" i="6"/>
  <c r="AQ118" i="6"/>
  <c r="AR118" i="6"/>
  <c r="AS118" i="6"/>
  <c r="D54" i="2"/>
  <c r="G54" i="2"/>
  <c r="C54" i="2"/>
  <c r="H54" i="2"/>
  <c r="A55" i="2"/>
  <c r="F54" i="2"/>
  <c r="B54" i="2"/>
  <c r="E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W72" i="6"/>
  <c r="AW67" i="6"/>
  <c r="AW73" i="6"/>
  <c r="AW61" i="6"/>
  <c r="AW68" i="6"/>
  <c r="AW55" i="6"/>
  <c r="AW62" i="6"/>
  <c r="AW49" i="6"/>
  <c r="AW64" i="6"/>
  <c r="AW51" i="6"/>
  <c r="AW58" i="6"/>
  <c r="AW45" i="6"/>
  <c r="AW52" i="6"/>
  <c r="AW39" i="6"/>
  <c r="AW46" i="6"/>
  <c r="AW33" i="6"/>
  <c r="AW48" i="6"/>
  <c r="AW35" i="6"/>
  <c r="AW42" i="6"/>
  <c r="AW29" i="6"/>
  <c r="AW36" i="6"/>
  <c r="AW23" i="6"/>
  <c r="AW30" i="6"/>
  <c r="AW15" i="6"/>
  <c r="AW32" i="6"/>
  <c r="AW18" i="6"/>
  <c r="AW26" i="6"/>
  <c r="AW19" i="6"/>
  <c r="AW71" i="6"/>
  <c r="AW14" i="6"/>
  <c r="AW65" i="6"/>
  <c r="AW41" i="6"/>
  <c r="AW54" i="6"/>
  <c r="AW47" i="6"/>
  <c r="AW60" i="6"/>
  <c r="AW53" i="6"/>
  <c r="AW66" i="6"/>
  <c r="AW59" i="6"/>
  <c r="AW57" i="6"/>
  <c r="AW70" i="6"/>
  <c r="AW63" i="6"/>
  <c r="AW13" i="6"/>
  <c r="AW69" i="6"/>
  <c r="AW17" i="6"/>
  <c r="AW24" i="6"/>
  <c r="AW16" i="6"/>
  <c r="AW22" i="6"/>
  <c r="AW21" i="6"/>
  <c r="AW28" i="6"/>
  <c r="AW20" i="6"/>
  <c r="AW34" i="6"/>
  <c r="AW27" i="6"/>
  <c r="AW40" i="6"/>
  <c r="AW25" i="6"/>
  <c r="AW38" i="6"/>
  <c r="AW31" i="6"/>
  <c r="AW44" i="6"/>
  <c r="AW37" i="6"/>
  <c r="AW50" i="6"/>
  <c r="AW43" i="6"/>
  <c r="AW56" i="6"/>
  <c r="AL22" i="1"/>
  <c r="AL87" i="6"/>
  <c r="X36" i="1"/>
  <c r="X101" i="6"/>
  <c r="AC29" i="1"/>
  <c r="AC94" i="6"/>
  <c r="AH26" i="1"/>
  <c r="AH91" i="6"/>
  <c r="AD31" i="1"/>
  <c r="AD96" i="6"/>
  <c r="AM86" i="6"/>
  <c r="AM21" i="1"/>
  <c r="AR11" i="2"/>
  <c r="AS12" i="2"/>
  <c r="AF26" i="1"/>
  <c r="AF91" i="6"/>
  <c r="Z33" i="1"/>
  <c r="Z98" i="6"/>
  <c r="AX11" i="6"/>
  <c r="AY12" i="6"/>
  <c r="AM13" i="6"/>
  <c r="AL13" i="6" l="1"/>
  <c r="AN13" i="2"/>
  <c r="AM13" i="2" s="1"/>
  <c r="AN16" i="2"/>
  <c r="AM14" i="2"/>
  <c r="AX55" i="6"/>
  <c r="AX23" i="6"/>
  <c r="AX44" i="6"/>
  <c r="AX14" i="6"/>
  <c r="AX49" i="6"/>
  <c r="AX70" i="6"/>
  <c r="AX38" i="6"/>
  <c r="AX18" i="6"/>
  <c r="AX43" i="6"/>
  <c r="AX64" i="6"/>
  <c r="AX32" i="6"/>
  <c r="AX69" i="6"/>
  <c r="AX37" i="6"/>
  <c r="AX58" i="6"/>
  <c r="AX26" i="6"/>
  <c r="AX47" i="6"/>
  <c r="AX68" i="6"/>
  <c r="AX36" i="6"/>
  <c r="AX15" i="6"/>
  <c r="AX41" i="6"/>
  <c r="AX62" i="6"/>
  <c r="AX30" i="6"/>
  <c r="AX67" i="6"/>
  <c r="AX35" i="6"/>
  <c r="AX56" i="6"/>
  <c r="AX24" i="6"/>
  <c r="AX61" i="6"/>
  <c r="AX29" i="6"/>
  <c r="AX50" i="6"/>
  <c r="AX19" i="6"/>
  <c r="AX71" i="6"/>
  <c r="AX39" i="6"/>
  <c r="AX60" i="6"/>
  <c r="AX28" i="6"/>
  <c r="AX65" i="6"/>
  <c r="AX33" i="6"/>
  <c r="AX54" i="6"/>
  <c r="AX22" i="6"/>
  <c r="AX59" i="6"/>
  <c r="AX27" i="6"/>
  <c r="AX48" i="6"/>
  <c r="AX17" i="6"/>
  <c r="AX53" i="6"/>
  <c r="AX73" i="6"/>
  <c r="AX42" i="6"/>
  <c r="AX13" i="6"/>
  <c r="AX63" i="6"/>
  <c r="AX31" i="6"/>
  <c r="AX52" i="6"/>
  <c r="AX21" i="6"/>
  <c r="AX57" i="6"/>
  <c r="AX25" i="6"/>
  <c r="AX46" i="6"/>
  <c r="AX16" i="6"/>
  <c r="AX51" i="6"/>
  <c r="AX72" i="6"/>
  <c r="AX40" i="6"/>
  <c r="AX20" i="6"/>
  <c r="AX45" i="6"/>
  <c r="AX66" i="6"/>
  <c r="AX34" i="6"/>
  <c r="AR73" i="2"/>
  <c r="AR41" i="2"/>
  <c r="AR70" i="2"/>
  <c r="AR38" i="2"/>
  <c r="AR67" i="2"/>
  <c r="AR35" i="2"/>
  <c r="AR64" i="2"/>
  <c r="AR32" i="2"/>
  <c r="AR61" i="2"/>
  <c r="AR29" i="2"/>
  <c r="AR58" i="2"/>
  <c r="AR26" i="2"/>
  <c r="AR55" i="2"/>
  <c r="AR23" i="2"/>
  <c r="AR52" i="2"/>
  <c r="AR20" i="2"/>
  <c r="AR65" i="2"/>
  <c r="AR33" i="2"/>
  <c r="AR62" i="2"/>
  <c r="AR30" i="2"/>
  <c r="AR59" i="2"/>
  <c r="AR27" i="2"/>
  <c r="AR56" i="2"/>
  <c r="AR24" i="2"/>
  <c r="AR53" i="2"/>
  <c r="AR21" i="2"/>
  <c r="AR50" i="2"/>
  <c r="AR18" i="2"/>
  <c r="AR47" i="2"/>
  <c r="AR15" i="2"/>
  <c r="AR44" i="2"/>
  <c r="AR57" i="2"/>
  <c r="AR25" i="2"/>
  <c r="AR54" i="2"/>
  <c r="AR22" i="2"/>
  <c r="AR51" i="2"/>
  <c r="AR19" i="2"/>
  <c r="AR48" i="2"/>
  <c r="AR16" i="2"/>
  <c r="AR45" i="2"/>
  <c r="AR13" i="2"/>
  <c r="AR42" i="2"/>
  <c r="AR71" i="2"/>
  <c r="AR39" i="2"/>
  <c r="AR68" i="2"/>
  <c r="AR36" i="2"/>
  <c r="AR49" i="2"/>
  <c r="AR17" i="2"/>
  <c r="AR46" i="2"/>
  <c r="AR14" i="2"/>
  <c r="AR43" i="2"/>
  <c r="AR72" i="2"/>
  <c r="AR40" i="2"/>
  <c r="AR69" i="2"/>
  <c r="AR37" i="2"/>
  <c r="AR66" i="2"/>
  <c r="AR34" i="2"/>
  <c r="AR63" i="2"/>
  <c r="AR31" i="2"/>
  <c r="AR60" i="2"/>
  <c r="AR28" i="2"/>
  <c r="AD32" i="1"/>
  <c r="AD97" i="6"/>
  <c r="AH27" i="1"/>
  <c r="AH92" i="6"/>
  <c r="AC95" i="6"/>
  <c r="AC30" i="1"/>
  <c r="X102" i="6"/>
  <c r="AL23" i="1"/>
  <c r="AL88" i="6"/>
  <c r="AO20" i="1"/>
  <c r="AO85" i="6"/>
  <c r="AO18" i="6" s="1"/>
  <c r="AO18" i="2"/>
  <c r="AN17" i="2" s="1"/>
  <c r="AT79" i="6"/>
  <c r="AS78" i="6"/>
  <c r="AS82" i="6"/>
  <c r="AS81" i="6"/>
  <c r="AS80" i="6"/>
  <c r="AS83" i="6"/>
  <c r="AS84" i="6"/>
  <c r="AS85" i="6"/>
  <c r="AS86" i="6"/>
  <c r="AS87" i="6"/>
  <c r="AS88" i="6"/>
  <c r="AS89" i="6"/>
  <c r="AS90" i="6"/>
  <c r="AS91" i="6"/>
  <c r="AS92" i="6"/>
  <c r="AS93" i="6"/>
  <c r="AS94" i="6"/>
  <c r="AS95" i="6"/>
  <c r="AS96" i="6"/>
  <c r="AS97" i="6"/>
  <c r="AS98" i="6"/>
  <c r="AS99" i="6"/>
  <c r="AS100" i="6"/>
  <c r="AS101" i="6"/>
  <c r="AS102" i="6"/>
  <c r="AS103" i="6"/>
  <c r="AS104" i="6"/>
  <c r="AS105" i="6"/>
  <c r="AS106" i="6"/>
  <c r="AS107" i="6"/>
  <c r="AS108" i="6"/>
  <c r="AS109" i="6"/>
  <c r="AS110" i="6"/>
  <c r="AS111" i="6"/>
  <c r="AS112" i="6"/>
  <c r="AS113" i="6"/>
  <c r="AS114" i="6"/>
  <c r="AS115" i="6"/>
  <c r="AS116" i="6"/>
  <c r="AS117" i="6"/>
  <c r="AA97" i="6"/>
  <c r="AA32" i="1"/>
  <c r="Y35" i="1"/>
  <c r="Y100" i="6"/>
  <c r="AK87" i="6"/>
  <c r="AK22" i="1"/>
  <c r="AT65" i="1"/>
  <c r="AT46" i="1"/>
  <c r="AT33" i="1"/>
  <c r="AT17" i="1"/>
  <c r="AT63" i="1"/>
  <c r="AT45" i="1"/>
  <c r="AT32" i="1"/>
  <c r="AT16" i="1"/>
  <c r="AT61" i="1"/>
  <c r="AT44" i="1"/>
  <c r="AT31" i="1"/>
  <c r="AT15" i="1"/>
  <c r="AT59" i="1"/>
  <c r="AT43" i="1"/>
  <c r="AT30" i="1"/>
  <c r="AT14" i="1"/>
  <c r="AT57" i="1"/>
  <c r="AT42" i="1"/>
  <c r="AT29" i="1"/>
  <c r="AT62" i="1"/>
  <c r="AT64" i="1"/>
  <c r="AT41" i="1"/>
  <c r="AT28" i="1"/>
  <c r="AT54" i="1"/>
  <c r="AT60" i="1"/>
  <c r="AT40" i="1"/>
  <c r="AT27" i="1"/>
  <c r="AT8" i="1"/>
  <c r="AT56" i="1"/>
  <c r="AT39" i="1"/>
  <c r="AT26" i="1"/>
  <c r="AT9" i="1"/>
  <c r="AT55" i="1"/>
  <c r="AT38" i="1"/>
  <c r="AT25" i="1"/>
  <c r="AT74" i="1"/>
  <c r="AT53" i="1"/>
  <c r="AT37" i="1"/>
  <c r="AT24" i="1"/>
  <c r="AT73" i="1"/>
  <c r="AT52" i="1"/>
  <c r="AT70" i="1"/>
  <c r="AT23" i="1"/>
  <c r="AT71" i="1"/>
  <c r="AT51" i="1"/>
  <c r="AT66" i="1"/>
  <c r="AT22" i="1"/>
  <c r="AT69" i="1"/>
  <c r="AT50" i="1"/>
  <c r="AT58" i="1"/>
  <c r="AT21" i="1"/>
  <c r="AT72" i="1"/>
  <c r="AT49" i="1"/>
  <c r="AT36" i="1"/>
  <c r="AT20" i="1"/>
  <c r="AT68" i="1"/>
  <c r="AT48" i="1"/>
  <c r="AT35" i="1"/>
  <c r="AT19" i="1"/>
  <c r="AT67" i="1"/>
  <c r="AT47" i="1"/>
  <c r="AT34" i="1"/>
  <c r="AT18" i="1"/>
  <c r="AF92" i="6"/>
  <c r="AF27" i="1"/>
  <c r="AC119" i="6"/>
  <c r="M119" i="6"/>
  <c r="AF119" i="6"/>
  <c r="AL119" i="6"/>
  <c r="F119" i="6"/>
  <c r="S119" i="6"/>
  <c r="L119" i="6"/>
  <c r="AM119" i="6"/>
  <c r="G119" i="6"/>
  <c r="Z119" i="6"/>
  <c r="Y119" i="6"/>
  <c r="I119" i="6"/>
  <c r="X119" i="6"/>
  <c r="AD119" i="6"/>
  <c r="A120" i="6"/>
  <c r="K119" i="6"/>
  <c r="AH119" i="6"/>
  <c r="AE119" i="6"/>
  <c r="AJ119" i="6"/>
  <c r="J119" i="6"/>
  <c r="AK119" i="6"/>
  <c r="U119" i="6"/>
  <c r="E119" i="6"/>
  <c r="P119" i="6"/>
  <c r="V119" i="6"/>
  <c r="AI119" i="6"/>
  <c r="C119" i="6"/>
  <c r="R119" i="6"/>
  <c r="W119" i="6"/>
  <c r="T119" i="6"/>
  <c r="AG119" i="6"/>
  <c r="Q119" i="6"/>
  <c r="AN119" i="6"/>
  <c r="H119" i="6"/>
  <c r="N119" i="6"/>
  <c r="AA119" i="6"/>
  <c r="AB119" i="6"/>
  <c r="B119" i="6"/>
  <c r="O119" i="6"/>
  <c r="D119" i="6"/>
  <c r="AP119" i="6"/>
  <c r="AR119" i="6"/>
  <c r="AQ119" i="6"/>
  <c r="AS119" i="6"/>
  <c r="AT119" i="6"/>
  <c r="AJ24" i="1"/>
  <c r="AJ89" i="6"/>
  <c r="AV13" i="1"/>
  <c r="AU12" i="1"/>
  <c r="AM15" i="2"/>
  <c r="AM22" i="1"/>
  <c r="AM87" i="6"/>
  <c r="F58" i="1"/>
  <c r="B58" i="1"/>
  <c r="G58" i="1"/>
  <c r="A59" i="1"/>
  <c r="C58" i="1"/>
  <c r="H58" i="1"/>
  <c r="I58" i="1"/>
  <c r="E58" i="1"/>
  <c r="D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Y11" i="6"/>
  <c r="AZ12" i="6"/>
  <c r="Z99" i="6"/>
  <c r="Z34" i="1"/>
  <c r="AT12" i="2"/>
  <c r="AS11" i="2"/>
  <c r="D55" i="2"/>
  <c r="G55" i="2"/>
  <c r="C55" i="2"/>
  <c r="H55" i="2"/>
  <c r="F55" i="2"/>
  <c r="A56" i="2"/>
  <c r="B55" i="2"/>
  <c r="E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I25" i="1"/>
  <c r="AI90" i="6"/>
  <c r="AG91" i="6"/>
  <c r="AG26" i="1"/>
  <c r="B61" i="6"/>
  <c r="G61" i="6"/>
  <c r="K61" i="6"/>
  <c r="A62" i="6"/>
  <c r="H61" i="6"/>
  <c r="L61" i="6"/>
  <c r="C61" i="6"/>
  <c r="I61" i="6"/>
  <c r="D61" i="6"/>
  <c r="J61" i="6"/>
  <c r="E61" i="6"/>
  <c r="M61" i="6"/>
  <c r="F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E29" i="1"/>
  <c r="AE94" i="6"/>
  <c r="AB33" i="1"/>
  <c r="AB98" i="6"/>
  <c r="AN22" i="1"/>
  <c r="AN87" i="6"/>
  <c r="AN16" i="6"/>
  <c r="AL14" i="2" l="1"/>
  <c r="AL13" i="2"/>
  <c r="AN17" i="6"/>
  <c r="AM16" i="6" s="1"/>
  <c r="E62" i="6"/>
  <c r="H62" i="6"/>
  <c r="L62" i="6"/>
  <c r="A63" i="6"/>
  <c r="B62" i="6"/>
  <c r="I62" i="6"/>
  <c r="M62" i="6"/>
  <c r="C62" i="6"/>
  <c r="F62" i="6"/>
  <c r="J62" i="6"/>
  <c r="D62" i="6"/>
  <c r="G62" i="6"/>
  <c r="K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C56" i="2"/>
  <c r="G56" i="2"/>
  <c r="D56" i="2"/>
  <c r="H56" i="2"/>
  <c r="B56" i="2"/>
  <c r="E56" i="2"/>
  <c r="A57" i="2"/>
  <c r="F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Z11" i="6"/>
  <c r="BA12" i="6"/>
  <c r="AM23" i="1"/>
  <c r="AM88" i="6"/>
  <c r="AU71" i="1"/>
  <c r="AU47" i="1"/>
  <c r="AU52" i="1"/>
  <c r="AU30" i="1"/>
  <c r="AU66" i="1"/>
  <c r="AU46" i="1"/>
  <c r="AU49" i="1"/>
  <c r="AU27" i="1"/>
  <c r="AU64" i="1"/>
  <c r="AU43" i="1"/>
  <c r="AU44" i="1"/>
  <c r="AU26" i="1"/>
  <c r="AU62" i="1"/>
  <c r="AU42" i="1"/>
  <c r="AU41" i="1"/>
  <c r="AU23" i="1"/>
  <c r="AU60" i="1"/>
  <c r="AU39" i="1"/>
  <c r="AU36" i="1"/>
  <c r="AU22" i="1"/>
  <c r="AU58" i="1"/>
  <c r="AU38" i="1"/>
  <c r="AU33" i="1"/>
  <c r="AU19" i="1"/>
  <c r="AU56" i="1"/>
  <c r="AU65" i="1"/>
  <c r="AU32" i="1"/>
  <c r="AU18" i="1"/>
  <c r="AU69" i="1"/>
  <c r="AU53" i="1"/>
  <c r="AU29" i="1"/>
  <c r="AU15" i="1"/>
  <c r="AU67" i="1"/>
  <c r="AU48" i="1"/>
  <c r="AU28" i="1"/>
  <c r="AU14" i="1"/>
  <c r="AU63" i="1"/>
  <c r="AU45" i="1"/>
  <c r="AU25" i="1"/>
  <c r="AU9" i="1"/>
  <c r="AU59" i="1"/>
  <c r="AU40" i="1"/>
  <c r="AU24" i="1"/>
  <c r="AU8" i="1"/>
  <c r="AU54" i="1"/>
  <c r="AU37" i="1"/>
  <c r="AU21" i="1"/>
  <c r="AU74" i="1"/>
  <c r="AU61" i="1"/>
  <c r="AU35" i="1"/>
  <c r="AU20" i="1"/>
  <c r="AU72" i="1"/>
  <c r="AU55" i="1"/>
  <c r="AU34" i="1"/>
  <c r="AU17" i="1"/>
  <c r="AU70" i="1"/>
  <c r="AU51" i="1"/>
  <c r="AU73" i="1"/>
  <c r="AU16" i="1"/>
  <c r="AU68" i="1"/>
  <c r="AU50" i="1"/>
  <c r="AU57" i="1"/>
  <c r="AU31" i="1"/>
  <c r="AK88" i="6"/>
  <c r="AK23" i="1"/>
  <c r="AA98" i="6"/>
  <c r="AA33" i="1"/>
  <c r="AH28" i="1"/>
  <c r="AH93" i="6"/>
  <c r="AD33" i="1"/>
  <c r="AD98" i="6"/>
  <c r="AN23" i="1"/>
  <c r="AN88" i="6"/>
  <c r="AB34" i="1"/>
  <c r="AB99" i="6"/>
  <c r="AE30" i="1"/>
  <c r="AE95" i="6"/>
  <c r="AG27" i="1"/>
  <c r="AG92" i="6"/>
  <c r="Z35" i="1"/>
  <c r="Z100" i="6"/>
  <c r="AY30" i="6"/>
  <c r="AY15" i="6"/>
  <c r="AY24" i="6"/>
  <c r="AY17" i="6"/>
  <c r="AY69" i="6"/>
  <c r="AY13" i="6"/>
  <c r="AY63" i="6"/>
  <c r="AY70" i="6"/>
  <c r="AY65" i="6"/>
  <c r="AY72" i="6"/>
  <c r="AY59" i="6"/>
  <c r="AY66" i="6"/>
  <c r="AY53" i="6"/>
  <c r="AY60" i="6"/>
  <c r="AY47" i="6"/>
  <c r="AY62" i="6"/>
  <c r="AY49" i="6"/>
  <c r="AY56" i="6"/>
  <c r="AY43" i="6"/>
  <c r="AY50" i="6"/>
  <c r="AY37" i="6"/>
  <c r="AY44" i="6"/>
  <c r="AY31" i="6"/>
  <c r="AY46" i="6"/>
  <c r="AY33" i="6"/>
  <c r="AY40" i="6"/>
  <c r="AY27" i="6"/>
  <c r="AY34" i="6"/>
  <c r="AY20" i="6"/>
  <c r="AY28" i="6"/>
  <c r="AY21" i="6"/>
  <c r="AY23" i="6"/>
  <c r="AY36" i="6"/>
  <c r="AY29" i="6"/>
  <c r="AY42" i="6"/>
  <c r="AY35" i="6"/>
  <c r="AY48" i="6"/>
  <c r="AY41" i="6"/>
  <c r="AY54" i="6"/>
  <c r="AY39" i="6"/>
  <c r="AY52" i="6"/>
  <c r="AY45" i="6"/>
  <c r="AY58" i="6"/>
  <c r="AY51" i="6"/>
  <c r="AY64" i="6"/>
  <c r="AY57" i="6"/>
  <c r="AY55" i="6"/>
  <c r="AY68" i="6"/>
  <c r="AY61" i="6"/>
  <c r="AY73" i="6"/>
  <c r="AY67" i="6"/>
  <c r="AY16" i="6"/>
  <c r="AY22" i="6"/>
  <c r="AY14" i="6"/>
  <c r="AY71" i="6"/>
  <c r="AY19" i="6"/>
  <c r="AY26" i="6"/>
  <c r="AY18" i="6"/>
  <c r="AY32" i="6"/>
  <c r="AY25" i="6"/>
  <c r="AY38" i="6"/>
  <c r="AW13" i="1"/>
  <c r="AV12" i="1"/>
  <c r="AJ90" i="6"/>
  <c r="AJ25" i="1"/>
  <c r="Y36" i="1"/>
  <c r="Y101" i="6"/>
  <c r="AO21" i="1"/>
  <c r="AO86" i="6"/>
  <c r="AO19" i="6" s="1"/>
  <c r="AO19" i="2"/>
  <c r="AL24" i="1"/>
  <c r="AL89" i="6"/>
  <c r="AI91" i="6"/>
  <c r="AI26" i="1"/>
  <c r="AS50" i="2"/>
  <c r="AS18" i="2"/>
  <c r="AS45" i="2"/>
  <c r="AS13" i="2"/>
  <c r="AS44" i="2"/>
  <c r="AS71" i="2"/>
  <c r="AS39" i="2"/>
  <c r="AS70" i="2"/>
  <c r="AS38" i="2"/>
  <c r="AS65" i="2"/>
  <c r="AS33" i="2"/>
  <c r="AS64" i="2"/>
  <c r="AS32" i="2"/>
  <c r="AS59" i="2"/>
  <c r="AS27" i="2"/>
  <c r="AS73" i="2"/>
  <c r="AS42" i="2"/>
  <c r="AS69" i="2"/>
  <c r="AS37" i="2"/>
  <c r="AS68" i="2"/>
  <c r="AS36" i="2"/>
  <c r="AS63" i="2"/>
  <c r="AS31" i="2"/>
  <c r="AS62" i="2"/>
  <c r="AS30" i="2"/>
  <c r="AS57" i="2"/>
  <c r="AS25" i="2"/>
  <c r="AS56" i="2"/>
  <c r="AS24" i="2"/>
  <c r="AS51" i="2"/>
  <c r="AS19" i="2"/>
  <c r="AS66" i="2"/>
  <c r="AS34" i="2"/>
  <c r="AS61" i="2"/>
  <c r="AS29" i="2"/>
  <c r="AS60" i="2"/>
  <c r="AS28" i="2"/>
  <c r="AS55" i="2"/>
  <c r="AS23" i="2"/>
  <c r="AS54" i="2"/>
  <c r="AS22" i="2"/>
  <c r="AS49" i="2"/>
  <c r="AS17" i="2"/>
  <c r="AS48" i="2"/>
  <c r="AS16" i="2"/>
  <c r="AS43" i="2"/>
  <c r="AS58" i="2"/>
  <c r="AS26" i="2"/>
  <c r="AS53" i="2"/>
  <c r="AS21" i="2"/>
  <c r="AS52" i="2"/>
  <c r="AS20" i="2"/>
  <c r="AS47" i="2"/>
  <c r="AS15" i="2"/>
  <c r="AS46" i="2"/>
  <c r="AS14" i="2"/>
  <c r="AS41" i="2"/>
  <c r="AS72" i="2"/>
  <c r="AS40" i="2"/>
  <c r="AS67" i="2"/>
  <c r="AS35" i="2"/>
  <c r="AM15" i="6"/>
  <c r="H59" i="1"/>
  <c r="D59" i="1"/>
  <c r="I59" i="1"/>
  <c r="E59" i="1"/>
  <c r="C59" i="1"/>
  <c r="F59" i="1"/>
  <c r="A60" i="1"/>
  <c r="G59" i="1"/>
  <c r="B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F120" i="6"/>
  <c r="P120" i="6"/>
  <c r="AO120" i="6"/>
  <c r="I120" i="6"/>
  <c r="O120" i="6"/>
  <c r="AD120" i="6"/>
  <c r="AK120" i="6"/>
  <c r="K120" i="6"/>
  <c r="J120" i="6"/>
  <c r="AI120" i="6"/>
  <c r="AB120" i="6"/>
  <c r="L120" i="6"/>
  <c r="AG120" i="6"/>
  <c r="AM120" i="6"/>
  <c r="G120" i="6"/>
  <c r="V120" i="6"/>
  <c r="U120" i="6"/>
  <c r="AH120" i="6"/>
  <c r="B120" i="6"/>
  <c r="S120" i="6"/>
  <c r="AN120" i="6"/>
  <c r="X120" i="6"/>
  <c r="H120" i="6"/>
  <c r="Y120" i="6"/>
  <c r="AE120" i="6"/>
  <c r="A121" i="6"/>
  <c r="N120" i="6"/>
  <c r="E120" i="6"/>
  <c r="Z120" i="6"/>
  <c r="AC120" i="6"/>
  <c r="C120" i="6"/>
  <c r="AJ120" i="6"/>
  <c r="T120" i="6"/>
  <c r="D120" i="6"/>
  <c r="Q120" i="6"/>
  <c r="W120" i="6"/>
  <c r="AL120" i="6"/>
  <c r="F120" i="6"/>
  <c r="AA120" i="6"/>
  <c r="R120" i="6"/>
  <c r="M120" i="6"/>
  <c r="AQ120" i="6"/>
  <c r="AP120" i="6"/>
  <c r="AR120" i="6"/>
  <c r="AS120" i="6"/>
  <c r="AT120" i="6"/>
  <c r="AM16" i="2"/>
  <c r="AU79" i="6"/>
  <c r="AT78" i="6"/>
  <c r="AT80" i="6"/>
  <c r="AT81" i="6"/>
  <c r="AT82" i="6"/>
  <c r="AT83" i="6"/>
  <c r="AT84" i="6"/>
  <c r="AT85" i="6"/>
  <c r="AT86" i="6"/>
  <c r="AT87" i="6"/>
  <c r="AT88" i="6"/>
  <c r="AT89" i="6"/>
  <c r="AT90" i="6"/>
  <c r="AT91" i="6"/>
  <c r="AT92" i="6"/>
  <c r="AT93" i="6"/>
  <c r="AT94" i="6"/>
  <c r="AT95" i="6"/>
  <c r="AT96" i="6"/>
  <c r="AT97" i="6"/>
  <c r="AT98" i="6"/>
  <c r="AT99" i="6"/>
  <c r="AT100" i="6"/>
  <c r="AT101" i="6"/>
  <c r="AT102" i="6"/>
  <c r="AT103" i="6"/>
  <c r="AT104" i="6"/>
  <c r="AT105" i="6"/>
  <c r="AT106" i="6"/>
  <c r="AT107" i="6"/>
  <c r="AT108" i="6"/>
  <c r="AT109" i="6"/>
  <c r="AT110" i="6"/>
  <c r="AT111" i="6"/>
  <c r="AT112" i="6"/>
  <c r="AT113" i="6"/>
  <c r="AT114" i="6"/>
  <c r="AT115" i="6"/>
  <c r="AT116" i="6"/>
  <c r="AT117" i="6"/>
  <c r="AT118" i="6"/>
  <c r="AT11" i="2"/>
  <c r="AU12" i="2"/>
  <c r="AF28" i="1"/>
  <c r="AF93" i="6"/>
  <c r="AC96" i="6"/>
  <c r="AC31" i="1"/>
  <c r="AK13" i="2" l="1"/>
  <c r="AN18" i="6"/>
  <c r="AM17" i="6" s="1"/>
  <c r="AL16" i="6" s="1"/>
  <c r="AC32" i="1"/>
  <c r="AC97" i="6"/>
  <c r="D63" i="6"/>
  <c r="H63" i="6"/>
  <c r="L63" i="6"/>
  <c r="E63" i="6"/>
  <c r="C63" i="6"/>
  <c r="I63" i="6"/>
  <c r="M63" i="6"/>
  <c r="B63" i="6"/>
  <c r="F63" i="6"/>
  <c r="J63" i="6"/>
  <c r="A64" i="6"/>
  <c r="G63" i="6"/>
  <c r="K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N18" i="2"/>
  <c r="AV79" i="6"/>
  <c r="AU78" i="6"/>
  <c r="AU80" i="6"/>
  <c r="AU81" i="6"/>
  <c r="AU82" i="6"/>
  <c r="AU83" i="6"/>
  <c r="AU84" i="6"/>
  <c r="AU85" i="6"/>
  <c r="AU86" i="6"/>
  <c r="AU87" i="6"/>
  <c r="AU88" i="6"/>
  <c r="AU89" i="6"/>
  <c r="AU90" i="6"/>
  <c r="AU91" i="6"/>
  <c r="AU92" i="6"/>
  <c r="AU93" i="6"/>
  <c r="AU94" i="6"/>
  <c r="AU95" i="6"/>
  <c r="AU96" i="6"/>
  <c r="AU97" i="6"/>
  <c r="AU98" i="6"/>
  <c r="AU99" i="6"/>
  <c r="AU100" i="6"/>
  <c r="AU101" i="6"/>
  <c r="AU102" i="6"/>
  <c r="AU103" i="6"/>
  <c r="AU104" i="6"/>
  <c r="AU105" i="6"/>
  <c r="AU106" i="6"/>
  <c r="AU107" i="6"/>
  <c r="AU108" i="6"/>
  <c r="AU109" i="6"/>
  <c r="AU110" i="6"/>
  <c r="AU111" i="6"/>
  <c r="AU112" i="6"/>
  <c r="AU113" i="6"/>
  <c r="AU114" i="6"/>
  <c r="AU115" i="6"/>
  <c r="AU116" i="6"/>
  <c r="AU117" i="6"/>
  <c r="AU118" i="6"/>
  <c r="AU119" i="6"/>
  <c r="AU120" i="6"/>
  <c r="AL15" i="2"/>
  <c r="BA11" i="6"/>
  <c r="BB12" i="6"/>
  <c r="AK24" i="1"/>
  <c r="AK89" i="6"/>
  <c r="AM89" i="6"/>
  <c r="AM24" i="1"/>
  <c r="AV12" i="2"/>
  <c r="AU11" i="2"/>
  <c r="AL121" i="6"/>
  <c r="V121" i="6"/>
  <c r="F121" i="6"/>
  <c r="W121" i="6"/>
  <c r="AG121" i="6"/>
  <c r="A122" i="6"/>
  <c r="AB121" i="6"/>
  <c r="L121" i="6"/>
  <c r="AA121" i="6"/>
  <c r="AK121" i="6"/>
  <c r="E121" i="6"/>
  <c r="AH121" i="6"/>
  <c r="R121" i="6"/>
  <c r="B121" i="6"/>
  <c r="O121" i="6"/>
  <c r="Y121" i="6"/>
  <c r="AN121" i="6"/>
  <c r="X121" i="6"/>
  <c r="H121" i="6"/>
  <c r="S121" i="6"/>
  <c r="AC121" i="6"/>
  <c r="AD121" i="6"/>
  <c r="N121" i="6"/>
  <c r="AM121" i="6"/>
  <c r="G121" i="6"/>
  <c r="Q121" i="6"/>
  <c r="AJ121" i="6"/>
  <c r="T121" i="6"/>
  <c r="D121" i="6"/>
  <c r="K121" i="6"/>
  <c r="U121" i="6"/>
  <c r="AP121" i="6"/>
  <c r="Z121" i="6"/>
  <c r="J121" i="6"/>
  <c r="AE121" i="6"/>
  <c r="AO121" i="6"/>
  <c r="I121" i="6"/>
  <c r="AF121" i="6"/>
  <c r="P121" i="6"/>
  <c r="AI121" i="6"/>
  <c r="C121" i="6"/>
  <c r="M121" i="6"/>
  <c r="AQ121" i="6"/>
  <c r="AR121" i="6"/>
  <c r="AU121" i="6"/>
  <c r="AS121" i="6"/>
  <c r="AT121" i="6"/>
  <c r="AV121" i="6"/>
  <c r="AL15" i="6"/>
  <c r="AL14" i="6"/>
  <c r="AJ26" i="1"/>
  <c r="AJ91" i="6"/>
  <c r="AW12" i="1"/>
  <c r="AX13" i="1"/>
  <c r="Z36" i="1"/>
  <c r="Z101" i="6"/>
  <c r="AG93" i="6"/>
  <c r="AG28" i="1"/>
  <c r="AE31" i="1"/>
  <c r="AE96" i="6"/>
  <c r="AB35" i="1"/>
  <c r="AB100" i="6"/>
  <c r="AN24" i="1"/>
  <c r="AN89" i="6"/>
  <c r="AD34" i="1"/>
  <c r="AD99" i="6"/>
  <c r="AH29" i="1"/>
  <c r="AH94" i="6"/>
  <c r="AI27" i="1"/>
  <c r="AI92" i="6"/>
  <c r="AV57" i="1"/>
  <c r="AV43" i="1"/>
  <c r="AV30" i="1"/>
  <c r="AV14" i="1"/>
  <c r="AV72" i="1"/>
  <c r="AV42" i="1"/>
  <c r="AV29" i="1"/>
  <c r="AV68" i="1"/>
  <c r="AV66" i="1"/>
  <c r="AV41" i="1"/>
  <c r="AV28" i="1"/>
  <c r="AV60" i="1"/>
  <c r="AV62" i="1"/>
  <c r="AV40" i="1"/>
  <c r="AV27" i="1"/>
  <c r="AV8" i="1"/>
  <c r="AV58" i="1"/>
  <c r="AV39" i="1"/>
  <c r="AV26" i="1"/>
  <c r="AV9" i="1"/>
  <c r="AV55" i="1"/>
  <c r="AV38" i="1"/>
  <c r="AV25" i="1"/>
  <c r="AV74" i="1"/>
  <c r="AV53" i="1"/>
  <c r="AV37" i="1"/>
  <c r="AV24" i="1"/>
  <c r="AV73" i="1"/>
  <c r="AV52" i="1"/>
  <c r="AV64" i="1"/>
  <c r="AV23" i="1"/>
  <c r="AV71" i="1"/>
  <c r="AV51" i="1"/>
  <c r="AV56" i="1"/>
  <c r="AV22" i="1"/>
  <c r="AV69" i="1"/>
  <c r="AV50" i="1"/>
  <c r="AV54" i="1"/>
  <c r="AV21" i="1"/>
  <c r="AV70" i="1"/>
  <c r="AV49" i="1"/>
  <c r="AV36" i="1"/>
  <c r="AV20" i="1"/>
  <c r="AV67" i="1"/>
  <c r="AV48" i="1"/>
  <c r="AV35" i="1"/>
  <c r="AV19" i="1"/>
  <c r="AV65" i="1"/>
  <c r="AV47" i="1"/>
  <c r="AV34" i="1"/>
  <c r="AV18" i="1"/>
  <c r="AV63" i="1"/>
  <c r="AV46" i="1"/>
  <c r="AV33" i="1"/>
  <c r="AV17" i="1"/>
  <c r="AV61" i="1"/>
  <c r="AV45" i="1"/>
  <c r="AV32" i="1"/>
  <c r="AV16" i="1"/>
  <c r="AV59" i="1"/>
  <c r="AV44" i="1"/>
  <c r="AV31" i="1"/>
  <c r="AV15" i="1"/>
  <c r="AA34" i="1"/>
  <c r="AA99" i="6"/>
  <c r="AZ35" i="6"/>
  <c r="AZ29" i="6"/>
  <c r="AZ23" i="6"/>
  <c r="AZ70" i="6"/>
  <c r="AZ51" i="6"/>
  <c r="AZ56" i="6"/>
  <c r="AZ50" i="6"/>
  <c r="AZ44" i="6"/>
  <c r="AZ38" i="6"/>
  <c r="AZ24" i="6"/>
  <c r="AZ19" i="6"/>
  <c r="AZ14" i="6"/>
  <c r="AZ18" i="6"/>
  <c r="AZ67" i="6"/>
  <c r="AZ61" i="6"/>
  <c r="AZ55" i="6"/>
  <c r="AZ49" i="6"/>
  <c r="AZ33" i="6"/>
  <c r="AZ39" i="6"/>
  <c r="AZ45" i="6"/>
  <c r="AZ27" i="6"/>
  <c r="AZ17" i="6"/>
  <c r="AZ73" i="6"/>
  <c r="AZ13" i="6"/>
  <c r="AZ68" i="6"/>
  <c r="AZ15" i="6"/>
  <c r="AZ62" i="6"/>
  <c r="AZ65" i="6"/>
  <c r="AZ71" i="6"/>
  <c r="AZ20" i="6"/>
  <c r="AZ64" i="6"/>
  <c r="AZ69" i="6"/>
  <c r="AZ58" i="6"/>
  <c r="AZ63" i="6"/>
  <c r="AZ52" i="6"/>
  <c r="AZ57" i="6"/>
  <c r="AZ46" i="6"/>
  <c r="AZ22" i="6"/>
  <c r="AZ28" i="6"/>
  <c r="AZ34" i="6"/>
  <c r="AZ40" i="6"/>
  <c r="AZ59" i="6"/>
  <c r="AZ48" i="6"/>
  <c r="AZ53" i="6"/>
  <c r="AZ42" i="6"/>
  <c r="AZ47" i="6"/>
  <c r="AZ36" i="6"/>
  <c r="AZ41" i="6"/>
  <c r="AZ30" i="6"/>
  <c r="AZ54" i="6"/>
  <c r="AZ60" i="6"/>
  <c r="AZ66" i="6"/>
  <c r="AZ72" i="6"/>
  <c r="AZ43" i="6"/>
  <c r="AZ32" i="6"/>
  <c r="AZ37" i="6"/>
  <c r="AZ26" i="6"/>
  <c r="AZ31" i="6"/>
  <c r="AZ21" i="6"/>
  <c r="AZ25" i="6"/>
  <c r="AZ16" i="6"/>
  <c r="C57" i="2"/>
  <c r="E57" i="2"/>
  <c r="D57" i="2"/>
  <c r="F57" i="2"/>
  <c r="B57" i="2"/>
  <c r="G57" i="2"/>
  <c r="A58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F29" i="1"/>
  <c r="AF94" i="6"/>
  <c r="AT49" i="2"/>
  <c r="AT17" i="2"/>
  <c r="AT46" i="2"/>
  <c r="AT14" i="2"/>
  <c r="AT43" i="2"/>
  <c r="AT72" i="2"/>
  <c r="AT40" i="2"/>
  <c r="AT69" i="2"/>
  <c r="AT37" i="2"/>
  <c r="AT66" i="2"/>
  <c r="AT34" i="2"/>
  <c r="AT63" i="2"/>
  <c r="AT31" i="2"/>
  <c r="AT60" i="2"/>
  <c r="AT28" i="2"/>
  <c r="AT73" i="2"/>
  <c r="AT41" i="2"/>
  <c r="AT70" i="2"/>
  <c r="AT38" i="2"/>
  <c r="AT67" i="2"/>
  <c r="AT35" i="2"/>
  <c r="AT64" i="2"/>
  <c r="AT32" i="2"/>
  <c r="AT61" i="2"/>
  <c r="AT29" i="2"/>
  <c r="AT58" i="2"/>
  <c r="AT26" i="2"/>
  <c r="AT55" i="2"/>
  <c r="AT23" i="2"/>
  <c r="AT52" i="2"/>
  <c r="AT20" i="2"/>
  <c r="AT65" i="2"/>
  <c r="AT33" i="2"/>
  <c r="AT62" i="2"/>
  <c r="AT30" i="2"/>
  <c r="AT59" i="2"/>
  <c r="AT27" i="2"/>
  <c r="AT56" i="2"/>
  <c r="AT24" i="2"/>
  <c r="AT53" i="2"/>
  <c r="AT21" i="2"/>
  <c r="AT50" i="2"/>
  <c r="AT18" i="2"/>
  <c r="AT47" i="2"/>
  <c r="AT15" i="2"/>
  <c r="AT44" i="2"/>
  <c r="AT57" i="2"/>
  <c r="AT25" i="2"/>
  <c r="AT54" i="2"/>
  <c r="AT22" i="2"/>
  <c r="AT51" i="2"/>
  <c r="AT19" i="2"/>
  <c r="AT48" i="2"/>
  <c r="AT16" i="2"/>
  <c r="AT45" i="2"/>
  <c r="AT13" i="2"/>
  <c r="AT42" i="2"/>
  <c r="AT71" i="2"/>
  <c r="AT39" i="2"/>
  <c r="AT68" i="2"/>
  <c r="AT36" i="2"/>
  <c r="H60" i="1"/>
  <c r="D60" i="1"/>
  <c r="I60" i="1"/>
  <c r="E60" i="1"/>
  <c r="A61" i="1"/>
  <c r="F60" i="1"/>
  <c r="G60" i="1"/>
  <c r="C60" i="1"/>
  <c r="B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L25" i="1"/>
  <c r="AL90" i="6"/>
  <c r="AO22" i="1"/>
  <c r="AO87" i="6"/>
  <c r="AO20" i="6" s="1"/>
  <c r="AO20" i="2"/>
  <c r="Y37" i="1"/>
  <c r="Y102" i="6"/>
  <c r="G61" i="1" l="1"/>
  <c r="B61" i="1"/>
  <c r="C61" i="1"/>
  <c r="H61" i="1"/>
  <c r="D61" i="1"/>
  <c r="I61" i="1"/>
  <c r="E61" i="1"/>
  <c r="A62" i="1"/>
  <c r="F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Y103" i="6"/>
  <c r="AO23" i="1"/>
  <c r="AO88" i="6"/>
  <c r="AO21" i="6" s="1"/>
  <c r="AO21" i="2"/>
  <c r="AN20" i="2" s="1"/>
  <c r="AL26" i="1"/>
  <c r="AL91" i="6"/>
  <c r="AI28" i="1"/>
  <c r="AI93" i="6"/>
  <c r="AH30" i="1"/>
  <c r="AH95" i="6"/>
  <c r="AD35" i="1"/>
  <c r="AD100" i="6"/>
  <c r="AN25" i="1"/>
  <c r="AN90" i="6"/>
  <c r="AB101" i="6"/>
  <c r="AB36" i="1"/>
  <c r="AE32" i="1"/>
  <c r="AE97" i="6"/>
  <c r="Z37" i="1"/>
  <c r="Z102" i="6"/>
  <c r="AK14" i="6"/>
  <c r="AK13" i="6"/>
  <c r="AU68" i="2"/>
  <c r="AU36" i="2"/>
  <c r="AU63" i="2"/>
  <c r="AU31" i="2"/>
  <c r="AU62" i="2"/>
  <c r="AU30" i="2"/>
  <c r="AU57" i="2"/>
  <c r="AU25" i="2"/>
  <c r="AU56" i="2"/>
  <c r="AU24" i="2"/>
  <c r="AU51" i="2"/>
  <c r="AU19" i="2"/>
  <c r="AU50" i="2"/>
  <c r="AU18" i="2"/>
  <c r="AU45" i="2"/>
  <c r="AU13" i="2"/>
  <c r="AU60" i="2"/>
  <c r="AU28" i="2"/>
  <c r="AU55" i="2"/>
  <c r="AU23" i="2"/>
  <c r="AU54" i="2"/>
  <c r="AU22" i="2"/>
  <c r="AU49" i="2"/>
  <c r="AU17" i="2"/>
  <c r="AU48" i="2"/>
  <c r="AU16" i="2"/>
  <c r="AU43" i="2"/>
  <c r="AU73" i="2"/>
  <c r="AU42" i="2"/>
  <c r="AU69" i="2"/>
  <c r="AU37" i="2"/>
  <c r="AU52" i="2"/>
  <c r="AU20" i="2"/>
  <c r="AU47" i="2"/>
  <c r="AU15" i="2"/>
  <c r="AU46" i="2"/>
  <c r="AU14" i="2"/>
  <c r="AU41" i="2"/>
  <c r="AU72" i="2"/>
  <c r="AU40" i="2"/>
  <c r="AU67" i="2"/>
  <c r="AU35" i="2"/>
  <c r="AU66" i="2"/>
  <c r="AU34" i="2"/>
  <c r="AU61" i="2"/>
  <c r="AU29" i="2"/>
  <c r="AU44" i="2"/>
  <c r="AU71" i="2"/>
  <c r="AU39" i="2"/>
  <c r="AU70" i="2"/>
  <c r="AU38" i="2"/>
  <c r="AU65" i="2"/>
  <c r="AU33" i="2"/>
  <c r="AU64" i="2"/>
  <c r="AU32" i="2"/>
  <c r="AU59" i="2"/>
  <c r="AU27" i="2"/>
  <c r="AU58" i="2"/>
  <c r="AU26" i="2"/>
  <c r="AU53" i="2"/>
  <c r="AU21" i="2"/>
  <c r="AM90" i="6"/>
  <c r="AM25" i="1"/>
  <c r="BA27" i="6"/>
  <c r="BA20" i="6"/>
  <c r="BA21" i="6"/>
  <c r="BA16" i="6"/>
  <c r="BA56" i="6"/>
  <c r="BA72" i="6"/>
  <c r="BA66" i="6"/>
  <c r="BA60" i="6"/>
  <c r="BA54" i="6"/>
  <c r="BA53" i="6"/>
  <c r="BA41" i="6"/>
  <c r="BA40" i="6"/>
  <c r="BA28" i="6"/>
  <c r="BA59" i="6"/>
  <c r="BA47" i="6"/>
  <c r="BA34" i="6"/>
  <c r="BA22" i="6"/>
  <c r="BA25" i="6"/>
  <c r="BA31" i="6"/>
  <c r="BA37" i="6"/>
  <c r="BA43" i="6"/>
  <c r="BA32" i="6"/>
  <c r="BA18" i="6"/>
  <c r="BA26" i="6"/>
  <c r="BA19" i="6"/>
  <c r="BA71" i="6"/>
  <c r="BA14" i="6"/>
  <c r="BA65" i="6"/>
  <c r="BA57" i="6"/>
  <c r="BA63" i="6"/>
  <c r="BA69" i="6"/>
  <c r="BA24" i="6"/>
  <c r="BA67" i="6"/>
  <c r="BA73" i="6"/>
  <c r="BA61" i="6"/>
  <c r="BA68" i="6"/>
  <c r="BA55" i="6"/>
  <c r="BA62" i="6"/>
  <c r="BA49" i="6"/>
  <c r="BA38" i="6"/>
  <c r="BA44" i="6"/>
  <c r="BA50" i="6"/>
  <c r="BA64" i="6"/>
  <c r="BA51" i="6"/>
  <c r="BA58" i="6"/>
  <c r="BA45" i="6"/>
  <c r="BA52" i="6"/>
  <c r="BA39" i="6"/>
  <c r="BA46" i="6"/>
  <c r="BA33" i="6"/>
  <c r="BA70" i="6"/>
  <c r="BA13" i="6"/>
  <c r="BA17" i="6"/>
  <c r="BA48" i="6"/>
  <c r="BA35" i="6"/>
  <c r="BA42" i="6"/>
  <c r="BA29" i="6"/>
  <c r="BA36" i="6"/>
  <c r="BA23" i="6"/>
  <c r="BA30" i="6"/>
  <c r="BA15" i="6"/>
  <c r="AV78" i="6"/>
  <c r="AW79" i="6"/>
  <c r="AV80" i="6"/>
  <c r="AV82" i="6"/>
  <c r="AV81" i="6"/>
  <c r="AV83" i="6"/>
  <c r="AV84" i="6"/>
  <c r="AV85" i="6"/>
  <c r="AV86" i="6"/>
  <c r="AV87" i="6"/>
  <c r="AV88" i="6"/>
  <c r="AV89" i="6"/>
  <c r="AV90" i="6"/>
  <c r="AV91" i="6"/>
  <c r="AV92" i="6"/>
  <c r="AV93" i="6"/>
  <c r="AV94" i="6"/>
  <c r="AV95" i="6"/>
  <c r="AV96" i="6"/>
  <c r="AV97" i="6"/>
  <c r="AV98" i="6"/>
  <c r="AV99" i="6"/>
  <c r="AV100" i="6"/>
  <c r="AV101" i="6"/>
  <c r="AV102" i="6"/>
  <c r="AV103" i="6"/>
  <c r="AV104" i="6"/>
  <c r="AV105" i="6"/>
  <c r="AV106" i="6"/>
  <c r="AV107" i="6"/>
  <c r="AV108" i="6"/>
  <c r="AV109" i="6"/>
  <c r="AV110" i="6"/>
  <c r="AV111" i="6"/>
  <c r="AV112" i="6"/>
  <c r="AV113" i="6"/>
  <c r="AV114" i="6"/>
  <c r="AV115" i="6"/>
  <c r="AV116" i="6"/>
  <c r="AV117" i="6"/>
  <c r="AV118" i="6"/>
  <c r="AV119" i="6"/>
  <c r="AV120" i="6"/>
  <c r="D64" i="6"/>
  <c r="G64" i="6"/>
  <c r="K64" i="6"/>
  <c r="B64" i="6"/>
  <c r="H64" i="6"/>
  <c r="L64" i="6"/>
  <c r="A65" i="6"/>
  <c r="E64" i="6"/>
  <c r="I64" i="6"/>
  <c r="M64" i="6"/>
  <c r="C64" i="6"/>
  <c r="F64" i="6"/>
  <c r="J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F30" i="1"/>
  <c r="AF95" i="6"/>
  <c r="AA35" i="1"/>
  <c r="AA100" i="6"/>
  <c r="AK15" i="6"/>
  <c r="AW12" i="2"/>
  <c r="AV11" i="2"/>
  <c r="AK25" i="1"/>
  <c r="AK90" i="6"/>
  <c r="AK14" i="2"/>
  <c r="AM17" i="2"/>
  <c r="AJ27" i="1"/>
  <c r="AJ92" i="6"/>
  <c r="AB122" i="6"/>
  <c r="L122" i="6"/>
  <c r="AI122" i="6"/>
  <c r="M122" i="6"/>
  <c r="K122" i="6"/>
  <c r="AH122" i="6"/>
  <c r="R122" i="6"/>
  <c r="B122" i="6"/>
  <c r="AC122" i="6"/>
  <c r="Y122" i="6"/>
  <c r="AN122" i="6"/>
  <c r="X122" i="6"/>
  <c r="H122" i="6"/>
  <c r="AA122" i="6"/>
  <c r="E122" i="6"/>
  <c r="C122" i="6"/>
  <c r="AD122" i="6"/>
  <c r="N122" i="6"/>
  <c r="AM122" i="6"/>
  <c r="Q122" i="6"/>
  <c r="O122" i="6"/>
  <c r="AJ122" i="6"/>
  <c r="T122" i="6"/>
  <c r="D122" i="6"/>
  <c r="AK122" i="6"/>
  <c r="AG122" i="6"/>
  <c r="AP122" i="6"/>
  <c r="Z122" i="6"/>
  <c r="J122" i="6"/>
  <c r="AE122" i="6"/>
  <c r="AF122" i="6"/>
  <c r="P122" i="6"/>
  <c r="AQ122" i="6"/>
  <c r="U122" i="6"/>
  <c r="S122" i="6"/>
  <c r="AL122" i="6"/>
  <c r="V122" i="6"/>
  <c r="F122" i="6"/>
  <c r="W122" i="6"/>
  <c r="AO122" i="6"/>
  <c r="A123" i="6"/>
  <c r="G122" i="6"/>
  <c r="I122" i="6"/>
  <c r="AS122" i="6"/>
  <c r="AT122" i="6"/>
  <c r="AR122" i="6"/>
  <c r="AU122" i="6"/>
  <c r="AV122" i="6"/>
  <c r="AW122" i="6"/>
  <c r="AY13" i="1"/>
  <c r="AX12" i="1"/>
  <c r="A59" i="2"/>
  <c r="G58" i="2"/>
  <c r="B58" i="2"/>
  <c r="H58" i="2"/>
  <c r="D58" i="2"/>
  <c r="E58" i="2"/>
  <c r="C58" i="2"/>
  <c r="F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G94" i="6"/>
  <c r="AG29" i="1"/>
  <c r="AW69" i="1"/>
  <c r="AW49" i="1"/>
  <c r="AW50" i="1"/>
  <c r="AW29" i="1"/>
  <c r="AW66" i="1"/>
  <c r="AW48" i="1"/>
  <c r="AW43" i="1"/>
  <c r="AW28" i="1"/>
  <c r="AW64" i="1"/>
  <c r="AW45" i="1"/>
  <c r="AW42" i="1"/>
  <c r="AW25" i="1"/>
  <c r="AW62" i="1"/>
  <c r="AW44" i="1"/>
  <c r="AW35" i="1"/>
  <c r="AW24" i="1"/>
  <c r="AW60" i="1"/>
  <c r="AW41" i="1"/>
  <c r="AW34" i="1"/>
  <c r="AW21" i="1"/>
  <c r="AW58" i="1"/>
  <c r="AW40" i="1"/>
  <c r="AW31" i="1"/>
  <c r="AW20" i="1"/>
  <c r="AW56" i="1"/>
  <c r="AW37" i="1"/>
  <c r="AW30" i="1"/>
  <c r="AW17" i="1"/>
  <c r="AW65" i="1"/>
  <c r="AW47" i="1"/>
  <c r="AW27" i="1"/>
  <c r="AW16" i="1"/>
  <c r="AW61" i="1"/>
  <c r="AW46" i="1"/>
  <c r="AW26" i="1"/>
  <c r="AW9" i="1"/>
  <c r="AW57" i="1"/>
  <c r="AW39" i="1"/>
  <c r="AW23" i="1"/>
  <c r="AW8" i="1"/>
  <c r="AW54" i="1"/>
  <c r="AW38" i="1"/>
  <c r="AW22" i="1"/>
  <c r="AW74" i="1"/>
  <c r="AW71" i="1"/>
  <c r="AW36" i="1"/>
  <c r="AW19" i="1"/>
  <c r="AW72" i="1"/>
  <c r="AW67" i="1"/>
  <c r="AW33" i="1"/>
  <c r="AW18" i="1"/>
  <c r="AW70" i="1"/>
  <c r="AW59" i="1"/>
  <c r="AW63" i="1"/>
  <c r="AW15" i="1"/>
  <c r="AW68" i="1"/>
  <c r="AW53" i="1"/>
  <c r="AW55" i="1"/>
  <c r="AW14" i="1"/>
  <c r="AW73" i="1"/>
  <c r="AW52" i="1"/>
  <c r="AW51" i="1"/>
  <c r="AW32" i="1"/>
  <c r="BC12" i="6"/>
  <c r="BB11" i="6"/>
  <c r="AN19" i="2"/>
  <c r="AC98" i="6"/>
  <c r="AC33" i="1"/>
  <c r="AN19" i="6"/>
  <c r="AM18" i="6" s="1"/>
  <c r="AM19" i="2" l="1"/>
  <c r="AN20" i="6"/>
  <c r="AM19" i="6" s="1"/>
  <c r="AL18" i="6" s="1"/>
  <c r="AL17" i="6"/>
  <c r="AX67" i="1"/>
  <c r="AX48" i="1"/>
  <c r="AX33" i="1"/>
  <c r="AX17" i="1"/>
  <c r="AX65" i="1"/>
  <c r="AX47" i="1"/>
  <c r="AX32" i="1"/>
  <c r="AX16" i="1"/>
  <c r="AX63" i="1"/>
  <c r="AX46" i="1"/>
  <c r="AX31" i="1"/>
  <c r="AX15" i="1"/>
  <c r="AX61" i="1"/>
  <c r="AX45" i="1"/>
  <c r="AX30" i="1"/>
  <c r="AX14" i="1"/>
  <c r="AX59" i="1"/>
  <c r="AX44" i="1"/>
  <c r="AX29" i="1"/>
  <c r="AX66" i="1"/>
  <c r="AX57" i="1"/>
  <c r="AX43" i="1"/>
  <c r="AX28" i="1"/>
  <c r="AX54" i="1"/>
  <c r="AX70" i="1"/>
  <c r="AX42" i="1"/>
  <c r="AX27" i="1"/>
  <c r="AX58" i="1"/>
  <c r="AX64" i="1"/>
  <c r="AX41" i="1"/>
  <c r="AX26" i="1"/>
  <c r="AX8" i="1"/>
  <c r="AX60" i="1"/>
  <c r="AX40" i="1"/>
  <c r="AX25" i="1"/>
  <c r="AX9" i="1"/>
  <c r="AX56" i="1"/>
  <c r="AX39" i="1"/>
  <c r="AX24" i="1"/>
  <c r="AX74" i="1"/>
  <c r="AX55" i="1"/>
  <c r="AX38" i="1"/>
  <c r="AX23" i="1"/>
  <c r="AX73" i="1"/>
  <c r="AX53" i="1"/>
  <c r="AX37" i="1"/>
  <c r="AX22" i="1"/>
  <c r="AX71" i="1"/>
  <c r="AX52" i="1"/>
  <c r="AX62" i="1"/>
  <c r="AX21" i="1"/>
  <c r="AX69" i="1"/>
  <c r="AX51" i="1"/>
  <c r="AX36" i="1"/>
  <c r="AX20" i="1"/>
  <c r="AX72" i="1"/>
  <c r="AX50" i="1"/>
  <c r="AX35" i="1"/>
  <c r="AX19" i="1"/>
  <c r="AX68" i="1"/>
  <c r="AX49" i="1"/>
  <c r="AX34" i="1"/>
  <c r="AX18" i="1"/>
  <c r="AJ28" i="1"/>
  <c r="AJ93" i="6"/>
  <c r="AM18" i="2"/>
  <c r="AL18" i="2" s="1"/>
  <c r="AX12" i="2"/>
  <c r="AW11" i="2"/>
  <c r="AA36" i="1"/>
  <c r="AA101" i="6"/>
  <c r="AB37" i="1"/>
  <c r="AB102" i="6"/>
  <c r="AC99" i="6"/>
  <c r="AC34" i="1"/>
  <c r="BB41" i="6"/>
  <c r="BB62" i="6"/>
  <c r="BB30" i="6"/>
  <c r="BB67" i="6"/>
  <c r="BB35" i="6"/>
  <c r="BB56" i="6"/>
  <c r="BB24" i="6"/>
  <c r="BB61" i="6"/>
  <c r="BB29" i="6"/>
  <c r="BB50" i="6"/>
  <c r="BB19" i="6"/>
  <c r="BB55" i="6"/>
  <c r="BB23" i="6"/>
  <c r="BB44" i="6"/>
  <c r="BB14" i="6"/>
  <c r="BB65" i="6"/>
  <c r="BB33" i="6"/>
  <c r="BB54" i="6"/>
  <c r="BB22" i="6"/>
  <c r="BB59" i="6"/>
  <c r="BB27" i="6"/>
  <c r="BB48" i="6"/>
  <c r="BB17" i="6"/>
  <c r="BB53" i="6"/>
  <c r="BB73" i="6"/>
  <c r="BB42" i="6"/>
  <c r="BB13" i="6"/>
  <c r="BB47" i="6"/>
  <c r="BB68" i="6"/>
  <c r="BB36" i="6"/>
  <c r="BB15" i="6"/>
  <c r="BB57" i="6"/>
  <c r="BB25" i="6"/>
  <c r="BB46" i="6"/>
  <c r="BB16" i="6"/>
  <c r="BB51" i="6"/>
  <c r="BB72" i="6"/>
  <c r="BB40" i="6"/>
  <c r="BB20" i="6"/>
  <c r="BB45" i="6"/>
  <c r="BB66" i="6"/>
  <c r="BB34" i="6"/>
  <c r="BB71" i="6"/>
  <c r="BB39" i="6"/>
  <c r="BB60" i="6"/>
  <c r="BB28" i="6"/>
  <c r="BB49" i="6"/>
  <c r="BB70" i="6"/>
  <c r="BB38" i="6"/>
  <c r="BB18" i="6"/>
  <c r="BB43" i="6"/>
  <c r="BB64" i="6"/>
  <c r="BB32" i="6"/>
  <c r="BB69" i="6"/>
  <c r="BB37" i="6"/>
  <c r="BB58" i="6"/>
  <c r="BB26" i="6"/>
  <c r="BB63" i="6"/>
  <c r="BB31" i="6"/>
  <c r="BB52" i="6"/>
  <c r="BB21" i="6"/>
  <c r="AZ13" i="1"/>
  <c r="AY12" i="1"/>
  <c r="AJ123" i="6"/>
  <c r="T123" i="6"/>
  <c r="D123" i="6"/>
  <c r="M123" i="6"/>
  <c r="AQ123" i="6"/>
  <c r="AP123" i="6"/>
  <c r="Z123" i="6"/>
  <c r="J123" i="6"/>
  <c r="AG123" i="6"/>
  <c r="AM123" i="6"/>
  <c r="S123" i="6"/>
  <c r="AF123" i="6"/>
  <c r="P123" i="6"/>
  <c r="AK123" i="6"/>
  <c r="E123" i="6"/>
  <c r="AA123" i="6"/>
  <c r="AL123" i="6"/>
  <c r="V123" i="6"/>
  <c r="F123" i="6"/>
  <c r="Y123" i="6"/>
  <c r="W123" i="6"/>
  <c r="C123" i="6"/>
  <c r="AN123" i="6"/>
  <c r="X123" i="6"/>
  <c r="H123" i="6"/>
  <c r="U123" i="6"/>
  <c r="O123" i="6"/>
  <c r="A124" i="6"/>
  <c r="AD123" i="6"/>
  <c r="N123" i="6"/>
  <c r="AO123" i="6"/>
  <c r="I123" i="6"/>
  <c r="AB123" i="6"/>
  <c r="K123" i="6"/>
  <c r="Q123" i="6"/>
  <c r="AC123" i="6"/>
  <c r="R123" i="6"/>
  <c r="AI123" i="6"/>
  <c r="AR123" i="6"/>
  <c r="AE123" i="6"/>
  <c r="B123" i="6"/>
  <c r="G123" i="6"/>
  <c r="L123" i="6"/>
  <c r="AH123" i="6"/>
  <c r="AV123" i="6"/>
  <c r="AS123" i="6"/>
  <c r="AT123" i="6"/>
  <c r="AU123" i="6"/>
  <c r="AW123" i="6"/>
  <c r="AJ13" i="2"/>
  <c r="AK91" i="6"/>
  <c r="AK26" i="1"/>
  <c r="AF96" i="6"/>
  <c r="AF31" i="1"/>
  <c r="A66" i="6"/>
  <c r="F65" i="6"/>
  <c r="J65" i="6"/>
  <c r="C65" i="6"/>
  <c r="G65" i="6"/>
  <c r="K65" i="6"/>
  <c r="E65" i="6"/>
  <c r="H65" i="6"/>
  <c r="L65" i="6"/>
  <c r="B65" i="6"/>
  <c r="D65" i="6"/>
  <c r="I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X79" i="6"/>
  <c r="AX123" i="6" s="1"/>
  <c r="AW78" i="6"/>
  <c r="AW82" i="6"/>
  <c r="AW81" i="6"/>
  <c r="AW80" i="6"/>
  <c r="AW83" i="6"/>
  <c r="AW84" i="6"/>
  <c r="AW85" i="6"/>
  <c r="AW86" i="6"/>
  <c r="AW87" i="6"/>
  <c r="AW88" i="6"/>
  <c r="AW89" i="6"/>
  <c r="AW90" i="6"/>
  <c r="AW91" i="6"/>
  <c r="AW92" i="6"/>
  <c r="AW93" i="6"/>
  <c r="AW94" i="6"/>
  <c r="AW95" i="6"/>
  <c r="AW96" i="6"/>
  <c r="AW97" i="6"/>
  <c r="AW98" i="6"/>
  <c r="AW99" i="6"/>
  <c r="AW100" i="6"/>
  <c r="AW101" i="6"/>
  <c r="AW102" i="6"/>
  <c r="AW103" i="6"/>
  <c r="AW104" i="6"/>
  <c r="AW105" i="6"/>
  <c r="AW106" i="6"/>
  <c r="AW107" i="6"/>
  <c r="AW108" i="6"/>
  <c r="AW109" i="6"/>
  <c r="AW110" i="6"/>
  <c r="AW111" i="6"/>
  <c r="AW112" i="6"/>
  <c r="AW113" i="6"/>
  <c r="AW114" i="6"/>
  <c r="AW115" i="6"/>
  <c r="AW116" i="6"/>
  <c r="AW117" i="6"/>
  <c r="AW118" i="6"/>
  <c r="AW119" i="6"/>
  <c r="AW120" i="6"/>
  <c r="AW121" i="6"/>
  <c r="AM26" i="1"/>
  <c r="AM91" i="6"/>
  <c r="AJ13" i="6"/>
  <c r="Z38" i="1"/>
  <c r="Z103" i="6"/>
  <c r="AE33" i="1"/>
  <c r="AE98" i="6"/>
  <c r="AN26" i="1"/>
  <c r="AN91" i="6"/>
  <c r="AD36" i="1"/>
  <c r="AD101" i="6"/>
  <c r="AH31" i="1"/>
  <c r="AH96" i="6"/>
  <c r="AI29" i="1"/>
  <c r="AI94" i="6"/>
  <c r="AL27" i="1"/>
  <c r="AL92" i="6"/>
  <c r="AO24" i="1"/>
  <c r="AO89" i="6"/>
  <c r="AO22" i="6" s="1"/>
  <c r="AO22" i="2"/>
  <c r="AN21" i="2" s="1"/>
  <c r="BC11" i="6"/>
  <c r="BD12" i="6"/>
  <c r="AJ14" i="6"/>
  <c r="AG95" i="6"/>
  <c r="AG30" i="1"/>
  <c r="D59" i="2"/>
  <c r="E59" i="2"/>
  <c r="C59" i="2"/>
  <c r="F59" i="2"/>
  <c r="A60" i="2"/>
  <c r="G59" i="2"/>
  <c r="B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L16" i="2"/>
  <c r="AV65" i="2"/>
  <c r="AV33" i="2"/>
  <c r="AV62" i="2"/>
  <c r="AV30" i="2"/>
  <c r="AV59" i="2"/>
  <c r="AV27" i="2"/>
  <c r="AV56" i="2"/>
  <c r="AV24" i="2"/>
  <c r="AV53" i="2"/>
  <c r="AV21" i="2"/>
  <c r="AV50" i="2"/>
  <c r="AV18" i="2"/>
  <c r="AV47" i="2"/>
  <c r="AV15" i="2"/>
  <c r="AV44" i="2"/>
  <c r="AV57" i="2"/>
  <c r="AV25" i="2"/>
  <c r="AV54" i="2"/>
  <c r="AV22" i="2"/>
  <c r="AV51" i="2"/>
  <c r="AV19" i="2"/>
  <c r="AV48" i="2"/>
  <c r="AV16" i="2"/>
  <c r="AV45" i="2"/>
  <c r="AV13" i="2"/>
  <c r="AV42" i="2"/>
  <c r="AV71" i="2"/>
  <c r="AV39" i="2"/>
  <c r="AV68" i="2"/>
  <c r="AV36" i="2"/>
  <c r="AV49" i="2"/>
  <c r="AV17" i="2"/>
  <c r="AV46" i="2"/>
  <c r="AV14" i="2"/>
  <c r="AV43" i="2"/>
  <c r="AV72" i="2"/>
  <c r="AV40" i="2"/>
  <c r="AV69" i="2"/>
  <c r="AV37" i="2"/>
  <c r="AV66" i="2"/>
  <c r="AV34" i="2"/>
  <c r="AV63" i="2"/>
  <c r="AV31" i="2"/>
  <c r="AV60" i="2"/>
  <c r="AV28" i="2"/>
  <c r="AV73" i="2"/>
  <c r="AV41" i="2"/>
  <c r="AV70" i="2"/>
  <c r="AV38" i="2"/>
  <c r="AV67" i="2"/>
  <c r="AV35" i="2"/>
  <c r="AV64" i="2"/>
  <c r="AV32" i="2"/>
  <c r="AV61" i="2"/>
  <c r="AV29" i="2"/>
  <c r="AV58" i="2"/>
  <c r="AV26" i="2"/>
  <c r="AV55" i="2"/>
  <c r="AV23" i="2"/>
  <c r="AV52" i="2"/>
  <c r="AV20" i="2"/>
  <c r="F62" i="1"/>
  <c r="C62" i="1"/>
  <c r="G62" i="1"/>
  <c r="A63" i="1"/>
  <c r="B62" i="1"/>
  <c r="H62" i="1"/>
  <c r="I62" i="1"/>
  <c r="E62" i="1"/>
  <c r="D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L17" i="2" l="1"/>
  <c r="AK17" i="2" s="1"/>
  <c r="AN21" i="6"/>
  <c r="G63" i="1"/>
  <c r="C63" i="1"/>
  <c r="H63" i="1"/>
  <c r="D63" i="1"/>
  <c r="I63" i="1"/>
  <c r="E63" i="1"/>
  <c r="B63" i="1"/>
  <c r="F63" i="1"/>
  <c r="A64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M20" i="2"/>
  <c r="B66" i="6"/>
  <c r="F66" i="6"/>
  <c r="J66" i="6"/>
  <c r="A67" i="6"/>
  <c r="G66" i="6"/>
  <c r="K66" i="6"/>
  <c r="E66" i="6"/>
  <c r="I66" i="6"/>
  <c r="D66" i="6"/>
  <c r="L66" i="6"/>
  <c r="C66" i="6"/>
  <c r="M66" i="6"/>
  <c r="H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K17" i="6"/>
  <c r="AK16" i="6"/>
  <c r="D60" i="2"/>
  <c r="E60" i="2"/>
  <c r="C60" i="2"/>
  <c r="F60" i="2"/>
  <c r="A61" i="2"/>
  <c r="G60" i="2"/>
  <c r="B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BE12" i="6"/>
  <c r="BD11" i="6"/>
  <c r="AO25" i="1"/>
  <c r="AO90" i="6"/>
  <c r="AO23" i="6" s="1"/>
  <c r="AO23" i="2"/>
  <c r="AN22" i="2" s="1"/>
  <c r="AL28" i="1"/>
  <c r="AL93" i="6"/>
  <c r="AI95" i="6"/>
  <c r="AI30" i="1"/>
  <c r="AH32" i="1"/>
  <c r="AH97" i="6"/>
  <c r="AD37" i="1"/>
  <c r="AD102" i="6"/>
  <c r="AN27" i="1"/>
  <c r="AN92" i="6"/>
  <c r="AE34" i="1"/>
  <c r="AE99" i="6"/>
  <c r="Z104" i="6"/>
  <c r="AW48" i="2"/>
  <c r="AW16" i="2"/>
  <c r="AW43" i="2"/>
  <c r="AW73" i="2"/>
  <c r="AW42" i="2"/>
  <c r="AW69" i="2"/>
  <c r="AW37" i="2"/>
  <c r="AW68" i="2"/>
  <c r="AW36" i="2"/>
  <c r="AW63" i="2"/>
  <c r="AW31" i="2"/>
  <c r="AW62" i="2"/>
  <c r="AW30" i="2"/>
  <c r="AW57" i="2"/>
  <c r="AW25" i="2"/>
  <c r="AW72" i="2"/>
  <c r="AW40" i="2"/>
  <c r="AW67" i="2"/>
  <c r="AW35" i="2"/>
  <c r="AW66" i="2"/>
  <c r="AW34" i="2"/>
  <c r="AW61" i="2"/>
  <c r="AW29" i="2"/>
  <c r="AW60" i="2"/>
  <c r="AW28" i="2"/>
  <c r="AW55" i="2"/>
  <c r="AW23" i="2"/>
  <c r="AW54" i="2"/>
  <c r="AW22" i="2"/>
  <c r="AW49" i="2"/>
  <c r="AW17" i="2"/>
  <c r="AW64" i="2"/>
  <c r="AW32" i="2"/>
  <c r="AW59" i="2"/>
  <c r="AW27" i="2"/>
  <c r="AW58" i="2"/>
  <c r="AW26" i="2"/>
  <c r="AW53" i="2"/>
  <c r="AW21" i="2"/>
  <c r="AW51" i="2"/>
  <c r="AW45" i="2"/>
  <c r="AW20" i="2"/>
  <c r="AW15" i="2"/>
  <c r="AW14" i="2"/>
  <c r="AW19" i="2"/>
  <c r="AW13" i="2"/>
  <c r="AW71" i="2"/>
  <c r="AW70" i="2"/>
  <c r="AW65" i="2"/>
  <c r="AW56" i="2"/>
  <c r="AW50" i="2"/>
  <c r="AW52" i="2"/>
  <c r="AW47" i="2"/>
  <c r="AW46" i="2"/>
  <c r="AW41" i="2"/>
  <c r="AW24" i="2"/>
  <c r="AW18" i="2"/>
  <c r="AW44" i="2"/>
  <c r="AW39" i="2"/>
  <c r="AW38" i="2"/>
  <c r="AW33" i="2"/>
  <c r="AK15" i="2"/>
  <c r="BC62" i="6"/>
  <c r="BC30" i="6"/>
  <c r="BC49" i="6"/>
  <c r="BC15" i="6"/>
  <c r="BC56" i="6"/>
  <c r="BC24" i="6"/>
  <c r="BC43" i="6"/>
  <c r="BC17" i="6"/>
  <c r="BC50" i="6"/>
  <c r="BC69" i="6"/>
  <c r="BC37" i="6"/>
  <c r="BC13" i="6"/>
  <c r="BC44" i="6"/>
  <c r="BC63" i="6"/>
  <c r="BC31" i="6"/>
  <c r="BC54" i="6"/>
  <c r="BC22" i="6"/>
  <c r="BC41" i="6"/>
  <c r="BC16" i="6"/>
  <c r="BC48" i="6"/>
  <c r="BC67" i="6"/>
  <c r="BC35" i="6"/>
  <c r="BC73" i="6"/>
  <c r="BC42" i="6"/>
  <c r="BC61" i="6"/>
  <c r="BC29" i="6"/>
  <c r="BC68" i="6"/>
  <c r="BC36" i="6"/>
  <c r="BC55" i="6"/>
  <c r="BC23" i="6"/>
  <c r="BC46" i="6"/>
  <c r="BC65" i="6"/>
  <c r="BC33" i="6"/>
  <c r="BC72" i="6"/>
  <c r="BC40" i="6"/>
  <c r="BC59" i="6"/>
  <c r="BC27" i="6"/>
  <c r="BC66" i="6"/>
  <c r="BC34" i="6"/>
  <c r="BC53" i="6"/>
  <c r="BC20" i="6"/>
  <c r="BC60" i="6"/>
  <c r="BC28" i="6"/>
  <c r="BC47" i="6"/>
  <c r="BC21" i="6"/>
  <c r="BC70" i="6"/>
  <c r="BC38" i="6"/>
  <c r="BC57" i="6"/>
  <c r="BC25" i="6"/>
  <c r="BC64" i="6"/>
  <c r="BC32" i="6"/>
  <c r="BC51" i="6"/>
  <c r="BC18" i="6"/>
  <c r="BC58" i="6"/>
  <c r="BC26" i="6"/>
  <c r="BC45" i="6"/>
  <c r="BC19" i="6"/>
  <c r="BC52" i="6"/>
  <c r="BC71" i="6"/>
  <c r="BC39" i="6"/>
  <c r="BC14" i="6"/>
  <c r="AM27" i="1"/>
  <c r="AM92" i="6"/>
  <c r="AF97" i="6"/>
  <c r="AF32" i="1"/>
  <c r="AH124" i="6"/>
  <c r="R124" i="6"/>
  <c r="B124" i="6"/>
  <c r="O124" i="6"/>
  <c r="I124" i="6"/>
  <c r="AR124" i="6"/>
  <c r="AB124" i="6"/>
  <c r="L124" i="6"/>
  <c r="AI124" i="6"/>
  <c r="C124" i="6"/>
  <c r="AC124" i="6"/>
  <c r="AD124" i="6"/>
  <c r="N124" i="6"/>
  <c r="AM124" i="6"/>
  <c r="G124" i="6"/>
  <c r="AK124" i="6"/>
  <c r="AN124" i="6"/>
  <c r="X124" i="6"/>
  <c r="H124" i="6"/>
  <c r="AA124" i="6"/>
  <c r="AG124" i="6"/>
  <c r="M124" i="6"/>
  <c r="AL124" i="6"/>
  <c r="F124" i="6"/>
  <c r="Y124" i="6"/>
  <c r="AF124" i="6"/>
  <c r="AQ124" i="6"/>
  <c r="AS124" i="6"/>
  <c r="V124" i="6"/>
  <c r="W124" i="6"/>
  <c r="E124" i="6"/>
  <c r="P124" i="6"/>
  <c r="K124" i="6"/>
  <c r="AP124" i="6"/>
  <c r="J124" i="6"/>
  <c r="AO124" i="6"/>
  <c r="AJ124" i="6"/>
  <c r="D124" i="6"/>
  <c r="Q124" i="6"/>
  <c r="T124" i="6"/>
  <c r="Z124" i="6"/>
  <c r="S124" i="6"/>
  <c r="AE124" i="6"/>
  <c r="A125" i="6"/>
  <c r="U124" i="6"/>
  <c r="AU124" i="6"/>
  <c r="AV124" i="6"/>
  <c r="AT124" i="6"/>
  <c r="AX124" i="6"/>
  <c r="AW124" i="6"/>
  <c r="AY67" i="1"/>
  <c r="AY61" i="1"/>
  <c r="AY24" i="1"/>
  <c r="AY14" i="1"/>
  <c r="AY63" i="1"/>
  <c r="AY52" i="1"/>
  <c r="AY21" i="1"/>
  <c r="AY9" i="1"/>
  <c r="AY59" i="1"/>
  <c r="AY49" i="1"/>
  <c r="AY20" i="1"/>
  <c r="AY8" i="1"/>
  <c r="AY54" i="1"/>
  <c r="AY44" i="1"/>
  <c r="AY17" i="1"/>
  <c r="AY74" i="1"/>
  <c r="AY65" i="1"/>
  <c r="AY41" i="1"/>
  <c r="AY16" i="1"/>
  <c r="AY72" i="1"/>
  <c r="AY57" i="1"/>
  <c r="AY35" i="1"/>
  <c r="AY36" i="1"/>
  <c r="AY70" i="1"/>
  <c r="AY55" i="1"/>
  <c r="AY34" i="1"/>
  <c r="AY33" i="1"/>
  <c r="AY68" i="1"/>
  <c r="AY51" i="1"/>
  <c r="AY53" i="1"/>
  <c r="AY31" i="1"/>
  <c r="AY71" i="1"/>
  <c r="AY50" i="1"/>
  <c r="AY48" i="1"/>
  <c r="AY30" i="1"/>
  <c r="AY66" i="1"/>
  <c r="AY47" i="1"/>
  <c r="AY45" i="1"/>
  <c r="AY27" i="1"/>
  <c r="AY64" i="1"/>
  <c r="AY46" i="1"/>
  <c r="AY40" i="1"/>
  <c r="AY26" i="1"/>
  <c r="AY62" i="1"/>
  <c r="AY43" i="1"/>
  <c r="AY37" i="1"/>
  <c r="AY23" i="1"/>
  <c r="AY22" i="1"/>
  <c r="AY19" i="1"/>
  <c r="AY18" i="1"/>
  <c r="AY15" i="1"/>
  <c r="AY60" i="1"/>
  <c r="AY58" i="1"/>
  <c r="AY56" i="1"/>
  <c r="AY73" i="1"/>
  <c r="AY42" i="1"/>
  <c r="AY39" i="1"/>
  <c r="AY38" i="1"/>
  <c r="AY69" i="1"/>
  <c r="AY32" i="1"/>
  <c r="AY29" i="1"/>
  <c r="AY28" i="1"/>
  <c r="AY25" i="1"/>
  <c r="AC100" i="6"/>
  <c r="AC35" i="1"/>
  <c r="AY12" i="2"/>
  <c r="AX11" i="2"/>
  <c r="AJ94" i="6"/>
  <c r="AJ29" i="1"/>
  <c r="AM20" i="6"/>
  <c r="AL19" i="6" s="1"/>
  <c r="AG31" i="1"/>
  <c r="AG96" i="6"/>
  <c r="AI13" i="6"/>
  <c r="AY79" i="6"/>
  <c r="AY124" i="6" s="1"/>
  <c r="AX78" i="6"/>
  <c r="AX80" i="6"/>
  <c r="AX81" i="6"/>
  <c r="AX82" i="6"/>
  <c r="AX83" i="6"/>
  <c r="AX84" i="6"/>
  <c r="AX85" i="6"/>
  <c r="AX86" i="6"/>
  <c r="AX87" i="6"/>
  <c r="AX88" i="6"/>
  <c r="AX89" i="6"/>
  <c r="AX90" i="6"/>
  <c r="AX91" i="6"/>
  <c r="AX92" i="6"/>
  <c r="AX93" i="6"/>
  <c r="AX94" i="6"/>
  <c r="AX95" i="6"/>
  <c r="AX96" i="6"/>
  <c r="AX97" i="6"/>
  <c r="AX98" i="6"/>
  <c r="AX99" i="6"/>
  <c r="AX100" i="6"/>
  <c r="AX101" i="6"/>
  <c r="AX102" i="6"/>
  <c r="AX103" i="6"/>
  <c r="AX104" i="6"/>
  <c r="AX105" i="6"/>
  <c r="AX106" i="6"/>
  <c r="AX107" i="6"/>
  <c r="AX108" i="6"/>
  <c r="AX109" i="6"/>
  <c r="AX110" i="6"/>
  <c r="AX111" i="6"/>
  <c r="AX112" i="6"/>
  <c r="AX113" i="6"/>
  <c r="AX114" i="6"/>
  <c r="AX115" i="6"/>
  <c r="AX116" i="6"/>
  <c r="AX117" i="6"/>
  <c r="AX118" i="6"/>
  <c r="AX119" i="6"/>
  <c r="AX120" i="6"/>
  <c r="AX121" i="6"/>
  <c r="AX122" i="6"/>
  <c r="AK92" i="6"/>
  <c r="AK27" i="1"/>
  <c r="BA13" i="1"/>
  <c r="AZ12" i="1"/>
  <c r="AB38" i="1"/>
  <c r="AB103" i="6"/>
  <c r="AA37" i="1"/>
  <c r="AA102" i="6"/>
  <c r="AK16" i="2" l="1"/>
  <c r="AJ16" i="2" s="1"/>
  <c r="AN22" i="6"/>
  <c r="AM21" i="6" s="1"/>
  <c r="AL20" i="6" s="1"/>
  <c r="AK18" i="6"/>
  <c r="AJ17" i="6" s="1"/>
  <c r="BA12" i="1"/>
  <c r="BB13" i="1"/>
  <c r="AJ30" i="1"/>
  <c r="AJ95" i="6"/>
  <c r="AZ12" i="2"/>
  <c r="AY11" i="2"/>
  <c r="AF33" i="1"/>
  <c r="AF98" i="6"/>
  <c r="AI96" i="6"/>
  <c r="AI31" i="1"/>
  <c r="BF12" i="6"/>
  <c r="BE11" i="6"/>
  <c r="H64" i="1"/>
  <c r="I64" i="1"/>
  <c r="E64" i="1"/>
  <c r="B64" i="1"/>
  <c r="F64" i="1"/>
  <c r="D64" i="1"/>
  <c r="G64" i="1"/>
  <c r="A65" i="1"/>
  <c r="C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A38" i="1"/>
  <c r="AA103" i="6"/>
  <c r="AB39" i="1"/>
  <c r="AB104" i="6"/>
  <c r="AZ79" i="6"/>
  <c r="AY78" i="6"/>
  <c r="AY80" i="6"/>
  <c r="AY82" i="6"/>
  <c r="AY81" i="6"/>
  <c r="AY83" i="6"/>
  <c r="AY84" i="6"/>
  <c r="AY85" i="6"/>
  <c r="AY86" i="6"/>
  <c r="AY87" i="6"/>
  <c r="AY88" i="6"/>
  <c r="AY89" i="6"/>
  <c r="AY90" i="6"/>
  <c r="AY91" i="6"/>
  <c r="AY92" i="6"/>
  <c r="AY93" i="6"/>
  <c r="AY94" i="6"/>
  <c r="AY95" i="6"/>
  <c r="AY96" i="6"/>
  <c r="AY97" i="6"/>
  <c r="AY98" i="6"/>
  <c r="AY99" i="6"/>
  <c r="AY100" i="6"/>
  <c r="AY101" i="6"/>
  <c r="AY102" i="6"/>
  <c r="AY103" i="6"/>
  <c r="AY104" i="6"/>
  <c r="AY105" i="6"/>
  <c r="AY106" i="6"/>
  <c r="AY107" i="6"/>
  <c r="AY108" i="6"/>
  <c r="AY109" i="6"/>
  <c r="AY110" i="6"/>
  <c r="AY111" i="6"/>
  <c r="AY112" i="6"/>
  <c r="AY113" i="6"/>
  <c r="AY114" i="6"/>
  <c r="AY115" i="6"/>
  <c r="AY116" i="6"/>
  <c r="AY117" i="6"/>
  <c r="AY118" i="6"/>
  <c r="AY119" i="6"/>
  <c r="AY120" i="6"/>
  <c r="AY121" i="6"/>
  <c r="AY122" i="6"/>
  <c r="AY123" i="6"/>
  <c r="AM93" i="6"/>
  <c r="AM28" i="1"/>
  <c r="AJ15" i="2"/>
  <c r="AI15" i="2" s="1"/>
  <c r="AJ14" i="2"/>
  <c r="AE35" i="1"/>
  <c r="AE100" i="6"/>
  <c r="AN28" i="1"/>
  <c r="AN93" i="6"/>
  <c r="AD38" i="1"/>
  <c r="AD103" i="6"/>
  <c r="AH33" i="1"/>
  <c r="AH98" i="6"/>
  <c r="AL29" i="1"/>
  <c r="AL94" i="6"/>
  <c r="AO26" i="1"/>
  <c r="AO91" i="6"/>
  <c r="AO24" i="6" s="1"/>
  <c r="AO24" i="2"/>
  <c r="AN23" i="2" s="1"/>
  <c r="AM22" i="2" s="1"/>
  <c r="AK93" i="6"/>
  <c r="AK28" i="1"/>
  <c r="AC36" i="1"/>
  <c r="AC101" i="6"/>
  <c r="AF125" i="6"/>
  <c r="P125" i="6"/>
  <c r="AS125" i="6"/>
  <c r="M125" i="6"/>
  <c r="C125" i="6"/>
  <c r="AT125" i="6"/>
  <c r="AD125" i="6"/>
  <c r="N125" i="6"/>
  <c r="AO125" i="6"/>
  <c r="I125" i="6"/>
  <c r="AE125" i="6"/>
  <c r="AR125" i="6"/>
  <c r="AB125" i="6"/>
  <c r="L125" i="6"/>
  <c r="AK125" i="6"/>
  <c r="E125" i="6"/>
  <c r="AM125" i="6"/>
  <c r="AP125" i="6"/>
  <c r="Z125" i="6"/>
  <c r="J125" i="6"/>
  <c r="AG125" i="6"/>
  <c r="AQ125" i="6"/>
  <c r="O125" i="6"/>
  <c r="AJ125" i="6"/>
  <c r="D125" i="6"/>
  <c r="S125" i="6"/>
  <c r="AH125" i="6"/>
  <c r="B125" i="6"/>
  <c r="K125" i="6"/>
  <c r="T125" i="6"/>
  <c r="U125" i="6"/>
  <c r="G125" i="6"/>
  <c r="R125" i="6"/>
  <c r="Q125" i="6"/>
  <c r="AN125" i="6"/>
  <c r="H125" i="6"/>
  <c r="AI125" i="6"/>
  <c r="AL125" i="6"/>
  <c r="F125" i="6"/>
  <c r="AA125" i="6"/>
  <c r="AC125" i="6"/>
  <c r="A126" i="6"/>
  <c r="W125" i="6"/>
  <c r="V125" i="6"/>
  <c r="X125" i="6"/>
  <c r="Y125" i="6"/>
  <c r="AU125" i="6"/>
  <c r="AX125" i="6"/>
  <c r="AV125" i="6"/>
  <c r="AW125" i="6"/>
  <c r="AZ125" i="6"/>
  <c r="AY125" i="6"/>
  <c r="B61" i="2"/>
  <c r="F61" i="2"/>
  <c r="A62" i="2"/>
  <c r="E61" i="2"/>
  <c r="C61" i="2"/>
  <c r="G61" i="2"/>
  <c r="D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E67" i="6"/>
  <c r="H67" i="6"/>
  <c r="L67" i="6"/>
  <c r="D67" i="6"/>
  <c r="B67" i="6"/>
  <c r="I67" i="6"/>
  <c r="M67" i="6"/>
  <c r="C67" i="6"/>
  <c r="K67" i="6"/>
  <c r="F67" i="6"/>
  <c r="G67" i="6"/>
  <c r="A68" i="6"/>
  <c r="J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L19" i="2"/>
  <c r="AZ63" i="1"/>
  <c r="AZ55" i="1"/>
  <c r="AZ53" i="1"/>
  <c r="AZ52" i="1"/>
  <c r="AZ51" i="1"/>
  <c r="AZ38" i="1"/>
  <c r="AZ37" i="1"/>
  <c r="AZ72" i="1"/>
  <c r="AZ60" i="1"/>
  <c r="AZ73" i="1"/>
  <c r="AZ25" i="1"/>
  <c r="AZ23" i="1"/>
  <c r="AZ74" i="1"/>
  <c r="AZ71" i="1"/>
  <c r="AZ24" i="1"/>
  <c r="AZ22" i="1"/>
  <c r="AZ43" i="1"/>
  <c r="AZ44" i="1"/>
  <c r="AZ45" i="1"/>
  <c r="AZ46" i="1"/>
  <c r="AZ50" i="1"/>
  <c r="AZ21" i="1"/>
  <c r="AZ49" i="1"/>
  <c r="AZ20" i="1"/>
  <c r="AZ48" i="1"/>
  <c r="AZ19" i="1"/>
  <c r="AZ47" i="1"/>
  <c r="AZ18" i="1"/>
  <c r="AZ57" i="1"/>
  <c r="AZ59" i="1"/>
  <c r="AZ61" i="1"/>
  <c r="AZ42" i="1"/>
  <c r="AZ56" i="1"/>
  <c r="AZ41" i="1"/>
  <c r="AZ64" i="1"/>
  <c r="AZ40" i="1"/>
  <c r="AZ8" i="1"/>
  <c r="AZ39" i="1"/>
  <c r="AZ9" i="1"/>
  <c r="AZ14" i="1"/>
  <c r="AZ15" i="1"/>
  <c r="AZ16" i="1"/>
  <c r="AZ17" i="1"/>
  <c r="AZ69" i="1"/>
  <c r="AZ54" i="1"/>
  <c r="AZ70" i="1"/>
  <c r="AZ36" i="1"/>
  <c r="AZ67" i="1"/>
  <c r="AZ35" i="1"/>
  <c r="AZ65" i="1"/>
  <c r="AZ34" i="1"/>
  <c r="AZ30" i="1"/>
  <c r="AZ31" i="1"/>
  <c r="AZ32" i="1"/>
  <c r="AZ33" i="1"/>
  <c r="AZ68" i="1"/>
  <c r="AZ29" i="1"/>
  <c r="AZ66" i="1"/>
  <c r="AZ28" i="1"/>
  <c r="AZ62" i="1"/>
  <c r="AZ27" i="1"/>
  <c r="AZ58" i="1"/>
  <c r="AZ26" i="1"/>
  <c r="AG32" i="1"/>
  <c r="AG97" i="6"/>
  <c r="AX63" i="2"/>
  <c r="AX31" i="2"/>
  <c r="AX60" i="2"/>
  <c r="AX28" i="2"/>
  <c r="AX57" i="2"/>
  <c r="AX25" i="2"/>
  <c r="AX54" i="2"/>
  <c r="AX22" i="2"/>
  <c r="AX51" i="2"/>
  <c r="AX19" i="2"/>
  <c r="AX48" i="2"/>
  <c r="AX16" i="2"/>
  <c r="AX45" i="2"/>
  <c r="AX13" i="2"/>
  <c r="AX42" i="2"/>
  <c r="AX55" i="2"/>
  <c r="AX23" i="2"/>
  <c r="AX52" i="2"/>
  <c r="AX20" i="2"/>
  <c r="AX49" i="2"/>
  <c r="AX17" i="2"/>
  <c r="AX46" i="2"/>
  <c r="AX14" i="2"/>
  <c r="AX43" i="2"/>
  <c r="AX72" i="2"/>
  <c r="AX40" i="2"/>
  <c r="AX69" i="2"/>
  <c r="AX37" i="2"/>
  <c r="AX66" i="2"/>
  <c r="AX34" i="2"/>
  <c r="AX47" i="2"/>
  <c r="AX15" i="2"/>
  <c r="AX44" i="2"/>
  <c r="AX73" i="2"/>
  <c r="AX41" i="2"/>
  <c r="AX70" i="2"/>
  <c r="AX38" i="2"/>
  <c r="AX67" i="2"/>
  <c r="AX35" i="2"/>
  <c r="AX64" i="2"/>
  <c r="AX32" i="2"/>
  <c r="AX61" i="2"/>
  <c r="AX29" i="2"/>
  <c r="AX58" i="2"/>
  <c r="AX26" i="2"/>
  <c r="AX71" i="2"/>
  <c r="AX39" i="2"/>
  <c r="AX68" i="2"/>
  <c r="AX36" i="2"/>
  <c r="AX65" i="2"/>
  <c r="AX33" i="2"/>
  <c r="AX62" i="2"/>
  <c r="AX30" i="2"/>
  <c r="AX59" i="2"/>
  <c r="AX27" i="2"/>
  <c r="AX56" i="2"/>
  <c r="AX24" i="2"/>
  <c r="AX53" i="2"/>
  <c r="AX21" i="2"/>
  <c r="AX50" i="2"/>
  <c r="AX18" i="2"/>
  <c r="BD67" i="6"/>
  <c r="BD35" i="6"/>
  <c r="BD56" i="6"/>
  <c r="BD24" i="6"/>
  <c r="BD61" i="6"/>
  <c r="BD29" i="6"/>
  <c r="BD50" i="6"/>
  <c r="BD19" i="6"/>
  <c r="BD55" i="6"/>
  <c r="BD23" i="6"/>
  <c r="BD44" i="6"/>
  <c r="BD14" i="6"/>
  <c r="BD49" i="6"/>
  <c r="BD70" i="6"/>
  <c r="BD38" i="6"/>
  <c r="BD18" i="6"/>
  <c r="BD59" i="6"/>
  <c r="BD27" i="6"/>
  <c r="BD48" i="6"/>
  <c r="BD17" i="6"/>
  <c r="BD53" i="6"/>
  <c r="BD73" i="6"/>
  <c r="BD42" i="6"/>
  <c r="BD13" i="6"/>
  <c r="BD47" i="6"/>
  <c r="BD68" i="6"/>
  <c r="BD36" i="6"/>
  <c r="BD15" i="6"/>
  <c r="BD41" i="6"/>
  <c r="BD62" i="6"/>
  <c r="BD30" i="6"/>
  <c r="BD51" i="6"/>
  <c r="BD72" i="6"/>
  <c r="BD40" i="6"/>
  <c r="BD20" i="6"/>
  <c r="BD45" i="6"/>
  <c r="BD66" i="6"/>
  <c r="BD34" i="6"/>
  <c r="BD71" i="6"/>
  <c r="BD39" i="6"/>
  <c r="BD60" i="6"/>
  <c r="BD28" i="6"/>
  <c r="BD65" i="6"/>
  <c r="BD33" i="6"/>
  <c r="BD54" i="6"/>
  <c r="BD22" i="6"/>
  <c r="BD43" i="6"/>
  <c r="BD64" i="6"/>
  <c r="BD32" i="6"/>
  <c r="BD69" i="6"/>
  <c r="BD37" i="6"/>
  <c r="BD58" i="6"/>
  <c r="BD26" i="6"/>
  <c r="BD63" i="6"/>
  <c r="BD31" i="6"/>
  <c r="BD52" i="6"/>
  <c r="BD21" i="6"/>
  <c r="BD57" i="6"/>
  <c r="BD25" i="6"/>
  <c r="BD46" i="6"/>
  <c r="BD16" i="6"/>
  <c r="AJ16" i="6"/>
  <c r="AJ15" i="6"/>
  <c r="AM21" i="2"/>
  <c r="AI16" i="6" l="1"/>
  <c r="AL21" i="2"/>
  <c r="AN23" i="6"/>
  <c r="AM22" i="6" s="1"/>
  <c r="AL21" i="6" s="1"/>
  <c r="AK20" i="6" s="1"/>
  <c r="AI15" i="6"/>
  <c r="AI14" i="6"/>
  <c r="E68" i="6"/>
  <c r="H68" i="6"/>
  <c r="L68" i="6"/>
  <c r="D68" i="6"/>
  <c r="C68" i="6"/>
  <c r="I68" i="6"/>
  <c r="M68" i="6"/>
  <c r="B68" i="6"/>
  <c r="F68" i="6"/>
  <c r="J68" i="6"/>
  <c r="A69" i="6"/>
  <c r="G68" i="6"/>
  <c r="K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K29" i="1"/>
  <c r="AK94" i="6"/>
  <c r="AI14" i="2"/>
  <c r="AH14" i="2" s="1"/>
  <c r="AI13" i="2"/>
  <c r="AY30" i="2"/>
  <c r="AY25" i="2"/>
  <c r="AY24" i="2"/>
  <c r="AY19" i="2"/>
  <c r="AY18" i="2"/>
  <c r="AY13" i="2"/>
  <c r="AY71" i="2"/>
  <c r="AY14" i="2"/>
  <c r="AY72" i="2"/>
  <c r="AY67" i="2"/>
  <c r="AY66" i="2"/>
  <c r="AY61" i="2"/>
  <c r="AY60" i="2"/>
  <c r="AY55" i="2"/>
  <c r="AY62" i="2"/>
  <c r="AY57" i="2"/>
  <c r="AY56" i="2"/>
  <c r="AY51" i="2"/>
  <c r="AY50" i="2"/>
  <c r="AY45" i="2"/>
  <c r="AY44" i="2"/>
  <c r="AY39" i="2"/>
  <c r="AY70" i="2"/>
  <c r="AY46" i="2"/>
  <c r="AY41" i="2"/>
  <c r="AY40" i="2"/>
  <c r="AY35" i="2"/>
  <c r="AY34" i="2"/>
  <c r="AY29" i="2"/>
  <c r="AY28" i="2"/>
  <c r="AY23" i="2"/>
  <c r="AY63" i="2"/>
  <c r="AY68" i="2"/>
  <c r="AY69" i="2"/>
  <c r="AY73" i="2"/>
  <c r="AY16" i="2"/>
  <c r="AY17" i="2"/>
  <c r="AY22" i="2"/>
  <c r="AY15" i="2"/>
  <c r="AY20" i="2"/>
  <c r="AY21" i="2"/>
  <c r="AY26" i="2"/>
  <c r="AY27" i="2"/>
  <c r="AY32" i="2"/>
  <c r="AY33" i="2"/>
  <c r="AY38" i="2"/>
  <c r="AY31" i="2"/>
  <c r="AY36" i="2"/>
  <c r="AY37" i="2"/>
  <c r="AY42" i="2"/>
  <c r="AY43" i="2"/>
  <c r="AY48" i="2"/>
  <c r="AY49" i="2"/>
  <c r="AY54" i="2"/>
  <c r="AY47" i="2"/>
  <c r="AY52" i="2"/>
  <c r="AY53" i="2"/>
  <c r="AY58" i="2"/>
  <c r="AY59" i="2"/>
  <c r="AY64" i="2"/>
  <c r="AY65" i="2"/>
  <c r="AJ31" i="1"/>
  <c r="AJ96" i="6"/>
  <c r="AK18" i="2"/>
  <c r="F65" i="1"/>
  <c r="A66" i="1"/>
  <c r="G65" i="1"/>
  <c r="D65" i="1"/>
  <c r="H65" i="1"/>
  <c r="C65" i="1"/>
  <c r="I65" i="1"/>
  <c r="E65" i="1"/>
  <c r="B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I32" i="1"/>
  <c r="AI97" i="6"/>
  <c r="BA12" i="2"/>
  <c r="AZ11" i="2"/>
  <c r="AK19" i="6"/>
  <c r="AJ18" i="6" s="1"/>
  <c r="AL20" i="2"/>
  <c r="AO27" i="1"/>
  <c r="AO92" i="6"/>
  <c r="AO25" i="6" s="1"/>
  <c r="AO25" i="2"/>
  <c r="AL30" i="1"/>
  <c r="AL95" i="6"/>
  <c r="AH34" i="1"/>
  <c r="AH99" i="6"/>
  <c r="AD39" i="1"/>
  <c r="AD104" i="6"/>
  <c r="AN29" i="1"/>
  <c r="AN94" i="6"/>
  <c r="AE36" i="1"/>
  <c r="AE101" i="6"/>
  <c r="AB40" i="1"/>
  <c r="AB105" i="6"/>
  <c r="AA39" i="1"/>
  <c r="AA104" i="6"/>
  <c r="BE56" i="6"/>
  <c r="BE43" i="6"/>
  <c r="BE50" i="6"/>
  <c r="BE37" i="6"/>
  <c r="BE63" i="6"/>
  <c r="BE70" i="6"/>
  <c r="BE57" i="6"/>
  <c r="BE40" i="6"/>
  <c r="BE27" i="6"/>
  <c r="BE34" i="6"/>
  <c r="BE20" i="6"/>
  <c r="BE60" i="6"/>
  <c r="BE47" i="6"/>
  <c r="BE54" i="6"/>
  <c r="BE41" i="6"/>
  <c r="BE24" i="6"/>
  <c r="BE17" i="6"/>
  <c r="BE69" i="6"/>
  <c r="BE13" i="6"/>
  <c r="BE44" i="6"/>
  <c r="BE31" i="6"/>
  <c r="BE38" i="6"/>
  <c r="BE25" i="6"/>
  <c r="BE64" i="6"/>
  <c r="BE72" i="6"/>
  <c r="BE59" i="6"/>
  <c r="BE66" i="6"/>
  <c r="BE53" i="6"/>
  <c r="BE28" i="6"/>
  <c r="BE21" i="6"/>
  <c r="BE22" i="6"/>
  <c r="BE16" i="6"/>
  <c r="BE65" i="6"/>
  <c r="BE14" i="6"/>
  <c r="BE71" i="6"/>
  <c r="BE45" i="6"/>
  <c r="BE58" i="6"/>
  <c r="BE51" i="6"/>
  <c r="BE15" i="6"/>
  <c r="BE30" i="6"/>
  <c r="BE23" i="6"/>
  <c r="BE36" i="6"/>
  <c r="BE61" i="6"/>
  <c r="BE73" i="6"/>
  <c r="BE67" i="6"/>
  <c r="BE33" i="6"/>
  <c r="BE46" i="6"/>
  <c r="BE39" i="6"/>
  <c r="BE52" i="6"/>
  <c r="BE19" i="6"/>
  <c r="BE26" i="6"/>
  <c r="BE18" i="6"/>
  <c r="BE32" i="6"/>
  <c r="BE49" i="6"/>
  <c r="BE62" i="6"/>
  <c r="BE55" i="6"/>
  <c r="BE68" i="6"/>
  <c r="BE29" i="6"/>
  <c r="BE42" i="6"/>
  <c r="BE35" i="6"/>
  <c r="BE48" i="6"/>
  <c r="AF99" i="6"/>
  <c r="AF34" i="1"/>
  <c r="BB12" i="1"/>
  <c r="BC13" i="1"/>
  <c r="AG98" i="6"/>
  <c r="AG33" i="1"/>
  <c r="A63" i="2"/>
  <c r="H62" i="2"/>
  <c r="C62" i="2"/>
  <c r="E62" i="2"/>
  <c r="D62" i="2"/>
  <c r="F62" i="2"/>
  <c r="B62" i="2"/>
  <c r="G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P126" i="6"/>
  <c r="Z126" i="6"/>
  <c r="J126" i="6"/>
  <c r="AI126" i="6"/>
  <c r="C126" i="6"/>
  <c r="AG126" i="6"/>
  <c r="AN126" i="6"/>
  <c r="X126" i="6"/>
  <c r="H126" i="6"/>
  <c r="AE126" i="6"/>
  <c r="AS126" i="6"/>
  <c r="Y126" i="6"/>
  <c r="AL126" i="6"/>
  <c r="V126" i="6"/>
  <c r="F126" i="6"/>
  <c r="AA126" i="6"/>
  <c r="AK126" i="6"/>
  <c r="Q126" i="6"/>
  <c r="AJ126" i="6"/>
  <c r="T126" i="6"/>
  <c r="D126" i="6"/>
  <c r="W126" i="6"/>
  <c r="AC126" i="6"/>
  <c r="I126" i="6"/>
  <c r="AT126" i="6"/>
  <c r="N126" i="6"/>
  <c r="K126" i="6"/>
  <c r="AR126" i="6"/>
  <c r="L126" i="6"/>
  <c r="G126" i="6"/>
  <c r="AD126" i="6"/>
  <c r="AQ126" i="6"/>
  <c r="E126" i="6"/>
  <c r="AB126" i="6"/>
  <c r="AM126" i="6"/>
  <c r="AO126" i="6"/>
  <c r="R126" i="6"/>
  <c r="S126" i="6"/>
  <c r="A127" i="6"/>
  <c r="P126" i="6"/>
  <c r="O126" i="6"/>
  <c r="AF126" i="6"/>
  <c r="AH126" i="6"/>
  <c r="AU126" i="6"/>
  <c r="B126" i="6"/>
  <c r="M126" i="6"/>
  <c r="U126" i="6"/>
  <c r="AV126" i="6"/>
  <c r="AY126" i="6"/>
  <c r="AX126" i="6"/>
  <c r="AW126" i="6"/>
  <c r="AZ126" i="6"/>
  <c r="AC37" i="1"/>
  <c r="AC102" i="6"/>
  <c r="AM94" i="6"/>
  <c r="AM29" i="1"/>
  <c r="AZ78" i="6"/>
  <c r="BA79" i="6"/>
  <c r="AZ80" i="6"/>
  <c r="AZ81" i="6"/>
  <c r="AZ82" i="6"/>
  <c r="AZ83" i="6"/>
  <c r="AZ84" i="6"/>
  <c r="AZ85" i="6"/>
  <c r="AZ86" i="6"/>
  <c r="AZ87" i="6"/>
  <c r="AZ88" i="6"/>
  <c r="AZ89" i="6"/>
  <c r="AZ90" i="6"/>
  <c r="AZ91" i="6"/>
  <c r="AZ92" i="6"/>
  <c r="AZ93" i="6"/>
  <c r="AZ94" i="6"/>
  <c r="AZ95" i="6"/>
  <c r="AZ96" i="6"/>
  <c r="AZ97" i="6"/>
  <c r="AZ98" i="6"/>
  <c r="AZ99" i="6"/>
  <c r="AZ100" i="6"/>
  <c r="AZ101" i="6"/>
  <c r="AZ102" i="6"/>
  <c r="AZ103" i="6"/>
  <c r="AZ104" i="6"/>
  <c r="AZ105" i="6"/>
  <c r="AZ106" i="6"/>
  <c r="AZ107" i="6"/>
  <c r="AZ108" i="6"/>
  <c r="AZ109" i="6"/>
  <c r="AZ110" i="6"/>
  <c r="AZ111" i="6"/>
  <c r="AZ112" i="6"/>
  <c r="AZ113" i="6"/>
  <c r="AZ114" i="6"/>
  <c r="AZ115" i="6"/>
  <c r="AZ116" i="6"/>
  <c r="AZ117" i="6"/>
  <c r="AZ118" i="6"/>
  <c r="AZ119" i="6"/>
  <c r="AZ120" i="6"/>
  <c r="AZ121" i="6"/>
  <c r="AZ122" i="6"/>
  <c r="AZ123" i="6"/>
  <c r="AZ124" i="6"/>
  <c r="BG12" i="6"/>
  <c r="BF11" i="6"/>
  <c r="BA66" i="1"/>
  <c r="BA19" i="1"/>
  <c r="BA18" i="1"/>
  <c r="BA15" i="1"/>
  <c r="BA14" i="1"/>
  <c r="BA8" i="1"/>
  <c r="BA74" i="1"/>
  <c r="BA72" i="1"/>
  <c r="BA61" i="1"/>
  <c r="BA57" i="1"/>
  <c r="BA54" i="1"/>
  <c r="BA63" i="1"/>
  <c r="BA50" i="1"/>
  <c r="BA43" i="1"/>
  <c r="BA42" i="1"/>
  <c r="BA36" i="1"/>
  <c r="BA21" i="1"/>
  <c r="BA24" i="1"/>
  <c r="BA25" i="1"/>
  <c r="BA28" i="1"/>
  <c r="BA53" i="1"/>
  <c r="BA35" i="1"/>
  <c r="BA52" i="1"/>
  <c r="BA34" i="1"/>
  <c r="BA49" i="1"/>
  <c r="BA32" i="1"/>
  <c r="BA48" i="1"/>
  <c r="BA29" i="1"/>
  <c r="BA30" i="1"/>
  <c r="BA31" i="1"/>
  <c r="BA38" i="1"/>
  <c r="BA39" i="1"/>
  <c r="BA37" i="1"/>
  <c r="BA20" i="1"/>
  <c r="BA67" i="1"/>
  <c r="BA17" i="1"/>
  <c r="BA55" i="1"/>
  <c r="BA16" i="1"/>
  <c r="BA51" i="1"/>
  <c r="BA9" i="1"/>
  <c r="BA40" i="1"/>
  <c r="BA41" i="1"/>
  <c r="BA44" i="1"/>
  <c r="BA45" i="1"/>
  <c r="BA70" i="1"/>
  <c r="BA33" i="1"/>
  <c r="BA68" i="1"/>
  <c r="BA59" i="1"/>
  <c r="BA73" i="1"/>
  <c r="BA47" i="1"/>
  <c r="BA69" i="1"/>
  <c r="BA46" i="1"/>
  <c r="BA60" i="1"/>
  <c r="BA62" i="1"/>
  <c r="BA64" i="1"/>
  <c r="BA58" i="1"/>
  <c r="BA27" i="1"/>
  <c r="BA56" i="1"/>
  <c r="BA26" i="1"/>
  <c r="BA71" i="1"/>
  <c r="BA23" i="1"/>
  <c r="BA65" i="1"/>
  <c r="BA22" i="1"/>
  <c r="AH15" i="6" l="1"/>
  <c r="AK20" i="2"/>
  <c r="AH13" i="2"/>
  <c r="AG13" i="2" s="1"/>
  <c r="AI17" i="6"/>
  <c r="AM95" i="6"/>
  <c r="AM30" i="1"/>
  <c r="BB74" i="1"/>
  <c r="BB53" i="1"/>
  <c r="BB37" i="1"/>
  <c r="BB23" i="1"/>
  <c r="BB73" i="1"/>
  <c r="BB52" i="1"/>
  <c r="BB66" i="1"/>
  <c r="BB22" i="1"/>
  <c r="BB71" i="1"/>
  <c r="BB51" i="1"/>
  <c r="BB58" i="1"/>
  <c r="BB21" i="1"/>
  <c r="BB69" i="1"/>
  <c r="BB50" i="1"/>
  <c r="BB36" i="1"/>
  <c r="BB20" i="1"/>
  <c r="BB72" i="1"/>
  <c r="BB49" i="1"/>
  <c r="BB35" i="1"/>
  <c r="BB19" i="1"/>
  <c r="BB68" i="1"/>
  <c r="BB48" i="1"/>
  <c r="BB34" i="1"/>
  <c r="BB18" i="1"/>
  <c r="BB67" i="1"/>
  <c r="BB47" i="1"/>
  <c r="BB33" i="1"/>
  <c r="BB17" i="1"/>
  <c r="BB65" i="1"/>
  <c r="BB46" i="1"/>
  <c r="BB32" i="1"/>
  <c r="BB16" i="1"/>
  <c r="BB63" i="1"/>
  <c r="BB45" i="1"/>
  <c r="BB31" i="1"/>
  <c r="BB15" i="1"/>
  <c r="BB61" i="1"/>
  <c r="BB44" i="1"/>
  <c r="BB30" i="1"/>
  <c r="BB14" i="1"/>
  <c r="BB59" i="1"/>
  <c r="BB43" i="1"/>
  <c r="BB29" i="1"/>
  <c r="BB70" i="1"/>
  <c r="BB57" i="1"/>
  <c r="BB42" i="1"/>
  <c r="BB28" i="1"/>
  <c r="BB62" i="1"/>
  <c r="BB64" i="1"/>
  <c r="BB41" i="1"/>
  <c r="BB27" i="1"/>
  <c r="BB54" i="1"/>
  <c r="BB60" i="1"/>
  <c r="BB40" i="1"/>
  <c r="BB26" i="1"/>
  <c r="BB8" i="1"/>
  <c r="BB56" i="1"/>
  <c r="BB39" i="1"/>
  <c r="BB25" i="1"/>
  <c r="BB9" i="1"/>
  <c r="BB55" i="1"/>
  <c r="BB38" i="1"/>
  <c r="BB24" i="1"/>
  <c r="AA105" i="6"/>
  <c r="AB106" i="6"/>
  <c r="AE37" i="1"/>
  <c r="AE102" i="6"/>
  <c r="AN30" i="1"/>
  <c r="AN95" i="6"/>
  <c r="AD40" i="1"/>
  <c r="AD105" i="6"/>
  <c r="AH35" i="1"/>
  <c r="AH100" i="6"/>
  <c r="AL31" i="1"/>
  <c r="AL96" i="6"/>
  <c r="AO28" i="1"/>
  <c r="AO93" i="6"/>
  <c r="AO26" i="6" s="1"/>
  <c r="AO26" i="2"/>
  <c r="AN25" i="2" s="1"/>
  <c r="AZ51" i="2"/>
  <c r="AZ19" i="2"/>
  <c r="AZ48" i="2"/>
  <c r="AZ16" i="2"/>
  <c r="AZ45" i="2"/>
  <c r="AZ13" i="2"/>
  <c r="AZ42" i="2"/>
  <c r="AZ71" i="2"/>
  <c r="AZ39" i="2"/>
  <c r="AZ68" i="2"/>
  <c r="AZ36" i="2"/>
  <c r="AZ65" i="2"/>
  <c r="AZ33" i="2"/>
  <c r="AZ62" i="2"/>
  <c r="AZ30" i="2"/>
  <c r="AZ43" i="2"/>
  <c r="AZ72" i="2"/>
  <c r="AZ40" i="2"/>
  <c r="AZ69" i="2"/>
  <c r="AZ37" i="2"/>
  <c r="AZ66" i="2"/>
  <c r="AZ34" i="2"/>
  <c r="AZ63" i="2"/>
  <c r="AZ31" i="2"/>
  <c r="AZ60" i="2"/>
  <c r="AZ28" i="2"/>
  <c r="AZ57" i="2"/>
  <c r="AZ25" i="2"/>
  <c r="AZ54" i="2"/>
  <c r="AZ22" i="2"/>
  <c r="AZ67" i="2"/>
  <c r="AZ35" i="2"/>
  <c r="AZ64" i="2"/>
  <c r="AZ32" i="2"/>
  <c r="AZ61" i="2"/>
  <c r="AZ29" i="2"/>
  <c r="AZ58" i="2"/>
  <c r="AZ26" i="2"/>
  <c r="AZ55" i="2"/>
  <c r="AZ23" i="2"/>
  <c r="AZ52" i="2"/>
  <c r="AZ20" i="2"/>
  <c r="AZ49" i="2"/>
  <c r="AZ17" i="2"/>
  <c r="AZ46" i="2"/>
  <c r="AZ14" i="2"/>
  <c r="AZ59" i="2"/>
  <c r="AZ27" i="2"/>
  <c r="AZ56" i="2"/>
  <c r="AZ24" i="2"/>
  <c r="AZ53" i="2"/>
  <c r="AZ21" i="2"/>
  <c r="AZ50" i="2"/>
  <c r="AZ18" i="2"/>
  <c r="AZ47" i="2"/>
  <c r="AZ15" i="2"/>
  <c r="AZ44" i="2"/>
  <c r="AZ73" i="2"/>
  <c r="AZ41" i="2"/>
  <c r="AZ70" i="2"/>
  <c r="AZ38" i="2"/>
  <c r="AI98" i="6"/>
  <c r="AI33" i="1"/>
  <c r="AH14" i="6"/>
  <c r="AH13" i="6"/>
  <c r="BA78" i="6"/>
  <c r="BB79" i="6"/>
  <c r="BA80" i="6"/>
  <c r="BA82" i="6"/>
  <c r="BA81" i="6"/>
  <c r="BA83" i="6"/>
  <c r="BA84" i="6"/>
  <c r="BA85" i="6"/>
  <c r="BA86" i="6"/>
  <c r="BA87" i="6"/>
  <c r="BA88" i="6"/>
  <c r="BA89" i="6"/>
  <c r="BA90" i="6"/>
  <c r="BA91" i="6"/>
  <c r="BA92" i="6"/>
  <c r="BA93" i="6"/>
  <c r="BA94" i="6"/>
  <c r="BA95" i="6"/>
  <c r="BA96" i="6"/>
  <c r="BA97" i="6"/>
  <c r="BA98" i="6"/>
  <c r="BA99" i="6"/>
  <c r="BA100" i="6"/>
  <c r="BA101" i="6"/>
  <c r="BA102" i="6"/>
  <c r="BA103" i="6"/>
  <c r="BA104" i="6"/>
  <c r="BA105" i="6"/>
  <c r="BA106" i="6"/>
  <c r="BA107" i="6"/>
  <c r="BA108" i="6"/>
  <c r="BA109" i="6"/>
  <c r="BA110" i="6"/>
  <c r="BA111" i="6"/>
  <c r="BA112" i="6"/>
  <c r="BA113" i="6"/>
  <c r="BA114" i="6"/>
  <c r="BA115" i="6"/>
  <c r="BA116" i="6"/>
  <c r="BA117" i="6"/>
  <c r="BA118" i="6"/>
  <c r="BA119" i="6"/>
  <c r="BA120" i="6"/>
  <c r="BA121" i="6"/>
  <c r="BA122" i="6"/>
  <c r="BA123" i="6"/>
  <c r="BA124" i="6"/>
  <c r="BA125" i="6"/>
  <c r="AG34" i="1"/>
  <c r="AG99" i="6"/>
  <c r="BB12" i="2"/>
  <c r="BA11" i="2"/>
  <c r="AJ97" i="6"/>
  <c r="AJ32" i="1"/>
  <c r="AK95" i="6"/>
  <c r="AK30" i="1"/>
  <c r="C69" i="6"/>
  <c r="F69" i="6"/>
  <c r="J69" i="6"/>
  <c r="E69" i="6"/>
  <c r="G69" i="6"/>
  <c r="K69" i="6"/>
  <c r="B69" i="6"/>
  <c r="H69" i="6"/>
  <c r="L69" i="6"/>
  <c r="A70" i="6"/>
  <c r="D69" i="6"/>
  <c r="I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BF63" i="6"/>
  <c r="BF15" i="6"/>
  <c r="BF59" i="6"/>
  <c r="BF40" i="6"/>
  <c r="BF45" i="6"/>
  <c r="BF34" i="6"/>
  <c r="BF47" i="6"/>
  <c r="BF41" i="6"/>
  <c r="BF35" i="6"/>
  <c r="BF24" i="6"/>
  <c r="BF29" i="6"/>
  <c r="BF19" i="6"/>
  <c r="BF68" i="6"/>
  <c r="BF62" i="6"/>
  <c r="BF72" i="6"/>
  <c r="BF20" i="6"/>
  <c r="BF66" i="6"/>
  <c r="BF36" i="6"/>
  <c r="BF30" i="6"/>
  <c r="BF56" i="6"/>
  <c r="BF61" i="6"/>
  <c r="BF50" i="6"/>
  <c r="BF58" i="6"/>
  <c r="BF69" i="6"/>
  <c r="BF64" i="6"/>
  <c r="BF46" i="6"/>
  <c r="BF52" i="6"/>
  <c r="BF39" i="6"/>
  <c r="BF28" i="6"/>
  <c r="BF33" i="6"/>
  <c r="BF22" i="6"/>
  <c r="BF13" i="6"/>
  <c r="BF73" i="6"/>
  <c r="BF17" i="6"/>
  <c r="BF27" i="6"/>
  <c r="BF25" i="6"/>
  <c r="BF31" i="6"/>
  <c r="BF23" i="6"/>
  <c r="BF14" i="6"/>
  <c r="BF70" i="6"/>
  <c r="BF18" i="6"/>
  <c r="BF67" i="6"/>
  <c r="BF26" i="6"/>
  <c r="BF37" i="6"/>
  <c r="BF32" i="6"/>
  <c r="BF43" i="6"/>
  <c r="BF57" i="6"/>
  <c r="BF71" i="6"/>
  <c r="BF60" i="6"/>
  <c r="BF65" i="6"/>
  <c r="BF54" i="6"/>
  <c r="BF51" i="6"/>
  <c r="BF42" i="6"/>
  <c r="BF53" i="6"/>
  <c r="BF48" i="6"/>
  <c r="BF16" i="6"/>
  <c r="BF21" i="6"/>
  <c r="BF55" i="6"/>
  <c r="BF44" i="6"/>
  <c r="BF49" i="6"/>
  <c r="BF38" i="6"/>
  <c r="AC103" i="6"/>
  <c r="AC38" i="1"/>
  <c r="BA126" i="6"/>
  <c r="AF100" i="6"/>
  <c r="AF35" i="1"/>
  <c r="G66" i="1"/>
  <c r="D66" i="1"/>
  <c r="H66" i="1"/>
  <c r="C66" i="1"/>
  <c r="I66" i="1"/>
  <c r="E66" i="1"/>
  <c r="B66" i="1"/>
  <c r="F66" i="1"/>
  <c r="A67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J17" i="2"/>
  <c r="AN24" i="2"/>
  <c r="BH12" i="6"/>
  <c r="BG11" i="6"/>
  <c r="AL127" i="6"/>
  <c r="V127" i="6"/>
  <c r="F127" i="6"/>
  <c r="AG127" i="6"/>
  <c r="AM127" i="6"/>
  <c r="K127" i="6"/>
  <c r="AN127" i="6"/>
  <c r="X127" i="6"/>
  <c r="H127" i="6"/>
  <c r="AK127" i="6"/>
  <c r="E127" i="6"/>
  <c r="S127" i="6"/>
  <c r="AH127" i="6"/>
  <c r="R127" i="6"/>
  <c r="B127" i="6"/>
  <c r="Y127" i="6"/>
  <c r="W127" i="6"/>
  <c r="A128" i="6"/>
  <c r="AJ127" i="6"/>
  <c r="T127" i="6"/>
  <c r="D127" i="6"/>
  <c r="AC127" i="6"/>
  <c r="AE127" i="6"/>
  <c r="C127" i="6"/>
  <c r="AP127" i="6"/>
  <c r="J127" i="6"/>
  <c r="I127" i="6"/>
  <c r="AR127" i="6"/>
  <c r="L127" i="6"/>
  <c r="M127" i="6"/>
  <c r="Z127" i="6"/>
  <c r="AO127" i="6"/>
  <c r="AA127" i="6"/>
  <c r="AB127" i="6"/>
  <c r="AS127" i="6"/>
  <c r="AI127" i="6"/>
  <c r="AT127" i="6"/>
  <c r="N127" i="6"/>
  <c r="Q127" i="6"/>
  <c r="AV127" i="6"/>
  <c r="P127" i="6"/>
  <c r="U127" i="6"/>
  <c r="AU127" i="6"/>
  <c r="O127" i="6"/>
  <c r="G127" i="6"/>
  <c r="AF127" i="6"/>
  <c r="AD127" i="6"/>
  <c r="AQ127" i="6"/>
  <c r="AY127" i="6"/>
  <c r="AZ127" i="6"/>
  <c r="AX127" i="6"/>
  <c r="BB127" i="6"/>
  <c r="BA127" i="6"/>
  <c r="AW127" i="6"/>
  <c r="B63" i="2"/>
  <c r="F63" i="2"/>
  <c r="D63" i="2"/>
  <c r="G63" i="2"/>
  <c r="C63" i="2"/>
  <c r="H63" i="2"/>
  <c r="A64" i="2"/>
  <c r="E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BD13" i="1"/>
  <c r="BC12" i="1"/>
  <c r="AJ19" i="6"/>
  <c r="AK19" i="2"/>
  <c r="AN24" i="6"/>
  <c r="AJ19" i="2" l="1"/>
  <c r="AG14" i="6"/>
  <c r="AN25" i="6"/>
  <c r="AM24" i="6" s="1"/>
  <c r="BE13" i="1"/>
  <c r="BD12" i="1"/>
  <c r="D64" i="2"/>
  <c r="F64" i="2"/>
  <c r="B64" i="2"/>
  <c r="G64" i="2"/>
  <c r="C64" i="2"/>
  <c r="A65" i="2"/>
  <c r="E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M23" i="6"/>
  <c r="G67" i="1"/>
  <c r="D67" i="1"/>
  <c r="C67" i="1"/>
  <c r="H67" i="1"/>
  <c r="A68" i="1"/>
  <c r="I67" i="1"/>
  <c r="E67" i="1"/>
  <c r="F67" i="1"/>
  <c r="B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F101" i="6"/>
  <c r="AF36" i="1"/>
  <c r="AG13" i="6"/>
  <c r="AI99" i="6"/>
  <c r="AI34" i="1"/>
  <c r="AM24" i="2"/>
  <c r="AM23" i="2"/>
  <c r="AK31" i="1"/>
  <c r="AK96" i="6"/>
  <c r="BA56" i="2"/>
  <c r="BA24" i="2"/>
  <c r="BA51" i="2"/>
  <c r="BA19" i="2"/>
  <c r="BA50" i="2"/>
  <c r="BA18" i="2"/>
  <c r="BA45" i="2"/>
  <c r="BA13" i="2"/>
  <c r="BA44" i="2"/>
  <c r="BA71" i="2"/>
  <c r="BA39" i="2"/>
  <c r="BA70" i="2"/>
  <c r="BA38" i="2"/>
  <c r="BA65" i="2"/>
  <c r="BA33" i="2"/>
  <c r="BA48" i="2"/>
  <c r="BA16" i="2"/>
  <c r="BA43" i="2"/>
  <c r="BA73" i="2"/>
  <c r="BA42" i="2"/>
  <c r="BA69" i="2"/>
  <c r="BA37" i="2"/>
  <c r="BA68" i="2"/>
  <c r="BA36" i="2"/>
  <c r="BA63" i="2"/>
  <c r="BA31" i="2"/>
  <c r="BA62" i="2"/>
  <c r="BA30" i="2"/>
  <c r="BA57" i="2"/>
  <c r="BA25" i="2"/>
  <c r="BA72" i="2"/>
  <c r="BA40" i="2"/>
  <c r="BA67" i="2"/>
  <c r="BA35" i="2"/>
  <c r="BA66" i="2"/>
  <c r="BA34" i="2"/>
  <c r="BA61" i="2"/>
  <c r="BA29" i="2"/>
  <c r="BA60" i="2"/>
  <c r="BA28" i="2"/>
  <c r="BA55" i="2"/>
  <c r="BA23" i="2"/>
  <c r="BA54" i="2"/>
  <c r="BA22" i="2"/>
  <c r="BA49" i="2"/>
  <c r="BA17" i="2"/>
  <c r="BA64" i="2"/>
  <c r="BA32" i="2"/>
  <c r="BA59" i="2"/>
  <c r="BA27" i="2"/>
  <c r="BA58" i="2"/>
  <c r="BA26" i="2"/>
  <c r="BA53" i="2"/>
  <c r="BA21" i="2"/>
  <c r="BA52" i="2"/>
  <c r="BA20" i="2"/>
  <c r="BA47" i="2"/>
  <c r="BA15" i="2"/>
  <c r="BA46" i="2"/>
  <c r="BA14" i="2"/>
  <c r="BA41" i="2"/>
  <c r="AH16" i="6"/>
  <c r="BG38" i="6"/>
  <c r="BG70" i="6"/>
  <c r="BG34" i="6"/>
  <c r="BG57" i="6"/>
  <c r="BG20" i="6"/>
  <c r="BG51" i="6"/>
  <c r="BG21" i="6"/>
  <c r="BG62" i="6"/>
  <c r="BG49" i="6"/>
  <c r="BG56" i="6"/>
  <c r="BG43" i="6"/>
  <c r="BG26" i="6"/>
  <c r="BG19" i="6"/>
  <c r="BG71" i="6"/>
  <c r="BG14" i="6"/>
  <c r="BG31" i="6"/>
  <c r="BG37" i="6"/>
  <c r="BG67" i="6"/>
  <c r="BG22" i="6"/>
  <c r="BG53" i="6"/>
  <c r="BG46" i="6"/>
  <c r="BG33" i="6"/>
  <c r="BG40" i="6"/>
  <c r="BG27" i="6"/>
  <c r="BG73" i="6"/>
  <c r="BG61" i="6"/>
  <c r="BG68" i="6"/>
  <c r="BG55" i="6"/>
  <c r="BG63" i="6"/>
  <c r="BG69" i="6"/>
  <c r="BG48" i="6"/>
  <c r="BG54" i="6"/>
  <c r="BG66" i="6"/>
  <c r="BG18" i="6"/>
  <c r="BG30" i="6"/>
  <c r="BG15" i="6"/>
  <c r="BG24" i="6"/>
  <c r="BG17" i="6"/>
  <c r="BG58" i="6"/>
  <c r="BG45" i="6"/>
  <c r="BG52" i="6"/>
  <c r="BG39" i="6"/>
  <c r="BG44" i="6"/>
  <c r="BG50" i="6"/>
  <c r="BG16" i="6"/>
  <c r="BG47" i="6"/>
  <c r="BG32" i="6"/>
  <c r="BG64" i="6"/>
  <c r="BG28" i="6"/>
  <c r="BG65" i="6"/>
  <c r="BG72" i="6"/>
  <c r="BG59" i="6"/>
  <c r="BG42" i="6"/>
  <c r="BG29" i="6"/>
  <c r="BG36" i="6"/>
  <c r="BG23" i="6"/>
  <c r="BG13" i="6"/>
  <c r="BG35" i="6"/>
  <c r="BG41" i="6"/>
  <c r="BG60" i="6"/>
  <c r="BG25" i="6"/>
  <c r="AI16" i="2"/>
  <c r="AC39" i="1"/>
  <c r="AC104" i="6"/>
  <c r="B70" i="6"/>
  <c r="C70" i="6"/>
  <c r="I70" i="6"/>
  <c r="M70" i="6"/>
  <c r="A71" i="6"/>
  <c r="F70" i="6"/>
  <c r="J70" i="6"/>
  <c r="D70" i="6"/>
  <c r="G70" i="6"/>
  <c r="K70" i="6"/>
  <c r="E70" i="6"/>
  <c r="H70" i="6"/>
  <c r="L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J98" i="6"/>
  <c r="AJ33" i="1"/>
  <c r="BB11" i="2"/>
  <c r="BC12" i="2"/>
  <c r="AG35" i="1"/>
  <c r="AG100" i="6"/>
  <c r="BC79" i="6"/>
  <c r="BB78" i="6"/>
  <c r="BB82" i="6"/>
  <c r="BB80" i="6"/>
  <c r="BB81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AO29" i="1"/>
  <c r="AO94" i="6"/>
  <c r="AO27" i="6" s="1"/>
  <c r="AO27" i="2"/>
  <c r="AL32" i="1"/>
  <c r="AL97" i="6"/>
  <c r="AH36" i="1"/>
  <c r="AH101" i="6"/>
  <c r="AD41" i="1"/>
  <c r="AD106" i="6"/>
  <c r="AN31" i="1"/>
  <c r="AN96" i="6"/>
  <c r="AE38" i="1"/>
  <c r="AE103" i="6"/>
  <c r="AM96" i="6"/>
  <c r="AM31" i="1"/>
  <c r="AI18" i="6"/>
  <c r="BC72" i="1"/>
  <c r="BC61" i="1"/>
  <c r="BC35" i="1"/>
  <c r="BC17" i="1"/>
  <c r="BC70" i="1"/>
  <c r="BC55" i="1"/>
  <c r="BC34" i="1"/>
  <c r="BC16" i="1"/>
  <c r="BC68" i="1"/>
  <c r="BC51" i="1"/>
  <c r="BC65" i="1"/>
  <c r="BC31" i="1"/>
  <c r="BC71" i="1"/>
  <c r="BC50" i="1"/>
  <c r="BC52" i="1"/>
  <c r="BC30" i="1"/>
  <c r="BC66" i="1"/>
  <c r="BC47" i="1"/>
  <c r="BC49" i="1"/>
  <c r="BC27" i="1"/>
  <c r="BC64" i="1"/>
  <c r="BC46" i="1"/>
  <c r="BC44" i="1"/>
  <c r="BC26" i="1"/>
  <c r="BC62" i="1"/>
  <c r="BC43" i="1"/>
  <c r="BC41" i="1"/>
  <c r="BC23" i="1"/>
  <c r="BC60" i="1"/>
  <c r="BC42" i="1"/>
  <c r="BC36" i="1"/>
  <c r="BC22" i="1"/>
  <c r="BC58" i="1"/>
  <c r="BC39" i="1"/>
  <c r="BC33" i="1"/>
  <c r="BC19" i="1"/>
  <c r="BC56" i="1"/>
  <c r="BC38" i="1"/>
  <c r="BC32" i="1"/>
  <c r="BC18" i="1"/>
  <c r="BC69" i="1"/>
  <c r="BC57" i="1"/>
  <c r="BC29" i="1"/>
  <c r="BC15" i="1"/>
  <c r="BC67" i="1"/>
  <c r="BC53" i="1"/>
  <c r="BC28" i="1"/>
  <c r="BC14" i="1"/>
  <c r="BC63" i="1"/>
  <c r="BC48" i="1"/>
  <c r="BC25" i="1"/>
  <c r="BC9" i="1"/>
  <c r="BC59" i="1"/>
  <c r="BC45" i="1"/>
  <c r="BC24" i="1"/>
  <c r="BC8" i="1"/>
  <c r="BC54" i="1"/>
  <c r="BC40" i="1"/>
  <c r="BC21" i="1"/>
  <c r="BC74" i="1"/>
  <c r="BC73" i="1"/>
  <c r="BC37" i="1"/>
  <c r="BC20" i="1"/>
  <c r="AL128" i="6"/>
  <c r="V128" i="6"/>
  <c r="F128" i="6"/>
  <c r="AC128" i="6"/>
  <c r="AQ128" i="6"/>
  <c r="K128" i="6"/>
  <c r="AN128" i="6"/>
  <c r="X128" i="6"/>
  <c r="H128" i="6"/>
  <c r="AG128" i="6"/>
  <c r="AU128" i="6"/>
  <c r="O128" i="6"/>
  <c r="AH128" i="6"/>
  <c r="R128" i="6"/>
  <c r="B128" i="6"/>
  <c r="U128" i="6"/>
  <c r="AI128" i="6"/>
  <c r="C128" i="6"/>
  <c r="AJ128" i="6"/>
  <c r="T128" i="6"/>
  <c r="D128" i="6"/>
  <c r="Y128" i="6"/>
  <c r="AM128" i="6"/>
  <c r="G128" i="6"/>
  <c r="Z128" i="6"/>
  <c r="AK128" i="6"/>
  <c r="S128" i="6"/>
  <c r="AB128" i="6"/>
  <c r="AO128" i="6"/>
  <c r="W128" i="6"/>
  <c r="AP128" i="6"/>
  <c r="J128" i="6"/>
  <c r="E128" i="6"/>
  <c r="AR128" i="6"/>
  <c r="L128" i="6"/>
  <c r="I128" i="6"/>
  <c r="AD128" i="6"/>
  <c r="AS128" i="6"/>
  <c r="AA128" i="6"/>
  <c r="AF128" i="6"/>
  <c r="AW128" i="6"/>
  <c r="AE128" i="6"/>
  <c r="AV128" i="6"/>
  <c r="AT128" i="6"/>
  <c r="P128" i="6"/>
  <c r="N128" i="6"/>
  <c r="Q128" i="6"/>
  <c r="M128" i="6"/>
  <c r="A129" i="6"/>
  <c r="AX128" i="6"/>
  <c r="AZ128" i="6"/>
  <c r="BB128" i="6"/>
  <c r="BC128" i="6"/>
  <c r="BA128" i="6"/>
  <c r="AY128" i="6"/>
  <c r="BH11" i="6"/>
  <c r="BI12" i="6"/>
  <c r="AJ18" i="2"/>
  <c r="AI18" i="2" s="1"/>
  <c r="AF13" i="6" l="1"/>
  <c r="AL129" i="6"/>
  <c r="V129" i="6"/>
  <c r="F129" i="6"/>
  <c r="AE129" i="6"/>
  <c r="AS129" i="6"/>
  <c r="M129" i="6"/>
  <c r="AN129" i="6"/>
  <c r="X129" i="6"/>
  <c r="AX129" i="6"/>
  <c r="AH129" i="6"/>
  <c r="R129" i="6"/>
  <c r="B129" i="6"/>
  <c r="W129" i="6"/>
  <c r="AK129" i="6"/>
  <c r="E129" i="6"/>
  <c r="AJ129" i="6"/>
  <c r="T129" i="6"/>
  <c r="AP129" i="6"/>
  <c r="J129" i="6"/>
  <c r="G129" i="6"/>
  <c r="AR129" i="6"/>
  <c r="L129" i="6"/>
  <c r="AI129" i="6"/>
  <c r="C129" i="6"/>
  <c r="Y129" i="6"/>
  <c r="Z129" i="6"/>
  <c r="AM129" i="6"/>
  <c r="U129" i="6"/>
  <c r="AB129" i="6"/>
  <c r="D129" i="6"/>
  <c r="S129" i="6"/>
  <c r="AO129" i="6"/>
  <c r="I129" i="6"/>
  <c r="AT129" i="6"/>
  <c r="N129" i="6"/>
  <c r="O129" i="6"/>
  <c r="AV129" i="6"/>
  <c r="P129" i="6"/>
  <c r="AQ129" i="6"/>
  <c r="K129" i="6"/>
  <c r="AG129" i="6"/>
  <c r="A130" i="6"/>
  <c r="AD129" i="6"/>
  <c r="H129" i="6"/>
  <c r="AU129" i="6"/>
  <c r="AA129" i="6"/>
  <c r="AC129" i="6"/>
  <c r="AW129" i="6"/>
  <c r="AF129" i="6"/>
  <c r="Q129" i="6"/>
  <c r="BB129" i="6"/>
  <c r="BC129" i="6"/>
  <c r="BA129" i="6"/>
  <c r="AZ129" i="6"/>
  <c r="AY129" i="6"/>
  <c r="AG101" i="6"/>
  <c r="AG36" i="1"/>
  <c r="D71" i="6"/>
  <c r="H71" i="6"/>
  <c r="L71" i="6"/>
  <c r="E71" i="6"/>
  <c r="C71" i="6"/>
  <c r="I71" i="6"/>
  <c r="M71" i="6"/>
  <c r="B71" i="6"/>
  <c r="F71" i="6"/>
  <c r="J71" i="6"/>
  <c r="A72" i="6"/>
  <c r="G71" i="6"/>
  <c r="K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K97" i="6"/>
  <c r="AK32" i="1"/>
  <c r="AF37" i="1"/>
  <c r="AF102" i="6"/>
  <c r="AL23" i="6"/>
  <c r="AL22" i="6"/>
  <c r="BF13" i="1"/>
  <c r="BE12" i="1"/>
  <c r="BI11" i="6"/>
  <c r="BJ12" i="6"/>
  <c r="BJ11" i="6" s="1"/>
  <c r="BC78" i="6"/>
  <c r="BD79" i="6"/>
  <c r="BC81" i="6"/>
  <c r="BC82" i="6"/>
  <c r="BC80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AJ99" i="6"/>
  <c r="AJ34" i="1"/>
  <c r="AN26" i="2"/>
  <c r="B65" i="2"/>
  <c r="F65" i="2"/>
  <c r="D65" i="2"/>
  <c r="G65" i="2"/>
  <c r="E65" i="2"/>
  <c r="H65" i="2"/>
  <c r="A66" i="2"/>
  <c r="C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BH35" i="6"/>
  <c r="BH24" i="6"/>
  <c r="BH29" i="6"/>
  <c r="BH19" i="6"/>
  <c r="BH68" i="6"/>
  <c r="BH15" i="6"/>
  <c r="BH62" i="6"/>
  <c r="BH27" i="6"/>
  <c r="BH17" i="6"/>
  <c r="BH73" i="6"/>
  <c r="BH13" i="6"/>
  <c r="BH71" i="6"/>
  <c r="BH60" i="6"/>
  <c r="BH65" i="6"/>
  <c r="BH54" i="6"/>
  <c r="BH72" i="6"/>
  <c r="BH20" i="6"/>
  <c r="BH66" i="6"/>
  <c r="BH63" i="6"/>
  <c r="BH52" i="6"/>
  <c r="BH57" i="6"/>
  <c r="BH46" i="6"/>
  <c r="BH64" i="6"/>
  <c r="BH69" i="6"/>
  <c r="BH58" i="6"/>
  <c r="BH55" i="6"/>
  <c r="BH44" i="6"/>
  <c r="BH49" i="6"/>
  <c r="BH38" i="6"/>
  <c r="BH67" i="6"/>
  <c r="BH56" i="6"/>
  <c r="BH61" i="6"/>
  <c r="BH50" i="6"/>
  <c r="BH47" i="6"/>
  <c r="BH36" i="6"/>
  <c r="BH41" i="6"/>
  <c r="BH30" i="6"/>
  <c r="BH59" i="6"/>
  <c r="BH48" i="6"/>
  <c r="BH53" i="6"/>
  <c r="BH42" i="6"/>
  <c r="BH39" i="6"/>
  <c r="BH28" i="6"/>
  <c r="BH33" i="6"/>
  <c r="BH22" i="6"/>
  <c r="BH51" i="6"/>
  <c r="BH40" i="6"/>
  <c r="BH45" i="6"/>
  <c r="BH34" i="6"/>
  <c r="BH31" i="6"/>
  <c r="BH21" i="6"/>
  <c r="BH25" i="6"/>
  <c r="BH16" i="6"/>
  <c r="BH43" i="6"/>
  <c r="BH32" i="6"/>
  <c r="BH37" i="6"/>
  <c r="BH26" i="6"/>
  <c r="BH23" i="6"/>
  <c r="BH14" i="6"/>
  <c r="BH70" i="6"/>
  <c r="BH18" i="6"/>
  <c r="AM97" i="6"/>
  <c r="AM32" i="1"/>
  <c r="BC11" i="2"/>
  <c r="BD12" i="2"/>
  <c r="AH15" i="2"/>
  <c r="AG15" i="6"/>
  <c r="AL23" i="2"/>
  <c r="AL22" i="2"/>
  <c r="AE39" i="1"/>
  <c r="AE104" i="6"/>
  <c r="AN32" i="1"/>
  <c r="AN97" i="6"/>
  <c r="AD42" i="1"/>
  <c r="AD107" i="6"/>
  <c r="AH37" i="1"/>
  <c r="AH102" i="6"/>
  <c r="AL33" i="1"/>
  <c r="AL98" i="6"/>
  <c r="AO30" i="1"/>
  <c r="AO95" i="6"/>
  <c r="AO28" i="6" s="1"/>
  <c r="AO28" i="2"/>
  <c r="BB57" i="2"/>
  <c r="BB25" i="2"/>
  <c r="BB54" i="2"/>
  <c r="BB22" i="2"/>
  <c r="BB51" i="2"/>
  <c r="BB19" i="2"/>
  <c r="BB48" i="2"/>
  <c r="BB16" i="2"/>
  <c r="BB45" i="2"/>
  <c r="BB13" i="2"/>
  <c r="BB42" i="2"/>
  <c r="BB71" i="2"/>
  <c r="BB39" i="2"/>
  <c r="BB68" i="2"/>
  <c r="BB36" i="2"/>
  <c r="BB49" i="2"/>
  <c r="BB17" i="2"/>
  <c r="BB46" i="2"/>
  <c r="BB14" i="2"/>
  <c r="BB43" i="2"/>
  <c r="BB72" i="2"/>
  <c r="BB40" i="2"/>
  <c r="BB69" i="2"/>
  <c r="BB37" i="2"/>
  <c r="BB66" i="2"/>
  <c r="BB34" i="2"/>
  <c r="BB63" i="2"/>
  <c r="BB31" i="2"/>
  <c r="BB60" i="2"/>
  <c r="BB28" i="2"/>
  <c r="BB73" i="2"/>
  <c r="BB41" i="2"/>
  <c r="BB70" i="2"/>
  <c r="BB38" i="2"/>
  <c r="BB67" i="2"/>
  <c r="BB35" i="2"/>
  <c r="BB64" i="2"/>
  <c r="BB32" i="2"/>
  <c r="BB61" i="2"/>
  <c r="BB29" i="2"/>
  <c r="BB58" i="2"/>
  <c r="BB26" i="2"/>
  <c r="BB55" i="2"/>
  <c r="BB23" i="2"/>
  <c r="BB30" i="2"/>
  <c r="BB24" i="2"/>
  <c r="BB18" i="2"/>
  <c r="BB44" i="2"/>
  <c r="BB65" i="2"/>
  <c r="BB59" i="2"/>
  <c r="BB53" i="2"/>
  <c r="BB47" i="2"/>
  <c r="BB20" i="2"/>
  <c r="BB33" i="2"/>
  <c r="BB27" i="2"/>
  <c r="BB21" i="2"/>
  <c r="BB15" i="2"/>
  <c r="BB62" i="2"/>
  <c r="BB56" i="2"/>
  <c r="BB50" i="2"/>
  <c r="BB52" i="2"/>
  <c r="AC40" i="1"/>
  <c r="AC105" i="6"/>
  <c r="AI17" i="2"/>
  <c r="AH17" i="2" s="1"/>
  <c r="AH17" i="6"/>
  <c r="AI35" i="1"/>
  <c r="AI100" i="6"/>
  <c r="H68" i="1"/>
  <c r="A69" i="1"/>
  <c r="I68" i="1"/>
  <c r="E68" i="1"/>
  <c r="F68" i="1"/>
  <c r="C68" i="1"/>
  <c r="G68" i="1"/>
  <c r="D68" i="1"/>
  <c r="B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BD16" i="1"/>
  <c r="BD19" i="1"/>
  <c r="BD46" i="1"/>
  <c r="BD18" i="1"/>
  <c r="BD45" i="1"/>
  <c r="BD17" i="1"/>
  <c r="BD59" i="1"/>
  <c r="BD57" i="1"/>
  <c r="BD9" i="1"/>
  <c r="BD38" i="1"/>
  <c r="BD74" i="1"/>
  <c r="BD37" i="1"/>
  <c r="BD44" i="1"/>
  <c r="BD43" i="1"/>
  <c r="BD63" i="1"/>
  <c r="BD34" i="1"/>
  <c r="BD61" i="1"/>
  <c r="BD33" i="1"/>
  <c r="BD32" i="1"/>
  <c r="BD31" i="1"/>
  <c r="BD55" i="1"/>
  <c r="BD26" i="1"/>
  <c r="BD53" i="1"/>
  <c r="BD25" i="1"/>
  <c r="BD40" i="1"/>
  <c r="BD8" i="1"/>
  <c r="BD39" i="1"/>
  <c r="BD52" i="1"/>
  <c r="BD51" i="1"/>
  <c r="BD69" i="1"/>
  <c r="BD56" i="1"/>
  <c r="BD70" i="1"/>
  <c r="BD54" i="1"/>
  <c r="BD67" i="1"/>
  <c r="BD36" i="1"/>
  <c r="BD65" i="1"/>
  <c r="BD35" i="1"/>
  <c r="BD68" i="1"/>
  <c r="BD64" i="1"/>
  <c r="BD72" i="1"/>
  <c r="BD30" i="1"/>
  <c r="BD66" i="1"/>
  <c r="BD29" i="1"/>
  <c r="BD62" i="1"/>
  <c r="BD28" i="1"/>
  <c r="BD58" i="1"/>
  <c r="BD27" i="1"/>
  <c r="BD24" i="1"/>
  <c r="BD23" i="1"/>
  <c r="BD50" i="1"/>
  <c r="BD22" i="1"/>
  <c r="BD49" i="1"/>
  <c r="BD21" i="1"/>
  <c r="BD48" i="1"/>
  <c r="BD20" i="1"/>
  <c r="BD47" i="1"/>
  <c r="BD73" i="1"/>
  <c r="BD71" i="1"/>
  <c r="BD15" i="1"/>
  <c r="BD42" i="1"/>
  <c r="BD14" i="1"/>
  <c r="BD41" i="1"/>
  <c r="BD60" i="1"/>
  <c r="AN26" i="6"/>
  <c r="G69" i="1" l="1"/>
  <c r="D69" i="1"/>
  <c r="H69" i="1"/>
  <c r="B69" i="1"/>
  <c r="I69" i="1"/>
  <c r="E69" i="1"/>
  <c r="C69" i="1"/>
  <c r="F69" i="1"/>
  <c r="A70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I36" i="1"/>
  <c r="AI101" i="6"/>
  <c r="AO31" i="1"/>
  <c r="AO96" i="6"/>
  <c r="AO29" i="6" s="1"/>
  <c r="AN28" i="6" s="1"/>
  <c r="AO29" i="2"/>
  <c r="AL34" i="1"/>
  <c r="AL99" i="6"/>
  <c r="AH38" i="1"/>
  <c r="AH103" i="6"/>
  <c r="AD108" i="6"/>
  <c r="AN33" i="1"/>
  <c r="AN98" i="6"/>
  <c r="AE40" i="1"/>
  <c r="AE105" i="6"/>
  <c r="AK22" i="2"/>
  <c r="AK21" i="2"/>
  <c r="AG14" i="2"/>
  <c r="AM25" i="2"/>
  <c r="BJ47" i="6"/>
  <c r="BJ68" i="6"/>
  <c r="BJ36" i="6"/>
  <c r="BJ15" i="6"/>
  <c r="BJ41" i="6"/>
  <c r="BJ62" i="6"/>
  <c r="BJ30" i="6"/>
  <c r="BJ43" i="6"/>
  <c r="BJ64" i="6"/>
  <c r="BJ32" i="6"/>
  <c r="BJ69" i="6"/>
  <c r="BJ37" i="6"/>
  <c r="BJ58" i="6"/>
  <c r="BJ26" i="6"/>
  <c r="BJ71" i="6"/>
  <c r="BJ39" i="6"/>
  <c r="BJ60" i="6"/>
  <c r="BJ28" i="6"/>
  <c r="BJ65" i="6"/>
  <c r="BJ33" i="6"/>
  <c r="BJ54" i="6"/>
  <c r="BJ22" i="6"/>
  <c r="BJ67" i="6"/>
  <c r="BJ35" i="6"/>
  <c r="BJ56" i="6"/>
  <c r="BJ24" i="6"/>
  <c r="BJ61" i="6"/>
  <c r="BJ29" i="6"/>
  <c r="BJ50" i="6"/>
  <c r="BJ19" i="6"/>
  <c r="BJ63" i="6"/>
  <c r="BJ31" i="6"/>
  <c r="BJ52" i="6"/>
  <c r="BJ21" i="6"/>
  <c r="BJ57" i="6"/>
  <c r="BJ25" i="6"/>
  <c r="BJ46" i="6"/>
  <c r="BJ16" i="6"/>
  <c r="BJ59" i="6"/>
  <c r="BJ27" i="6"/>
  <c r="BJ48" i="6"/>
  <c r="BJ17" i="6"/>
  <c r="BJ53" i="6"/>
  <c r="BJ73" i="6"/>
  <c r="BJ42" i="6"/>
  <c r="BJ13" i="6"/>
  <c r="BJ55" i="6"/>
  <c r="BJ23" i="6"/>
  <c r="BJ44" i="6"/>
  <c r="BJ14" i="6"/>
  <c r="BJ49" i="6"/>
  <c r="BJ70" i="6"/>
  <c r="BJ38" i="6"/>
  <c r="BJ18" i="6"/>
  <c r="BJ51" i="6"/>
  <c r="BJ72" i="6"/>
  <c r="BJ40" i="6"/>
  <c r="BJ20" i="6"/>
  <c r="BJ45" i="6"/>
  <c r="BJ66" i="6"/>
  <c r="BJ34" i="6"/>
  <c r="AK22" i="6"/>
  <c r="AK21" i="6"/>
  <c r="AF38" i="1"/>
  <c r="AF103" i="6"/>
  <c r="C72" i="6"/>
  <c r="F72" i="6"/>
  <c r="J72" i="6"/>
  <c r="D72" i="6"/>
  <c r="G72" i="6"/>
  <c r="K72" i="6"/>
  <c r="E72" i="6"/>
  <c r="M72" i="6"/>
  <c r="H72" i="6"/>
  <c r="A73" i="6"/>
  <c r="I72" i="6"/>
  <c r="B72" i="6"/>
  <c r="L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G102" i="6"/>
  <c r="AG37" i="1"/>
  <c r="AH16" i="2"/>
  <c r="AG16" i="2" s="1"/>
  <c r="AM98" i="6"/>
  <c r="AM33" i="1"/>
  <c r="D66" i="2"/>
  <c r="G66" i="2"/>
  <c r="C66" i="2"/>
  <c r="H66" i="2"/>
  <c r="A67" i="2"/>
  <c r="E66" i="2"/>
  <c r="B66" i="2"/>
  <c r="F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BD78" i="6"/>
  <c r="BE79" i="6"/>
  <c r="BD81" i="6"/>
  <c r="BD80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I52" i="6"/>
  <c r="BI71" i="6"/>
  <c r="BI39" i="6"/>
  <c r="BI14" i="6"/>
  <c r="BI46" i="6"/>
  <c r="BI65" i="6"/>
  <c r="BI33" i="6"/>
  <c r="BI48" i="6"/>
  <c r="BI67" i="6"/>
  <c r="BI35" i="6"/>
  <c r="BI73" i="6"/>
  <c r="BI42" i="6"/>
  <c r="BI61" i="6"/>
  <c r="BI29" i="6"/>
  <c r="BI44" i="6"/>
  <c r="BI63" i="6"/>
  <c r="BI31" i="6"/>
  <c r="BI70" i="6"/>
  <c r="BI38" i="6"/>
  <c r="BI57" i="6"/>
  <c r="BI25" i="6"/>
  <c r="BI72" i="6"/>
  <c r="BI40" i="6"/>
  <c r="BI59" i="6"/>
  <c r="BI27" i="6"/>
  <c r="BI66" i="6"/>
  <c r="BI34" i="6"/>
  <c r="BI53" i="6"/>
  <c r="BI20" i="6"/>
  <c r="BI68" i="6"/>
  <c r="BI36" i="6"/>
  <c r="BI55" i="6"/>
  <c r="BI23" i="6"/>
  <c r="BI62" i="6"/>
  <c r="BI30" i="6"/>
  <c r="BI49" i="6"/>
  <c r="BI15" i="6"/>
  <c r="BI64" i="6"/>
  <c r="BI32" i="6"/>
  <c r="BI51" i="6"/>
  <c r="BI18" i="6"/>
  <c r="BI58" i="6"/>
  <c r="BI26" i="6"/>
  <c r="BI45" i="6"/>
  <c r="BI19" i="6"/>
  <c r="BI60" i="6"/>
  <c r="BI28" i="6"/>
  <c r="BI47" i="6"/>
  <c r="BI21" i="6"/>
  <c r="BI54" i="6"/>
  <c r="BI22" i="6"/>
  <c r="BI41" i="6"/>
  <c r="BI16" i="6"/>
  <c r="BI56" i="6"/>
  <c r="BI24" i="6"/>
  <c r="BI43" i="6"/>
  <c r="BI17" i="6"/>
  <c r="BI50" i="6"/>
  <c r="BI69" i="6"/>
  <c r="BI37" i="6"/>
  <c r="BI13" i="6"/>
  <c r="AX130" i="6"/>
  <c r="AH130" i="6"/>
  <c r="R130" i="6"/>
  <c r="B130" i="6"/>
  <c r="U130" i="6"/>
  <c r="AM130" i="6"/>
  <c r="G130" i="6"/>
  <c r="AN130" i="6"/>
  <c r="X130" i="6"/>
  <c r="H130" i="6"/>
  <c r="AG130" i="6"/>
  <c r="AY130" i="6"/>
  <c r="S130" i="6"/>
  <c r="AP130" i="6"/>
  <c r="Z130" i="6"/>
  <c r="J130" i="6"/>
  <c r="AK130" i="6"/>
  <c r="E130" i="6"/>
  <c r="W130" i="6"/>
  <c r="AV130" i="6"/>
  <c r="AF130" i="6"/>
  <c r="P130" i="6"/>
  <c r="AW130" i="6"/>
  <c r="Q130" i="6"/>
  <c r="AI130" i="6"/>
  <c r="C130" i="6"/>
  <c r="AL130" i="6"/>
  <c r="V130" i="6"/>
  <c r="F130" i="6"/>
  <c r="AC130" i="6"/>
  <c r="AU130" i="6"/>
  <c r="O130" i="6"/>
  <c r="AR130" i="6"/>
  <c r="AB130" i="6"/>
  <c r="L130" i="6"/>
  <c r="AO130" i="6"/>
  <c r="I130" i="6"/>
  <c r="AA130" i="6"/>
  <c r="AT130" i="6"/>
  <c r="M130" i="6"/>
  <c r="T130" i="6"/>
  <c r="K130" i="6"/>
  <c r="AD130" i="6"/>
  <c r="AE130" i="6"/>
  <c r="D130" i="6"/>
  <c r="N130" i="6"/>
  <c r="A131" i="6"/>
  <c r="Y130" i="6"/>
  <c r="AS130" i="6"/>
  <c r="AJ130" i="6"/>
  <c r="AQ130" i="6"/>
  <c r="BE130" i="6"/>
  <c r="BB130" i="6"/>
  <c r="BC130" i="6"/>
  <c r="BD130" i="6"/>
  <c r="AZ130" i="6"/>
  <c r="BA130" i="6"/>
  <c r="AN28" i="2"/>
  <c r="AM25" i="6"/>
  <c r="AF14" i="6"/>
  <c r="BD11" i="2"/>
  <c r="BE12" i="2"/>
  <c r="AJ35" i="1"/>
  <c r="AJ100" i="6"/>
  <c r="BE58" i="1"/>
  <c r="BE37" i="1"/>
  <c r="BE31" i="1"/>
  <c r="BE20" i="1"/>
  <c r="BE56" i="1"/>
  <c r="BE71" i="1"/>
  <c r="BE30" i="1"/>
  <c r="BE17" i="1"/>
  <c r="BE65" i="1"/>
  <c r="BE63" i="1"/>
  <c r="BE27" i="1"/>
  <c r="BE16" i="1"/>
  <c r="BE61" i="1"/>
  <c r="BE47" i="1"/>
  <c r="BE26" i="1"/>
  <c r="BE9" i="1"/>
  <c r="BE57" i="1"/>
  <c r="BE46" i="1"/>
  <c r="BE23" i="1"/>
  <c r="BE8" i="1"/>
  <c r="BE54" i="1"/>
  <c r="BE39" i="1"/>
  <c r="BE22" i="1"/>
  <c r="BE74" i="1"/>
  <c r="BE67" i="1"/>
  <c r="BE38" i="1"/>
  <c r="BE19" i="1"/>
  <c r="BE72" i="1"/>
  <c r="BE59" i="1"/>
  <c r="BE36" i="1"/>
  <c r="BE18" i="1"/>
  <c r="BE70" i="1"/>
  <c r="BE53" i="1"/>
  <c r="BE33" i="1"/>
  <c r="BE15" i="1"/>
  <c r="BE68" i="1"/>
  <c r="BE52" i="1"/>
  <c r="BE55" i="1"/>
  <c r="BE14" i="1"/>
  <c r="BE73" i="1"/>
  <c r="BE49" i="1"/>
  <c r="BE51" i="1"/>
  <c r="BE32" i="1"/>
  <c r="BE69" i="1"/>
  <c r="BE48" i="1"/>
  <c r="BE50" i="1"/>
  <c r="BE29" i="1"/>
  <c r="BE66" i="1"/>
  <c r="BE45" i="1"/>
  <c r="BE43" i="1"/>
  <c r="BE28" i="1"/>
  <c r="BE64" i="1"/>
  <c r="BE44" i="1"/>
  <c r="BE42" i="1"/>
  <c r="BE25" i="1"/>
  <c r="BE62" i="1"/>
  <c r="BE41" i="1"/>
  <c r="BE35" i="1"/>
  <c r="BE24" i="1"/>
  <c r="BE60" i="1"/>
  <c r="BE40" i="1"/>
  <c r="BE34" i="1"/>
  <c r="BE21" i="1"/>
  <c r="BD129" i="6"/>
  <c r="AC41" i="1"/>
  <c r="AC106" i="6"/>
  <c r="AG16" i="6"/>
  <c r="BC70" i="2"/>
  <c r="BC38" i="2"/>
  <c r="BC65" i="2"/>
  <c r="BC33" i="2"/>
  <c r="BC64" i="2"/>
  <c r="BC32" i="2"/>
  <c r="BC59" i="2"/>
  <c r="BC27" i="2"/>
  <c r="BC62" i="2"/>
  <c r="BC30" i="2"/>
  <c r="BC57" i="2"/>
  <c r="BC25" i="2"/>
  <c r="BC56" i="2"/>
  <c r="BC24" i="2"/>
  <c r="BC51" i="2"/>
  <c r="BC19" i="2"/>
  <c r="BC14" i="2"/>
  <c r="BC72" i="2"/>
  <c r="BC67" i="2"/>
  <c r="BC66" i="2"/>
  <c r="BC34" i="2"/>
  <c r="BC61" i="2"/>
  <c r="BC29" i="2"/>
  <c r="BC60" i="2"/>
  <c r="BC28" i="2"/>
  <c r="BC55" i="2"/>
  <c r="BC23" i="2"/>
  <c r="BC54" i="2"/>
  <c r="BC49" i="2"/>
  <c r="BC48" i="2"/>
  <c r="BC43" i="2"/>
  <c r="BC58" i="2"/>
  <c r="BC26" i="2"/>
  <c r="BC53" i="2"/>
  <c r="BC21" i="2"/>
  <c r="BC52" i="2"/>
  <c r="BC20" i="2"/>
  <c r="BC47" i="2"/>
  <c r="BC15" i="2"/>
  <c r="BC46" i="2"/>
  <c r="BC41" i="2"/>
  <c r="BC40" i="2"/>
  <c r="BC35" i="2"/>
  <c r="BC50" i="2"/>
  <c r="BC18" i="2"/>
  <c r="BC45" i="2"/>
  <c r="BC13" i="2"/>
  <c r="BC44" i="2"/>
  <c r="BC71" i="2"/>
  <c r="BC39" i="2"/>
  <c r="BC22" i="2"/>
  <c r="BC17" i="2"/>
  <c r="BC16" i="2"/>
  <c r="BC73" i="2"/>
  <c r="BC42" i="2"/>
  <c r="BC69" i="2"/>
  <c r="BC37" i="2"/>
  <c r="BC68" i="2"/>
  <c r="BC36" i="2"/>
  <c r="BC63" i="2"/>
  <c r="BC31" i="2"/>
  <c r="AN27" i="2"/>
  <c r="BF12" i="1"/>
  <c r="BG13" i="1"/>
  <c r="AK98" i="6"/>
  <c r="AK33" i="1"/>
  <c r="AN27" i="6"/>
  <c r="AM27" i="2" l="1"/>
  <c r="AM27" i="6"/>
  <c r="BG12" i="1"/>
  <c r="BH13" i="1"/>
  <c r="AJ101" i="6"/>
  <c r="AJ36" i="1"/>
  <c r="AE13" i="6"/>
  <c r="A68" i="2"/>
  <c r="H67" i="2"/>
  <c r="C67" i="2"/>
  <c r="E67" i="2"/>
  <c r="D67" i="2"/>
  <c r="F67" i="2"/>
  <c r="B67" i="2"/>
  <c r="G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M26" i="6"/>
  <c r="AL26" i="6" s="1"/>
  <c r="C73" i="6"/>
  <c r="H73" i="6"/>
  <c r="L73" i="6"/>
  <c r="D73" i="6"/>
  <c r="I73" i="6"/>
  <c r="M73" i="6"/>
  <c r="B73" i="6"/>
  <c r="K73" i="6"/>
  <c r="F73" i="6"/>
  <c r="G73" i="6"/>
  <c r="E73" i="6"/>
  <c r="J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F104" i="6"/>
  <c r="AF39" i="1"/>
  <c r="AG15" i="2"/>
  <c r="AF15" i="2" s="1"/>
  <c r="AH39" i="1"/>
  <c r="AH104" i="6"/>
  <c r="AL35" i="1"/>
  <c r="AL100" i="6"/>
  <c r="AO32" i="1"/>
  <c r="AO97" i="6"/>
  <c r="AO30" i="6" s="1"/>
  <c r="AO30" i="2"/>
  <c r="AN29" i="2" s="1"/>
  <c r="AM28" i="2" s="1"/>
  <c r="AK99" i="6"/>
  <c r="AK34" i="1"/>
  <c r="BF55" i="1"/>
  <c r="BF42" i="1"/>
  <c r="BF27" i="1"/>
  <c r="BF66" i="1"/>
  <c r="BF70" i="1"/>
  <c r="BF41" i="1"/>
  <c r="BF26" i="1"/>
  <c r="BF8" i="1"/>
  <c r="BF64" i="1"/>
  <c r="BF40" i="1"/>
  <c r="BF25" i="1"/>
  <c r="BF9" i="1"/>
  <c r="BF60" i="1"/>
  <c r="BF39" i="1"/>
  <c r="BF24" i="1"/>
  <c r="BF74" i="1"/>
  <c r="BF56" i="1"/>
  <c r="BF38" i="1"/>
  <c r="BF23" i="1"/>
  <c r="BF73" i="1"/>
  <c r="BF53" i="1"/>
  <c r="BF37" i="1"/>
  <c r="BF22" i="1"/>
  <c r="BF71" i="1"/>
  <c r="BF52" i="1"/>
  <c r="BF62" i="1"/>
  <c r="BF21" i="1"/>
  <c r="BF69" i="1"/>
  <c r="BF51" i="1"/>
  <c r="BF36" i="1"/>
  <c r="BF20" i="1"/>
  <c r="BF63" i="1"/>
  <c r="BF31" i="1"/>
  <c r="BF61" i="1"/>
  <c r="BF30" i="1"/>
  <c r="BF59" i="1"/>
  <c r="BF29" i="1"/>
  <c r="BF57" i="1"/>
  <c r="BF28" i="1"/>
  <c r="BF50" i="1"/>
  <c r="BF19" i="1"/>
  <c r="BF49" i="1"/>
  <c r="BF18" i="1"/>
  <c r="BF48" i="1"/>
  <c r="BF17" i="1"/>
  <c r="BF47" i="1"/>
  <c r="BF16" i="1"/>
  <c r="BF46" i="1"/>
  <c r="BF15" i="1"/>
  <c r="BF45" i="1"/>
  <c r="BF14" i="1"/>
  <c r="BF44" i="1"/>
  <c r="BF58" i="1"/>
  <c r="BF43" i="1"/>
  <c r="BF54" i="1"/>
  <c r="BF72" i="1"/>
  <c r="BF35" i="1"/>
  <c r="BF68" i="1"/>
  <c r="BF34" i="1"/>
  <c r="BF67" i="1"/>
  <c r="BF33" i="1"/>
  <c r="BF65" i="1"/>
  <c r="BF32" i="1"/>
  <c r="AF15" i="6"/>
  <c r="AE14" i="6" s="1"/>
  <c r="BF79" i="6"/>
  <c r="BE78" i="6"/>
  <c r="BE82" i="6"/>
  <c r="BE81" i="6"/>
  <c r="BE80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AL24" i="2"/>
  <c r="AJ21" i="2"/>
  <c r="AJ20" i="2"/>
  <c r="AE41" i="1"/>
  <c r="AE106" i="6"/>
  <c r="AN34" i="1"/>
  <c r="AN99" i="6"/>
  <c r="AI37" i="1"/>
  <c r="AI102" i="6"/>
  <c r="BF12" i="2"/>
  <c r="BE11" i="2"/>
  <c r="AL25" i="6"/>
  <c r="AK25" i="6" s="1"/>
  <c r="AL24" i="6"/>
  <c r="AM99" i="6"/>
  <c r="AM34" i="1"/>
  <c r="AG38" i="1"/>
  <c r="AG103" i="6"/>
  <c r="AJ21" i="6"/>
  <c r="AJ20" i="6"/>
  <c r="AM26" i="2"/>
  <c r="AC107" i="6"/>
  <c r="BD29" i="2"/>
  <c r="BD26" i="2"/>
  <c r="BD23" i="2"/>
  <c r="BD20" i="2"/>
  <c r="BD17" i="2"/>
  <c r="BD14" i="2"/>
  <c r="BD72" i="2"/>
  <c r="BD69" i="2"/>
  <c r="BD13" i="2"/>
  <c r="BD71" i="2"/>
  <c r="BD68" i="2"/>
  <c r="BD65" i="2"/>
  <c r="BD62" i="2"/>
  <c r="BD59" i="2"/>
  <c r="BD56" i="2"/>
  <c r="BD61" i="2"/>
  <c r="BD58" i="2"/>
  <c r="BD55" i="2"/>
  <c r="BD52" i="2"/>
  <c r="BD49" i="2"/>
  <c r="BD46" i="2"/>
  <c r="BD43" i="2"/>
  <c r="BD40" i="2"/>
  <c r="BD45" i="2"/>
  <c r="BD42" i="2"/>
  <c r="BD39" i="2"/>
  <c r="BD36" i="2"/>
  <c r="BD33" i="2"/>
  <c r="BD30" i="2"/>
  <c r="BD27" i="2"/>
  <c r="BD24" i="2"/>
  <c r="BD16" i="2"/>
  <c r="BD19" i="2"/>
  <c r="BD22" i="2"/>
  <c r="BD25" i="2"/>
  <c r="BD28" i="2"/>
  <c r="BD31" i="2"/>
  <c r="BD34" i="2"/>
  <c r="BD37" i="2"/>
  <c r="BD32" i="2"/>
  <c r="BD35" i="2"/>
  <c r="BD38" i="2"/>
  <c r="BD41" i="2"/>
  <c r="BD44" i="2"/>
  <c r="BD47" i="2"/>
  <c r="BD50" i="2"/>
  <c r="BD53" i="2"/>
  <c r="BD48" i="2"/>
  <c r="BD51" i="2"/>
  <c r="BD54" i="2"/>
  <c r="BD57" i="2"/>
  <c r="BD60" i="2"/>
  <c r="BD63" i="2"/>
  <c r="BD66" i="2"/>
  <c r="BD64" i="2"/>
  <c r="BD67" i="2"/>
  <c r="BD70" i="2"/>
  <c r="BD73" i="2"/>
  <c r="BD15" i="2"/>
  <c r="BD18" i="2"/>
  <c r="BD21" i="2"/>
  <c r="AV131" i="6"/>
  <c r="AF131" i="6"/>
  <c r="P131" i="6"/>
  <c r="AY131" i="6"/>
  <c r="S131" i="6"/>
  <c r="AO131" i="6"/>
  <c r="I131" i="6"/>
  <c r="AP131" i="6"/>
  <c r="Z131" i="6"/>
  <c r="J131" i="6"/>
  <c r="AM131" i="6"/>
  <c r="G131" i="6"/>
  <c r="U131" i="6"/>
  <c r="AN131" i="6"/>
  <c r="X131" i="6"/>
  <c r="H131" i="6"/>
  <c r="AI131" i="6"/>
  <c r="C131" i="6"/>
  <c r="Y131" i="6"/>
  <c r="AX131" i="6"/>
  <c r="AH131" i="6"/>
  <c r="R131" i="6"/>
  <c r="B131" i="6"/>
  <c r="W131" i="6"/>
  <c r="AK131" i="6"/>
  <c r="E131" i="6"/>
  <c r="AZ131" i="6"/>
  <c r="AJ131" i="6"/>
  <c r="T131" i="6"/>
  <c r="D131" i="6"/>
  <c r="AA131" i="6"/>
  <c r="AW131" i="6"/>
  <c r="Q131" i="6"/>
  <c r="AT131" i="6"/>
  <c r="AD131" i="6"/>
  <c r="N131" i="6"/>
  <c r="AU131" i="6"/>
  <c r="O131" i="6"/>
  <c r="AC131" i="6"/>
  <c r="L131" i="6"/>
  <c r="A132" i="6"/>
  <c r="AE131" i="6"/>
  <c r="AQ131" i="6"/>
  <c r="AL131" i="6"/>
  <c r="AS131" i="6"/>
  <c r="AR131" i="6"/>
  <c r="K131" i="6"/>
  <c r="V131" i="6"/>
  <c r="M131" i="6"/>
  <c r="AB131" i="6"/>
  <c r="AG131" i="6"/>
  <c r="F131" i="6"/>
  <c r="BA131" i="6"/>
  <c r="BC131" i="6"/>
  <c r="BD131" i="6"/>
  <c r="BB131" i="6"/>
  <c r="BE131" i="6"/>
  <c r="BF131" i="6"/>
  <c r="AF13" i="2"/>
  <c r="F70" i="1"/>
  <c r="G70" i="1"/>
  <c r="D70" i="1"/>
  <c r="C70" i="1"/>
  <c r="H70" i="1"/>
  <c r="B70" i="1"/>
  <c r="I70" i="1"/>
  <c r="E70" i="1"/>
  <c r="A71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L27" i="2" l="1"/>
  <c r="AF14" i="2"/>
  <c r="AE14" i="2" s="1"/>
  <c r="AL26" i="2"/>
  <c r="AN29" i="6"/>
  <c r="AV132" i="6"/>
  <c r="AF132" i="6"/>
  <c r="P132" i="6"/>
  <c r="BA132" i="6"/>
  <c r="U132" i="6"/>
  <c r="AM132" i="6"/>
  <c r="G132" i="6"/>
  <c r="AP132" i="6"/>
  <c r="Z132" i="6"/>
  <c r="J132" i="6"/>
  <c r="AO132" i="6"/>
  <c r="I132" i="6"/>
  <c r="AA132" i="6"/>
  <c r="AN132" i="6"/>
  <c r="X132" i="6"/>
  <c r="H132" i="6"/>
  <c r="AK132" i="6"/>
  <c r="E132" i="6"/>
  <c r="W132" i="6"/>
  <c r="AX132" i="6"/>
  <c r="AH132" i="6"/>
  <c r="R132" i="6"/>
  <c r="B132" i="6"/>
  <c r="Y132" i="6"/>
  <c r="AQ132" i="6"/>
  <c r="K132" i="6"/>
  <c r="AZ132" i="6"/>
  <c r="AJ132" i="6"/>
  <c r="T132" i="6"/>
  <c r="D132" i="6"/>
  <c r="AC132" i="6"/>
  <c r="AU132" i="6"/>
  <c r="O132" i="6"/>
  <c r="AT132" i="6"/>
  <c r="AD132" i="6"/>
  <c r="N132" i="6"/>
  <c r="AW132" i="6"/>
  <c r="Q132" i="6"/>
  <c r="AI132" i="6"/>
  <c r="C132" i="6"/>
  <c r="AB132" i="6"/>
  <c r="AE132" i="6"/>
  <c r="F132" i="6"/>
  <c r="L132" i="6"/>
  <c r="A133" i="6"/>
  <c r="AG132" i="6"/>
  <c r="AS132" i="6"/>
  <c r="AL132" i="6"/>
  <c r="AY132" i="6"/>
  <c r="AR132" i="6"/>
  <c r="M132" i="6"/>
  <c r="V132" i="6"/>
  <c r="S132" i="6"/>
  <c r="BC132" i="6"/>
  <c r="BB132" i="6"/>
  <c r="BD132" i="6"/>
  <c r="BF132" i="6"/>
  <c r="BE132" i="6"/>
  <c r="AK24" i="6"/>
  <c r="AJ24" i="6" s="1"/>
  <c r="AK23" i="6"/>
  <c r="AN35" i="1"/>
  <c r="AN100" i="6"/>
  <c r="AE42" i="1"/>
  <c r="AE107" i="6"/>
  <c r="AK23" i="2"/>
  <c r="AK100" i="6"/>
  <c r="AK35" i="1"/>
  <c r="AM100" i="6"/>
  <c r="AM35" i="1"/>
  <c r="AL25" i="2"/>
  <c r="AO33" i="1"/>
  <c r="AO98" i="6"/>
  <c r="AO31" i="6" s="1"/>
  <c r="AO31" i="2"/>
  <c r="AN30" i="2" s="1"/>
  <c r="AL36" i="1"/>
  <c r="AL101" i="6"/>
  <c r="AH40" i="1"/>
  <c r="AH105" i="6"/>
  <c r="AF105" i="6"/>
  <c r="AF40" i="1"/>
  <c r="I71" i="1"/>
  <c r="E71" i="1"/>
  <c r="C71" i="1"/>
  <c r="F71" i="1"/>
  <c r="A72" i="1"/>
  <c r="G71" i="1"/>
  <c r="D71" i="1"/>
  <c r="H71" i="1"/>
  <c r="B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I20" i="6"/>
  <c r="AI19" i="6"/>
  <c r="AG104" i="6"/>
  <c r="AG39" i="1"/>
  <c r="BE68" i="2"/>
  <c r="BE62" i="2"/>
  <c r="BE56" i="2"/>
  <c r="BE50" i="2"/>
  <c r="BE36" i="2"/>
  <c r="BE30" i="2"/>
  <c r="BE24" i="2"/>
  <c r="BE18" i="2"/>
  <c r="BE52" i="2"/>
  <c r="BE63" i="2"/>
  <c r="BE57" i="2"/>
  <c r="BE51" i="2"/>
  <c r="BE45" i="2"/>
  <c r="BE31" i="2"/>
  <c r="BE25" i="2"/>
  <c r="BE19" i="2"/>
  <c r="BE13" i="2"/>
  <c r="BE34" i="2"/>
  <c r="BE40" i="2"/>
  <c r="BE46" i="2"/>
  <c r="BE60" i="2"/>
  <c r="BE55" i="2"/>
  <c r="BE54" i="2"/>
  <c r="BE49" i="2"/>
  <c r="BE48" i="2"/>
  <c r="BE43" i="2"/>
  <c r="BE42" i="2"/>
  <c r="BE37" i="2"/>
  <c r="BE66" i="2"/>
  <c r="BE72" i="2"/>
  <c r="BE15" i="2"/>
  <c r="BE44" i="2"/>
  <c r="BE39" i="2"/>
  <c r="BE38" i="2"/>
  <c r="BE33" i="2"/>
  <c r="BE32" i="2"/>
  <c r="BE27" i="2"/>
  <c r="BE26" i="2"/>
  <c r="BE21" i="2"/>
  <c r="BE29" i="2"/>
  <c r="BE35" i="2"/>
  <c r="BE41" i="2"/>
  <c r="BE47" i="2"/>
  <c r="BE28" i="2"/>
  <c r="BE23" i="2"/>
  <c r="BE22" i="2"/>
  <c r="BE17" i="2"/>
  <c r="BE16" i="2"/>
  <c r="BE73" i="2"/>
  <c r="BE69" i="2"/>
  <c r="BE61" i="2"/>
  <c r="BE67" i="2"/>
  <c r="BE14" i="2"/>
  <c r="BE20" i="2"/>
  <c r="BE71" i="2"/>
  <c r="BE70" i="2"/>
  <c r="BE65" i="2"/>
  <c r="BE64" i="2"/>
  <c r="BE59" i="2"/>
  <c r="BE58" i="2"/>
  <c r="BE53" i="2"/>
  <c r="AI20" i="2"/>
  <c r="AI19" i="2"/>
  <c r="BG79" i="6"/>
  <c r="BG132" i="6" s="1"/>
  <c r="BF78" i="6"/>
  <c r="BF80" i="6"/>
  <c r="BF82" i="6"/>
  <c r="BF81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C68" i="2"/>
  <c r="E68" i="2"/>
  <c r="D68" i="2"/>
  <c r="F68" i="2"/>
  <c r="B68" i="2"/>
  <c r="G68" i="2"/>
  <c r="A69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J37" i="1"/>
  <c r="AJ102" i="6"/>
  <c r="BI13" i="1"/>
  <c r="BH12" i="1"/>
  <c r="BF11" i="2"/>
  <c r="BG12" i="2"/>
  <c r="AI38" i="1"/>
  <c r="AI103" i="6"/>
  <c r="AD13" i="6"/>
  <c r="BG57" i="1"/>
  <c r="BG53" i="1"/>
  <c r="BG31" i="1"/>
  <c r="BG71" i="1"/>
  <c r="BG51" i="1"/>
  <c r="BG48" i="1"/>
  <c r="BG30" i="1"/>
  <c r="BG66" i="1"/>
  <c r="BG50" i="1"/>
  <c r="BG45" i="1"/>
  <c r="BG27" i="1"/>
  <c r="BG64" i="1"/>
  <c r="BG47" i="1"/>
  <c r="BG40" i="1"/>
  <c r="BG26" i="1"/>
  <c r="BG46" i="1"/>
  <c r="BG37" i="1"/>
  <c r="BG23" i="1"/>
  <c r="BG60" i="1"/>
  <c r="BG43" i="1"/>
  <c r="BG32" i="1"/>
  <c r="BG22" i="1"/>
  <c r="BG58" i="1"/>
  <c r="BG42" i="1"/>
  <c r="BG29" i="1"/>
  <c r="BG19" i="1"/>
  <c r="BG56" i="1"/>
  <c r="BG39" i="1"/>
  <c r="BG28" i="1"/>
  <c r="BG18" i="1"/>
  <c r="BG68" i="1"/>
  <c r="BG38" i="1"/>
  <c r="BG25" i="1"/>
  <c r="BG15" i="1"/>
  <c r="BG67" i="1"/>
  <c r="BG52" i="1"/>
  <c r="BG24" i="1"/>
  <c r="BG14" i="1"/>
  <c r="BG63" i="1"/>
  <c r="BG49" i="1"/>
  <c r="BG21" i="1"/>
  <c r="BG9" i="1"/>
  <c r="BG59" i="1"/>
  <c r="BG44" i="1"/>
  <c r="BG20" i="1"/>
  <c r="BG8" i="1"/>
  <c r="BG62" i="1"/>
  <c r="BG73" i="1"/>
  <c r="BG41" i="1"/>
  <c r="BG17" i="1"/>
  <c r="BG74" i="1"/>
  <c r="BG54" i="1"/>
  <c r="BG35" i="1"/>
  <c r="BG16" i="1"/>
  <c r="BG72" i="1"/>
  <c r="BG69" i="1"/>
  <c r="BG34" i="1"/>
  <c r="BG36" i="1"/>
  <c r="BG70" i="1"/>
  <c r="BG65" i="1"/>
  <c r="BG61" i="1"/>
  <c r="BG33" i="1"/>
  <c r="BG55" i="1"/>
  <c r="AK26" i="2" l="1"/>
  <c r="AE13" i="2"/>
  <c r="AD13" i="2" s="1"/>
  <c r="AK25" i="2"/>
  <c r="AN30" i="6"/>
  <c r="AM29" i="6" s="1"/>
  <c r="BG11" i="2"/>
  <c r="BH12" i="2"/>
  <c r="AM28" i="6"/>
  <c r="BF73" i="2"/>
  <c r="BF67" i="2"/>
  <c r="BF61" i="2"/>
  <c r="BF47" i="2"/>
  <c r="BF41" i="2"/>
  <c r="BF35" i="2"/>
  <c r="BF29" i="2"/>
  <c r="BF15" i="2"/>
  <c r="BF70" i="2"/>
  <c r="BF64" i="2"/>
  <c r="BF58" i="2"/>
  <c r="BF44" i="2"/>
  <c r="BF38" i="2"/>
  <c r="BF32" i="2"/>
  <c r="BF26" i="2"/>
  <c r="BF55" i="2"/>
  <c r="BF52" i="2"/>
  <c r="BF49" i="2"/>
  <c r="BF46" i="2"/>
  <c r="BF43" i="2"/>
  <c r="BF40" i="2"/>
  <c r="BF37" i="2"/>
  <c r="BF34" i="2"/>
  <c r="BF60" i="2"/>
  <c r="BF54" i="2"/>
  <c r="BF48" i="2"/>
  <c r="BF42" i="2"/>
  <c r="BF39" i="2"/>
  <c r="BF36" i="2"/>
  <c r="BF33" i="2"/>
  <c r="BF30" i="2"/>
  <c r="BF27" i="2"/>
  <c r="BF24" i="2"/>
  <c r="BF21" i="2"/>
  <c r="BF18" i="2"/>
  <c r="BF28" i="2"/>
  <c r="BF22" i="2"/>
  <c r="BF16" i="2"/>
  <c r="BF23" i="2"/>
  <c r="BF20" i="2"/>
  <c r="BF17" i="2"/>
  <c r="BF14" i="2"/>
  <c r="BF72" i="2"/>
  <c r="BF69" i="2"/>
  <c r="BF66" i="2"/>
  <c r="BF63" i="2"/>
  <c r="BF57" i="2"/>
  <c r="BF51" i="2"/>
  <c r="BF45" i="2"/>
  <c r="BF71" i="2"/>
  <c r="BF68" i="2"/>
  <c r="BF65" i="2"/>
  <c r="BF62" i="2"/>
  <c r="BF59" i="2"/>
  <c r="BF56" i="2"/>
  <c r="BF53" i="2"/>
  <c r="BF50" i="2"/>
  <c r="BF31" i="2"/>
  <c r="BF25" i="2"/>
  <c r="BF19" i="2"/>
  <c r="BF13" i="2"/>
  <c r="BH65" i="1"/>
  <c r="BH47" i="1"/>
  <c r="BH33" i="1"/>
  <c r="BH17" i="1"/>
  <c r="BH63" i="1"/>
  <c r="BH46" i="1"/>
  <c r="BH32" i="1"/>
  <c r="BH16" i="1"/>
  <c r="BH61" i="1"/>
  <c r="BH45" i="1"/>
  <c r="BH31" i="1"/>
  <c r="BH15" i="1"/>
  <c r="BH59" i="1"/>
  <c r="BH44" i="1"/>
  <c r="BH30" i="1"/>
  <c r="BH14" i="1"/>
  <c r="BH57" i="1"/>
  <c r="BH43" i="1"/>
  <c r="BH29" i="1"/>
  <c r="BH72" i="1"/>
  <c r="BH55" i="1"/>
  <c r="BH42" i="1"/>
  <c r="BH28" i="1"/>
  <c r="BH64" i="1"/>
  <c r="BH68" i="1"/>
  <c r="BH41" i="1"/>
  <c r="BH27" i="1"/>
  <c r="BH56" i="1"/>
  <c r="BH66" i="1"/>
  <c r="BH40" i="1"/>
  <c r="BH26" i="1"/>
  <c r="BH8" i="1"/>
  <c r="BH62" i="1"/>
  <c r="BH39" i="1"/>
  <c r="BH25" i="1"/>
  <c r="BH9" i="1"/>
  <c r="BH58" i="1"/>
  <c r="BH38" i="1"/>
  <c r="BH24" i="1"/>
  <c r="BH74" i="1"/>
  <c r="BH53" i="1"/>
  <c r="BH37" i="1"/>
  <c r="BH23" i="1"/>
  <c r="BH73" i="1"/>
  <c r="BH52" i="1"/>
  <c r="BH60" i="1"/>
  <c r="BH22" i="1"/>
  <c r="BH71" i="1"/>
  <c r="BH51" i="1"/>
  <c r="BH54" i="1"/>
  <c r="BH21" i="1"/>
  <c r="BH69" i="1"/>
  <c r="BH50" i="1"/>
  <c r="BH36" i="1"/>
  <c r="BH20" i="1"/>
  <c r="BH70" i="1"/>
  <c r="BH49" i="1"/>
  <c r="BH35" i="1"/>
  <c r="BH19" i="1"/>
  <c r="BH67" i="1"/>
  <c r="BH48" i="1"/>
  <c r="BH34" i="1"/>
  <c r="BH18" i="1"/>
  <c r="AJ38" i="1"/>
  <c r="AJ103" i="6"/>
  <c r="BH79" i="6"/>
  <c r="BG78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AH19" i="6"/>
  <c r="AH18" i="6"/>
  <c r="AF41" i="1"/>
  <c r="AF106" i="6"/>
  <c r="AJ22" i="2"/>
  <c r="AE43" i="1"/>
  <c r="AE108" i="6"/>
  <c r="AN36" i="1"/>
  <c r="AN101" i="6"/>
  <c r="AI39" i="1"/>
  <c r="AI104" i="6"/>
  <c r="BI12" i="1"/>
  <c r="BJ13" i="1"/>
  <c r="BJ12" i="1" s="1"/>
  <c r="B69" i="2"/>
  <c r="F69" i="2"/>
  <c r="D69" i="2"/>
  <c r="G69" i="2"/>
  <c r="C69" i="2"/>
  <c r="H69" i="2"/>
  <c r="A70" i="2"/>
  <c r="E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H19" i="2"/>
  <c r="AH18" i="2"/>
  <c r="AG105" i="6"/>
  <c r="AG40" i="1"/>
  <c r="AH41" i="1"/>
  <c r="AH106" i="6"/>
  <c r="AL37" i="1"/>
  <c r="AL102" i="6"/>
  <c r="AO34" i="1"/>
  <c r="AO99" i="6"/>
  <c r="AO32" i="6" s="1"/>
  <c r="AO32" i="2"/>
  <c r="AK36" i="1"/>
  <c r="AK101" i="6"/>
  <c r="AK24" i="2"/>
  <c r="AZ133" i="6"/>
  <c r="AJ133" i="6"/>
  <c r="T133" i="6"/>
  <c r="D133" i="6"/>
  <c r="W133" i="6"/>
  <c r="AO133" i="6"/>
  <c r="I133" i="6"/>
  <c r="AT133" i="6"/>
  <c r="AD133" i="6"/>
  <c r="N133" i="6"/>
  <c r="AY133" i="6"/>
  <c r="S133" i="6"/>
  <c r="AS133" i="6"/>
  <c r="M133" i="6"/>
  <c r="AR133" i="6"/>
  <c r="AB133" i="6"/>
  <c r="L133" i="6"/>
  <c r="AM133" i="6"/>
  <c r="G133" i="6"/>
  <c r="Y133" i="6"/>
  <c r="BB133" i="6"/>
  <c r="AL133" i="6"/>
  <c r="V133" i="6"/>
  <c r="F133" i="6"/>
  <c r="AI133" i="6"/>
  <c r="C133" i="6"/>
  <c r="AC133" i="6"/>
  <c r="AN133" i="6"/>
  <c r="X133" i="6"/>
  <c r="H133" i="6"/>
  <c r="AE133" i="6"/>
  <c r="AW133" i="6"/>
  <c r="Q133" i="6"/>
  <c r="AX133" i="6"/>
  <c r="AH133" i="6"/>
  <c r="R133" i="6"/>
  <c r="B133" i="6"/>
  <c r="AA133" i="6"/>
  <c r="BA133" i="6"/>
  <c r="U133" i="6"/>
  <c r="AU133" i="6"/>
  <c r="AP133" i="6"/>
  <c r="K133" i="6"/>
  <c r="AV133" i="6"/>
  <c r="O133" i="6"/>
  <c r="Z133" i="6"/>
  <c r="AK133" i="6"/>
  <c r="AF133" i="6"/>
  <c r="AG133" i="6"/>
  <c r="J133" i="6"/>
  <c r="E133" i="6"/>
  <c r="P133" i="6"/>
  <c r="A134" i="6"/>
  <c r="AQ133" i="6"/>
  <c r="BC133" i="6"/>
  <c r="BD133" i="6"/>
  <c r="BF133" i="6"/>
  <c r="BG133" i="6"/>
  <c r="BH133" i="6"/>
  <c r="BE133" i="6"/>
  <c r="AM29" i="2"/>
  <c r="H72" i="1"/>
  <c r="A73" i="1"/>
  <c r="I72" i="1"/>
  <c r="E72" i="1"/>
  <c r="F72" i="1"/>
  <c r="B72" i="1"/>
  <c r="G72" i="1"/>
  <c r="D72" i="1"/>
  <c r="C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M101" i="6"/>
  <c r="AM36" i="1"/>
  <c r="AJ23" i="6"/>
  <c r="AI23" i="6" s="1"/>
  <c r="AJ22" i="6"/>
  <c r="AJ25" i="2" l="1"/>
  <c r="AJ24" i="2"/>
  <c r="AN31" i="6"/>
  <c r="AM30" i="6" s="1"/>
  <c r="BJ65" i="1"/>
  <c r="BJ46" i="1"/>
  <c r="BJ33" i="1"/>
  <c r="BJ17" i="1"/>
  <c r="BJ63" i="1"/>
  <c r="BJ45" i="1"/>
  <c r="BJ32" i="1"/>
  <c r="BJ16" i="1"/>
  <c r="BJ61" i="1"/>
  <c r="BJ44" i="1"/>
  <c r="BJ31" i="1"/>
  <c r="BJ15" i="1"/>
  <c r="BJ59" i="1"/>
  <c r="BJ43" i="1"/>
  <c r="BJ30" i="1"/>
  <c r="BJ14" i="1"/>
  <c r="BJ57" i="1"/>
  <c r="BJ42" i="1"/>
  <c r="BJ29" i="1"/>
  <c r="BJ62" i="1"/>
  <c r="BJ55" i="1"/>
  <c r="BJ41" i="1"/>
  <c r="BJ28" i="1"/>
  <c r="BJ54" i="1"/>
  <c r="BJ64" i="1"/>
  <c r="BJ40" i="1"/>
  <c r="BJ27" i="1"/>
  <c r="BJ8" i="1"/>
  <c r="BJ60" i="1"/>
  <c r="BJ39" i="1"/>
  <c r="BJ26" i="1"/>
  <c r="BJ9" i="1"/>
  <c r="BJ56" i="1"/>
  <c r="BJ38" i="1"/>
  <c r="BJ25" i="1"/>
  <c r="BJ74" i="1"/>
  <c r="BJ53" i="1"/>
  <c r="BJ37" i="1"/>
  <c r="BJ24" i="1"/>
  <c r="BJ73" i="1"/>
  <c r="BJ52" i="1"/>
  <c r="BJ70" i="1"/>
  <c r="BJ23" i="1"/>
  <c r="BJ71" i="1"/>
  <c r="BJ51" i="1"/>
  <c r="BJ66" i="1"/>
  <c r="BJ22" i="1"/>
  <c r="BJ69" i="1"/>
  <c r="BJ50" i="1"/>
  <c r="BJ58" i="1"/>
  <c r="BJ21" i="1"/>
  <c r="BJ72" i="1"/>
  <c r="BJ49" i="1"/>
  <c r="BJ36" i="1"/>
  <c r="BJ20" i="1"/>
  <c r="BJ68" i="1"/>
  <c r="BJ48" i="1"/>
  <c r="BJ35" i="1"/>
  <c r="BJ19" i="1"/>
  <c r="BJ67" i="1"/>
  <c r="BJ47" i="1"/>
  <c r="BJ34" i="1"/>
  <c r="BJ18" i="1"/>
  <c r="AE109" i="6"/>
  <c r="AG18" i="6"/>
  <c r="AG17" i="6"/>
  <c r="I73" i="1"/>
  <c r="E73" i="1"/>
  <c r="A74" i="1"/>
  <c r="F73" i="1"/>
  <c r="G73" i="1"/>
  <c r="D73" i="1"/>
  <c r="B73" i="1"/>
  <c r="H73" i="1"/>
  <c r="C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I21" i="2"/>
  <c r="AF42" i="1"/>
  <c r="AF107" i="6"/>
  <c r="AJ39" i="1"/>
  <c r="AJ104" i="6"/>
  <c r="BI12" i="2"/>
  <c r="BH11" i="2"/>
  <c r="AM102" i="6"/>
  <c r="AM37" i="1"/>
  <c r="AZ134" i="6"/>
  <c r="AJ134" i="6"/>
  <c r="T134" i="6"/>
  <c r="D134" i="6"/>
  <c r="AC134" i="6"/>
  <c r="AY134" i="6"/>
  <c r="S134" i="6"/>
  <c r="AX134" i="6"/>
  <c r="AH134" i="6"/>
  <c r="R134" i="6"/>
  <c r="B134" i="6"/>
  <c r="Y134" i="6"/>
  <c r="AU134" i="6"/>
  <c r="O134" i="6"/>
  <c r="AR134" i="6"/>
  <c r="AB134" i="6"/>
  <c r="L134" i="6"/>
  <c r="AS134" i="6"/>
  <c r="M134" i="6"/>
  <c r="AI134" i="6"/>
  <c r="C134" i="6"/>
  <c r="AP134" i="6"/>
  <c r="Z134" i="6"/>
  <c r="J134" i="6"/>
  <c r="AO134" i="6"/>
  <c r="I134" i="6"/>
  <c r="AE134" i="6"/>
  <c r="A135" i="6"/>
  <c r="AN134" i="6"/>
  <c r="X134" i="6"/>
  <c r="H134" i="6"/>
  <c r="AK134" i="6"/>
  <c r="E134" i="6"/>
  <c r="AA134" i="6"/>
  <c r="BB134" i="6"/>
  <c r="AL134" i="6"/>
  <c r="V134" i="6"/>
  <c r="F134" i="6"/>
  <c r="AG134" i="6"/>
  <c r="BC134" i="6"/>
  <c r="W134" i="6"/>
  <c r="AF134" i="6"/>
  <c r="AQ134" i="6"/>
  <c r="N134" i="6"/>
  <c r="G134" i="6"/>
  <c r="P134" i="6"/>
  <c r="K134" i="6"/>
  <c r="AW134" i="6"/>
  <c r="BA134" i="6"/>
  <c r="AT134" i="6"/>
  <c r="Q134" i="6"/>
  <c r="AV134" i="6"/>
  <c r="U134" i="6"/>
  <c r="AD134" i="6"/>
  <c r="AM134" i="6"/>
  <c r="BE134" i="6"/>
  <c r="BD134" i="6"/>
  <c r="BG134" i="6"/>
  <c r="BH134" i="6"/>
  <c r="BI134" i="6"/>
  <c r="BF134" i="6"/>
  <c r="AG18" i="2"/>
  <c r="AG17" i="2"/>
  <c r="AN37" i="1"/>
  <c r="AN102" i="6"/>
  <c r="AJ23" i="2"/>
  <c r="BI79" i="6"/>
  <c r="BH78" i="6"/>
  <c r="BH81" i="6"/>
  <c r="BH80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G46" i="2"/>
  <c r="BG14" i="2"/>
  <c r="BG41" i="2"/>
  <c r="BG72" i="2"/>
  <c r="BG40" i="2"/>
  <c r="BG67" i="2"/>
  <c r="BG35" i="2"/>
  <c r="BG66" i="2"/>
  <c r="BG34" i="2"/>
  <c r="BG61" i="2"/>
  <c r="BG29" i="2"/>
  <c r="BG60" i="2"/>
  <c r="BG28" i="2"/>
  <c r="BG55" i="2"/>
  <c r="BG23" i="2"/>
  <c r="BG70" i="2"/>
  <c r="BG38" i="2"/>
  <c r="BG65" i="2"/>
  <c r="BG33" i="2"/>
  <c r="BG64" i="2"/>
  <c r="BG32" i="2"/>
  <c r="BG59" i="2"/>
  <c r="BG27" i="2"/>
  <c r="BG58" i="2"/>
  <c r="BG26" i="2"/>
  <c r="BG53" i="2"/>
  <c r="BG21" i="2"/>
  <c r="BG52" i="2"/>
  <c r="BG20" i="2"/>
  <c r="BG47" i="2"/>
  <c r="BG15" i="2"/>
  <c r="BG62" i="2"/>
  <c r="BG30" i="2"/>
  <c r="BG57" i="2"/>
  <c r="BG25" i="2"/>
  <c r="BG56" i="2"/>
  <c r="BG24" i="2"/>
  <c r="BG51" i="2"/>
  <c r="BG19" i="2"/>
  <c r="BG50" i="2"/>
  <c r="BG18" i="2"/>
  <c r="BG45" i="2"/>
  <c r="BG13" i="2"/>
  <c r="BG44" i="2"/>
  <c r="BG71" i="2"/>
  <c r="BG39" i="2"/>
  <c r="BG54" i="2"/>
  <c r="BG22" i="2"/>
  <c r="BG49" i="2"/>
  <c r="BG17" i="2"/>
  <c r="BG48" i="2"/>
  <c r="BG16" i="2"/>
  <c r="BG43" i="2"/>
  <c r="BG73" i="2"/>
  <c r="BG42" i="2"/>
  <c r="BG69" i="2"/>
  <c r="BG37" i="2"/>
  <c r="BG68" i="2"/>
  <c r="BG36" i="2"/>
  <c r="BG63" i="2"/>
  <c r="BG31" i="2"/>
  <c r="AK37" i="1"/>
  <c r="AK102" i="6"/>
  <c r="AI105" i="6"/>
  <c r="AI40" i="1"/>
  <c r="AI22" i="6"/>
  <c r="AH22" i="6" s="1"/>
  <c r="AI21" i="6"/>
  <c r="AL28" i="2"/>
  <c r="AO35" i="1"/>
  <c r="AO100" i="6"/>
  <c r="AO33" i="6" s="1"/>
  <c r="AO33" i="2"/>
  <c r="AN32" i="2" s="1"/>
  <c r="AL38" i="1"/>
  <c r="AL103" i="6"/>
  <c r="AH107" i="6"/>
  <c r="AH42" i="1"/>
  <c r="AG106" i="6"/>
  <c r="AG41" i="1"/>
  <c r="D70" i="2"/>
  <c r="E70" i="2"/>
  <c r="C70" i="2"/>
  <c r="F70" i="2"/>
  <c r="B70" i="2"/>
  <c r="G70" i="2"/>
  <c r="H70" i="2"/>
  <c r="A71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BI58" i="1"/>
  <c r="BI40" i="1"/>
  <c r="BI30" i="1"/>
  <c r="BI20" i="1"/>
  <c r="BI56" i="1"/>
  <c r="BI37" i="1"/>
  <c r="BI27" i="1"/>
  <c r="BI17" i="1"/>
  <c r="BI71" i="1"/>
  <c r="BI59" i="1"/>
  <c r="BI26" i="1"/>
  <c r="BI16" i="1"/>
  <c r="BI65" i="1"/>
  <c r="BI51" i="1"/>
  <c r="BI23" i="1"/>
  <c r="BI9" i="1"/>
  <c r="BI61" i="1"/>
  <c r="BI50" i="1"/>
  <c r="BI22" i="1"/>
  <c r="BI8" i="1"/>
  <c r="BI57" i="1"/>
  <c r="BI43" i="1"/>
  <c r="BI19" i="1"/>
  <c r="BI74" i="1"/>
  <c r="BI54" i="1"/>
  <c r="BI42" i="1"/>
  <c r="BI18" i="1"/>
  <c r="BI72" i="1"/>
  <c r="BI63" i="1"/>
  <c r="BI36" i="1"/>
  <c r="BI15" i="1"/>
  <c r="BI70" i="1"/>
  <c r="BI55" i="1"/>
  <c r="BI33" i="1"/>
  <c r="BI14" i="1"/>
  <c r="BI68" i="1"/>
  <c r="BI53" i="1"/>
  <c r="BI32" i="1"/>
  <c r="BI35" i="1"/>
  <c r="BI73" i="1"/>
  <c r="BI52" i="1"/>
  <c r="BI67" i="1"/>
  <c r="BI34" i="1"/>
  <c r="BI69" i="1"/>
  <c r="BI49" i="1"/>
  <c r="BI47" i="1"/>
  <c r="BI29" i="1"/>
  <c r="BI66" i="1"/>
  <c r="BI48" i="1"/>
  <c r="BI46" i="1"/>
  <c r="BI28" i="1"/>
  <c r="BI64" i="1"/>
  <c r="BI45" i="1"/>
  <c r="BI39" i="1"/>
  <c r="BI25" i="1"/>
  <c r="BI62" i="1"/>
  <c r="BI44" i="1"/>
  <c r="BI38" i="1"/>
  <c r="BI24" i="1"/>
  <c r="BI60" i="1"/>
  <c r="BI41" i="1"/>
  <c r="BI31" i="1"/>
  <c r="BI21" i="1"/>
  <c r="AL28" i="6"/>
  <c r="AL27" i="6"/>
  <c r="AN31" i="2"/>
  <c r="AI24" i="2" l="1"/>
  <c r="AI23" i="2"/>
  <c r="AG107" i="6"/>
  <c r="AG42" i="1"/>
  <c r="AH43" i="1"/>
  <c r="AH108" i="6"/>
  <c r="AK27" i="2"/>
  <c r="BI78" i="6"/>
  <c r="BJ79" i="6"/>
  <c r="BI80" i="6"/>
  <c r="BI81" i="6"/>
  <c r="BI82" i="6"/>
  <c r="BI83" i="6"/>
  <c r="BI84" i="6"/>
  <c r="BI85" i="6"/>
  <c r="BI86" i="6"/>
  <c r="BI87" i="6"/>
  <c r="BI88" i="6"/>
  <c r="BI89" i="6"/>
  <c r="BI90" i="6"/>
  <c r="BI91" i="6"/>
  <c r="BI92" i="6"/>
  <c r="BI93" i="6"/>
  <c r="BI94" i="6"/>
  <c r="BI95" i="6"/>
  <c r="BI96" i="6"/>
  <c r="BI97" i="6"/>
  <c r="BI98" i="6"/>
  <c r="BI99" i="6"/>
  <c r="BI100" i="6"/>
  <c r="BI101" i="6"/>
  <c r="BI102" i="6"/>
  <c r="BI103" i="6"/>
  <c r="BI104" i="6"/>
  <c r="BI105" i="6"/>
  <c r="BI106" i="6"/>
  <c r="BI107" i="6"/>
  <c r="BI108" i="6"/>
  <c r="BI109" i="6"/>
  <c r="BI110" i="6"/>
  <c r="BI111" i="6"/>
  <c r="BI112" i="6"/>
  <c r="BI113" i="6"/>
  <c r="BI114" i="6"/>
  <c r="BI115" i="6"/>
  <c r="BI116" i="6"/>
  <c r="BI117" i="6"/>
  <c r="BI118" i="6"/>
  <c r="BI119" i="6"/>
  <c r="BI120" i="6"/>
  <c r="BI121" i="6"/>
  <c r="BI122" i="6"/>
  <c r="BI123" i="6"/>
  <c r="BI124" i="6"/>
  <c r="BI125" i="6"/>
  <c r="BI126" i="6"/>
  <c r="BI127" i="6"/>
  <c r="BI128" i="6"/>
  <c r="BI129" i="6"/>
  <c r="BI130" i="6"/>
  <c r="BI131" i="6"/>
  <c r="BI132" i="6"/>
  <c r="BI133" i="6"/>
  <c r="AM38" i="1"/>
  <c r="AM103" i="6"/>
  <c r="BJ12" i="2"/>
  <c r="BJ11" i="2" s="1"/>
  <c r="BI11" i="2"/>
  <c r="AM31" i="2"/>
  <c r="AM30" i="2"/>
  <c r="AL39" i="1"/>
  <c r="AL104" i="6"/>
  <c r="AO36" i="1"/>
  <c r="AO101" i="6"/>
  <c r="AO34" i="6" s="1"/>
  <c r="AO34" i="2"/>
  <c r="AN33" i="2" s="1"/>
  <c r="AI106" i="6"/>
  <c r="AI41" i="1"/>
  <c r="AN38" i="1"/>
  <c r="AN103" i="6"/>
  <c r="AH20" i="2"/>
  <c r="H74" i="1"/>
  <c r="C74" i="1"/>
  <c r="I74" i="1"/>
  <c r="E74" i="1"/>
  <c r="B74" i="1"/>
  <c r="G74" i="1"/>
  <c r="F74" i="1"/>
  <c r="D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F17" i="6"/>
  <c r="AF16" i="6"/>
  <c r="AL29" i="6"/>
  <c r="AK28" i="6" s="1"/>
  <c r="AK27" i="6"/>
  <c r="AK26" i="6"/>
  <c r="D71" i="2"/>
  <c r="E71" i="2"/>
  <c r="C71" i="2"/>
  <c r="F71" i="2"/>
  <c r="H71" i="2"/>
  <c r="A72" i="2"/>
  <c r="B71" i="2"/>
  <c r="G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H21" i="6"/>
  <c r="AG21" i="6" s="1"/>
  <c r="AH20" i="6"/>
  <c r="AK103" i="6"/>
  <c r="AK38" i="1"/>
  <c r="AI22" i="2"/>
  <c r="AF17" i="2"/>
  <c r="AF16" i="2"/>
  <c r="AR135" i="6"/>
  <c r="AB135" i="6"/>
  <c r="L135" i="6"/>
  <c r="AU135" i="6"/>
  <c r="O135" i="6"/>
  <c r="AG135" i="6"/>
  <c r="A136" i="6"/>
  <c r="AP135" i="6"/>
  <c r="Z135" i="6"/>
  <c r="J135" i="6"/>
  <c r="AQ135" i="6"/>
  <c r="K135" i="6"/>
  <c r="AK135" i="6"/>
  <c r="E135" i="6"/>
  <c r="AZ135" i="6"/>
  <c r="AJ135" i="6"/>
  <c r="T135" i="6"/>
  <c r="D135" i="6"/>
  <c r="AE135" i="6"/>
  <c r="AW135" i="6"/>
  <c r="Q135" i="6"/>
  <c r="AX135" i="6"/>
  <c r="AH135" i="6"/>
  <c r="R135" i="6"/>
  <c r="B135" i="6"/>
  <c r="AA135" i="6"/>
  <c r="BA135" i="6"/>
  <c r="U135" i="6"/>
  <c r="AV135" i="6"/>
  <c r="AF135" i="6"/>
  <c r="P135" i="6"/>
  <c r="BC135" i="6"/>
  <c r="W135" i="6"/>
  <c r="AO135" i="6"/>
  <c r="I135" i="6"/>
  <c r="AT135" i="6"/>
  <c r="AD135" i="6"/>
  <c r="N135" i="6"/>
  <c r="AY135" i="6"/>
  <c r="S135" i="6"/>
  <c r="AS135" i="6"/>
  <c r="M135" i="6"/>
  <c r="H135" i="6"/>
  <c r="BB135" i="6"/>
  <c r="AI135" i="6"/>
  <c r="BD135" i="6"/>
  <c r="AM135" i="6"/>
  <c r="AL135" i="6"/>
  <c r="C135" i="6"/>
  <c r="AN135" i="6"/>
  <c r="G135" i="6"/>
  <c r="V135" i="6"/>
  <c r="AC135" i="6"/>
  <c r="X135" i="6"/>
  <c r="Y135" i="6"/>
  <c r="F135" i="6"/>
  <c r="BE135" i="6"/>
  <c r="BJ135" i="6"/>
  <c r="BF135" i="6"/>
  <c r="BH135" i="6"/>
  <c r="BG135" i="6"/>
  <c r="BI135" i="6"/>
  <c r="BH71" i="2"/>
  <c r="BH39" i="2"/>
  <c r="BH68" i="2"/>
  <c r="BH36" i="2"/>
  <c r="BH65" i="2"/>
  <c r="BH33" i="2"/>
  <c r="BH62" i="2"/>
  <c r="BH30" i="2"/>
  <c r="BH59" i="2"/>
  <c r="BH27" i="2"/>
  <c r="BH56" i="2"/>
  <c r="BH24" i="2"/>
  <c r="BH53" i="2"/>
  <c r="BH21" i="2"/>
  <c r="BH50" i="2"/>
  <c r="BH18" i="2"/>
  <c r="BH63" i="2"/>
  <c r="BH31" i="2"/>
  <c r="BH60" i="2"/>
  <c r="BH28" i="2"/>
  <c r="BH57" i="2"/>
  <c r="BH25" i="2"/>
  <c r="BH54" i="2"/>
  <c r="BH22" i="2"/>
  <c r="BH51" i="2"/>
  <c r="BH19" i="2"/>
  <c r="BH48" i="2"/>
  <c r="BH16" i="2"/>
  <c r="BH45" i="2"/>
  <c r="BH13" i="2"/>
  <c r="BH42" i="2"/>
  <c r="BH55" i="2"/>
  <c r="BH23" i="2"/>
  <c r="BH52" i="2"/>
  <c r="BH20" i="2"/>
  <c r="BH49" i="2"/>
  <c r="BH17" i="2"/>
  <c r="BH46" i="2"/>
  <c r="BH14" i="2"/>
  <c r="BH43" i="2"/>
  <c r="BH72" i="2"/>
  <c r="BH40" i="2"/>
  <c r="BH69" i="2"/>
  <c r="BH37" i="2"/>
  <c r="BH66" i="2"/>
  <c r="BH34" i="2"/>
  <c r="BH47" i="2"/>
  <c r="BH41" i="2"/>
  <c r="BH35" i="2"/>
  <c r="BH29" i="2"/>
  <c r="BH15" i="2"/>
  <c r="BH70" i="2"/>
  <c r="BH64" i="2"/>
  <c r="BH58" i="2"/>
  <c r="BH44" i="2"/>
  <c r="BH38" i="2"/>
  <c r="BH32" i="2"/>
  <c r="BH26" i="2"/>
  <c r="BH73" i="2"/>
  <c r="BH67" i="2"/>
  <c r="BH61" i="2"/>
  <c r="AJ105" i="6"/>
  <c r="AJ40" i="1"/>
  <c r="AF43" i="1"/>
  <c r="AF108" i="6"/>
  <c r="AN32" i="6"/>
  <c r="AH23" i="2" l="1"/>
  <c r="AH22" i="2"/>
  <c r="AN33" i="6"/>
  <c r="AF44" i="1"/>
  <c r="AF109" i="6"/>
  <c r="B72" i="2"/>
  <c r="E72" i="2"/>
  <c r="A73" i="2"/>
  <c r="F72" i="2"/>
  <c r="C72" i="2"/>
  <c r="G72" i="2"/>
  <c r="D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G19" i="2"/>
  <c r="AN39" i="1"/>
  <c r="AN104" i="6"/>
  <c r="AI107" i="6"/>
  <c r="AI42" i="1"/>
  <c r="AG43" i="1"/>
  <c r="AG108" i="6"/>
  <c r="AM32" i="6"/>
  <c r="AE16" i="2"/>
  <c r="AE15" i="2"/>
  <c r="AG20" i="6"/>
  <c r="AF20" i="6" s="1"/>
  <c r="AG19" i="6"/>
  <c r="AH21" i="2"/>
  <c r="AO37" i="1"/>
  <c r="AO102" i="6"/>
  <c r="AO35" i="6" s="1"/>
  <c r="AO35" i="2"/>
  <c r="AN34" i="2" s="1"/>
  <c r="AM33" i="2" s="1"/>
  <c r="AL40" i="1"/>
  <c r="AL105" i="6"/>
  <c r="BI62" i="2"/>
  <c r="BI30" i="2"/>
  <c r="BI57" i="2"/>
  <c r="BI25" i="2"/>
  <c r="BI56" i="2"/>
  <c r="BI24" i="2"/>
  <c r="BI51" i="2"/>
  <c r="BI19" i="2"/>
  <c r="BI50" i="2"/>
  <c r="BI18" i="2"/>
  <c r="BI45" i="2"/>
  <c r="BI13" i="2"/>
  <c r="BI44" i="2"/>
  <c r="BI71" i="2"/>
  <c r="BI39" i="2"/>
  <c r="BI54" i="2"/>
  <c r="BI22" i="2"/>
  <c r="BI49" i="2"/>
  <c r="BI17" i="2"/>
  <c r="BI48" i="2"/>
  <c r="BI16" i="2"/>
  <c r="BI43" i="2"/>
  <c r="BI73" i="2"/>
  <c r="BI42" i="2"/>
  <c r="BI69" i="2"/>
  <c r="BI37" i="2"/>
  <c r="BI68" i="2"/>
  <c r="BI36" i="2"/>
  <c r="BI63" i="2"/>
  <c r="BI31" i="2"/>
  <c r="BI38" i="2"/>
  <c r="BI33" i="2"/>
  <c r="BI32" i="2"/>
  <c r="BI27" i="2"/>
  <c r="BI26" i="2"/>
  <c r="BI21" i="2"/>
  <c r="BI20" i="2"/>
  <c r="BI15" i="2"/>
  <c r="BI14" i="2"/>
  <c r="BI72" i="2"/>
  <c r="BI67" i="2"/>
  <c r="BI66" i="2"/>
  <c r="BI61" i="2"/>
  <c r="BI60" i="2"/>
  <c r="BI55" i="2"/>
  <c r="BI70" i="2"/>
  <c r="BI65" i="2"/>
  <c r="BI64" i="2"/>
  <c r="BI59" i="2"/>
  <c r="BI58" i="2"/>
  <c r="BI53" i="2"/>
  <c r="BI52" i="2"/>
  <c r="BI47" i="2"/>
  <c r="BI46" i="2"/>
  <c r="BI41" i="2"/>
  <c r="BI40" i="2"/>
  <c r="BI35" i="2"/>
  <c r="BI34" i="2"/>
  <c r="BI29" i="2"/>
  <c r="BI28" i="2"/>
  <c r="BI23" i="2"/>
  <c r="AM39" i="1"/>
  <c r="AM104" i="6"/>
  <c r="AJ26" i="2"/>
  <c r="AH44" i="1"/>
  <c r="AH109" i="6"/>
  <c r="AR136" i="6"/>
  <c r="AB136" i="6"/>
  <c r="L136" i="6"/>
  <c r="AW136" i="6"/>
  <c r="Q136" i="6"/>
  <c r="AM136" i="6"/>
  <c r="G136" i="6"/>
  <c r="AT136" i="6"/>
  <c r="AD136" i="6"/>
  <c r="N136" i="6"/>
  <c r="BA136" i="6"/>
  <c r="U136" i="6"/>
  <c r="AQ136" i="6"/>
  <c r="K136" i="6"/>
  <c r="AZ136" i="6"/>
  <c r="AJ136" i="6"/>
  <c r="T136" i="6"/>
  <c r="D136" i="6"/>
  <c r="AV136" i="6"/>
  <c r="AF136" i="6"/>
  <c r="P136" i="6"/>
  <c r="BE136" i="6"/>
  <c r="Y136" i="6"/>
  <c r="AU136" i="6"/>
  <c r="O136" i="6"/>
  <c r="AX136" i="6"/>
  <c r="AH136" i="6"/>
  <c r="AN136" i="6"/>
  <c r="AG136" i="6"/>
  <c r="W136" i="6"/>
  <c r="AL136" i="6"/>
  <c r="J136" i="6"/>
  <c r="AK136" i="6"/>
  <c r="AY136" i="6"/>
  <c r="C136" i="6"/>
  <c r="X136" i="6"/>
  <c r="I136" i="6"/>
  <c r="A137" i="6"/>
  <c r="Z136" i="6"/>
  <c r="F136" i="6"/>
  <c r="AC136" i="6"/>
  <c r="AI136" i="6"/>
  <c r="H136" i="6"/>
  <c r="BC136" i="6"/>
  <c r="BB136" i="6"/>
  <c r="V136" i="6"/>
  <c r="B136" i="6"/>
  <c r="M136" i="6"/>
  <c r="AA136" i="6"/>
  <c r="BD136" i="6"/>
  <c r="AO136" i="6"/>
  <c r="AE136" i="6"/>
  <c r="AP136" i="6"/>
  <c r="R136" i="6"/>
  <c r="AS136" i="6"/>
  <c r="E136" i="6"/>
  <c r="S136" i="6"/>
  <c r="BH136" i="6"/>
  <c r="BJ136" i="6"/>
  <c r="BI136" i="6"/>
  <c r="BG136" i="6"/>
  <c r="BF136" i="6"/>
  <c r="AM31" i="6"/>
  <c r="AK104" i="6"/>
  <c r="AK39" i="1"/>
  <c r="AJ26" i="6"/>
  <c r="AJ25" i="6"/>
  <c r="AE16" i="6"/>
  <c r="AE15" i="6"/>
  <c r="BJ65" i="2"/>
  <c r="BJ33" i="2"/>
  <c r="BJ62" i="2"/>
  <c r="BJ30" i="2"/>
  <c r="BJ59" i="2"/>
  <c r="BJ27" i="2"/>
  <c r="BJ56" i="2"/>
  <c r="BJ24" i="2"/>
  <c r="BJ53" i="2"/>
  <c r="BJ21" i="2"/>
  <c r="BJ50" i="2"/>
  <c r="BJ18" i="2"/>
  <c r="BJ47" i="2"/>
  <c r="BJ15" i="2"/>
  <c r="BJ44" i="2"/>
  <c r="BJ57" i="2"/>
  <c r="BJ25" i="2"/>
  <c r="BJ54" i="2"/>
  <c r="BJ22" i="2"/>
  <c r="BJ51" i="2"/>
  <c r="BJ19" i="2"/>
  <c r="BJ48" i="2"/>
  <c r="BJ16" i="2"/>
  <c r="BJ45" i="2"/>
  <c r="BJ13" i="2"/>
  <c r="BJ42" i="2"/>
  <c r="BJ71" i="2"/>
  <c r="BJ39" i="2"/>
  <c r="BJ68" i="2"/>
  <c r="BJ36" i="2"/>
  <c r="BJ49" i="2"/>
  <c r="BJ17" i="2"/>
  <c r="BJ46" i="2"/>
  <c r="BJ14" i="2"/>
  <c r="BJ43" i="2"/>
  <c r="BJ72" i="2"/>
  <c r="BJ40" i="2"/>
  <c r="BJ69" i="2"/>
  <c r="BJ37" i="2"/>
  <c r="BJ66" i="2"/>
  <c r="BJ34" i="2"/>
  <c r="BJ63" i="2"/>
  <c r="BJ31" i="2"/>
  <c r="BJ60" i="2"/>
  <c r="BJ28" i="2"/>
  <c r="BJ73" i="2"/>
  <c r="BJ41" i="2"/>
  <c r="BJ70" i="2"/>
  <c r="BJ38" i="2"/>
  <c r="BJ67" i="2"/>
  <c r="BJ35" i="2"/>
  <c r="BJ64" i="2"/>
  <c r="BJ32" i="2"/>
  <c r="BJ61" i="2"/>
  <c r="BJ29" i="2"/>
  <c r="BJ58" i="2"/>
  <c r="BJ26" i="2"/>
  <c r="BJ55" i="2"/>
  <c r="BJ23" i="2"/>
  <c r="BJ52" i="2"/>
  <c r="BJ20" i="2"/>
  <c r="BJ78" i="6"/>
  <c r="BJ80" i="6"/>
  <c r="BJ81" i="6"/>
  <c r="BJ82" i="6"/>
  <c r="BJ83" i="6"/>
  <c r="BJ84" i="6"/>
  <c r="BJ85" i="6"/>
  <c r="BJ86" i="6"/>
  <c r="BJ87" i="6"/>
  <c r="BJ88" i="6"/>
  <c r="BJ89" i="6"/>
  <c r="BJ90" i="6"/>
  <c r="BJ91" i="6"/>
  <c r="BJ92" i="6"/>
  <c r="BJ93" i="6"/>
  <c r="BJ94" i="6"/>
  <c r="BJ95" i="6"/>
  <c r="BJ96" i="6"/>
  <c r="BJ97" i="6"/>
  <c r="BJ98" i="6"/>
  <c r="BJ99" i="6"/>
  <c r="BJ100" i="6"/>
  <c r="BJ101" i="6"/>
  <c r="BJ102" i="6"/>
  <c r="BJ103" i="6"/>
  <c r="BJ104" i="6"/>
  <c r="BJ105" i="6"/>
  <c r="BJ106" i="6"/>
  <c r="BJ107" i="6"/>
  <c r="BJ108" i="6"/>
  <c r="BJ109" i="6"/>
  <c r="BJ110" i="6"/>
  <c r="BJ111" i="6"/>
  <c r="BJ112" i="6"/>
  <c r="BJ113" i="6"/>
  <c r="BJ114" i="6"/>
  <c r="BJ115" i="6"/>
  <c r="BJ116" i="6"/>
  <c r="BJ117" i="6"/>
  <c r="BJ118" i="6"/>
  <c r="BJ119" i="6"/>
  <c r="BJ120" i="6"/>
  <c r="BJ121" i="6"/>
  <c r="BJ122" i="6"/>
  <c r="BJ123" i="6"/>
  <c r="BJ124" i="6"/>
  <c r="BJ125" i="6"/>
  <c r="BJ126" i="6"/>
  <c r="BJ127" i="6"/>
  <c r="BJ128" i="6"/>
  <c r="BJ129" i="6"/>
  <c r="BJ130" i="6"/>
  <c r="BJ131" i="6"/>
  <c r="BJ132" i="6"/>
  <c r="BJ133" i="6"/>
  <c r="BJ134" i="6"/>
  <c r="AJ41" i="1"/>
  <c r="AJ106" i="6"/>
  <c r="AJ27" i="6"/>
  <c r="AL30" i="2"/>
  <c r="AL29" i="2"/>
  <c r="AM32" i="2"/>
  <c r="AG22" i="2" l="1"/>
  <c r="AG21" i="2"/>
  <c r="AG20" i="2"/>
  <c r="AN34" i="6"/>
  <c r="AL32" i="2"/>
  <c r="AJ42" i="1"/>
  <c r="AJ107" i="6"/>
  <c r="AL31" i="6"/>
  <c r="AL30" i="6"/>
  <c r="AI25" i="2"/>
  <c r="AM105" i="6"/>
  <c r="AM40" i="1"/>
  <c r="AF19" i="6"/>
  <c r="AE19" i="6" s="1"/>
  <c r="AF18" i="6"/>
  <c r="AG44" i="1"/>
  <c r="AG109" i="6"/>
  <c r="AI108" i="6"/>
  <c r="AI43" i="1"/>
  <c r="AF110" i="6"/>
  <c r="AK29" i="2"/>
  <c r="AK28" i="2"/>
  <c r="AI25" i="6"/>
  <c r="AI24" i="6"/>
  <c r="AK40" i="1"/>
  <c r="AK105" i="6"/>
  <c r="AL41" i="1"/>
  <c r="AL106" i="6"/>
  <c r="AO38" i="1"/>
  <c r="AO103" i="6"/>
  <c r="AO36" i="6" s="1"/>
  <c r="AO36" i="2"/>
  <c r="AN35" i="2" s="1"/>
  <c r="AM34" i="2" s="1"/>
  <c r="AN40" i="1"/>
  <c r="AN105" i="6"/>
  <c r="F73" i="2"/>
  <c r="B73" i="2"/>
  <c r="E73" i="2"/>
  <c r="D73" i="2"/>
  <c r="G73" i="2"/>
  <c r="C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I26" i="6"/>
  <c r="AV137" i="6"/>
  <c r="AF137" i="6"/>
  <c r="P137" i="6"/>
  <c r="AY137" i="6"/>
  <c r="S137" i="6"/>
  <c r="AW137" i="6"/>
  <c r="Q137" i="6"/>
  <c r="BB137" i="6"/>
  <c r="AL137" i="6"/>
  <c r="V137" i="6"/>
  <c r="F137" i="6"/>
  <c r="AM137" i="6"/>
  <c r="G137" i="6"/>
  <c r="AC137" i="6"/>
  <c r="BD137" i="6"/>
  <c r="AJ137" i="6"/>
  <c r="L137" i="6"/>
  <c r="AI137" i="6"/>
  <c r="BE137" i="6"/>
  <c r="I137" i="6"/>
  <c r="AT137" i="6"/>
  <c r="Z137" i="6"/>
  <c r="B137" i="6"/>
  <c r="W137" i="6"/>
  <c r="AK137" i="6"/>
  <c r="AZ137" i="6"/>
  <c r="AB137" i="6"/>
  <c r="H137" i="6"/>
  <c r="AA137" i="6"/>
  <c r="AO137" i="6"/>
  <c r="A138" i="6"/>
  <c r="AP137" i="6"/>
  <c r="R137" i="6"/>
  <c r="BC137" i="6"/>
  <c r="O137" i="6"/>
  <c r="U137" i="6"/>
  <c r="AR137" i="6"/>
  <c r="X137" i="6"/>
  <c r="D137" i="6"/>
  <c r="K137" i="6"/>
  <c r="AG137" i="6"/>
  <c r="BF137" i="6"/>
  <c r="AH137" i="6"/>
  <c r="N137" i="6"/>
  <c r="AU137" i="6"/>
  <c r="BA137" i="6"/>
  <c r="M137" i="6"/>
  <c r="AN137" i="6"/>
  <c r="T137" i="6"/>
  <c r="AQ137" i="6"/>
  <c r="C137" i="6"/>
  <c r="Y137" i="6"/>
  <c r="AX137" i="6"/>
  <c r="AD137" i="6"/>
  <c r="J137" i="6"/>
  <c r="AE137" i="6"/>
  <c r="AS137" i="6"/>
  <c r="E137" i="6"/>
  <c r="BJ137" i="6"/>
  <c r="BI137" i="6"/>
  <c r="BG137" i="6"/>
  <c r="BH137" i="6"/>
  <c r="AH45" i="1"/>
  <c r="AH110" i="6"/>
  <c r="AL31" i="2"/>
  <c r="AM33" i="6"/>
  <c r="AL32" i="6" s="1"/>
  <c r="AD15" i="6"/>
  <c r="AD14" i="6"/>
  <c r="AD15" i="2"/>
  <c r="AD14" i="2"/>
  <c r="AF18" i="2"/>
  <c r="AF21" i="2" l="1"/>
  <c r="AK31" i="2"/>
  <c r="AF20" i="2"/>
  <c r="AF19" i="2"/>
  <c r="AL33" i="2"/>
  <c r="AK32" i="2" s="1"/>
  <c r="AN35" i="6"/>
  <c r="AM34" i="6" s="1"/>
  <c r="AH25" i="6"/>
  <c r="AM106" i="6"/>
  <c r="AM41" i="1"/>
  <c r="AE17" i="2"/>
  <c r="AO39" i="1"/>
  <c r="AO104" i="6"/>
  <c r="AO37" i="6" s="1"/>
  <c r="AO37" i="2"/>
  <c r="AN36" i="2" s="1"/>
  <c r="AM35" i="2" s="1"/>
  <c r="AL42" i="1"/>
  <c r="AL107" i="6"/>
  <c r="AK41" i="1"/>
  <c r="AK106" i="6"/>
  <c r="AI44" i="1"/>
  <c r="AI109" i="6"/>
  <c r="AE18" i="6"/>
  <c r="AD18" i="6" s="1"/>
  <c r="AE17" i="6"/>
  <c r="AK30" i="6"/>
  <c r="AK29" i="6"/>
  <c r="AH46" i="1"/>
  <c r="AH111" i="6"/>
  <c r="AJ28" i="2"/>
  <c r="AJ27" i="2"/>
  <c r="AG45" i="1"/>
  <c r="AG110" i="6"/>
  <c r="AK31" i="6"/>
  <c r="AJ43" i="1"/>
  <c r="AJ108" i="6"/>
  <c r="AC14" i="2"/>
  <c r="AC13" i="2"/>
  <c r="AC14" i="6"/>
  <c r="AC13" i="6"/>
  <c r="BF138" i="6"/>
  <c r="AP138" i="6"/>
  <c r="Z138" i="6"/>
  <c r="J138" i="6"/>
  <c r="AS138" i="6"/>
  <c r="M138" i="6"/>
  <c r="AM138" i="6"/>
  <c r="G138" i="6"/>
  <c r="AV138" i="6"/>
  <c r="AF138" i="6"/>
  <c r="P138" i="6"/>
  <c r="BE138" i="6"/>
  <c r="Y138" i="6"/>
  <c r="AY138" i="6"/>
  <c r="S138" i="6"/>
  <c r="BB138" i="6"/>
  <c r="AH138" i="6"/>
  <c r="N138" i="6"/>
  <c r="AK138" i="6"/>
  <c r="BC138" i="6"/>
  <c r="O138" i="6"/>
  <c r="AR138" i="6"/>
  <c r="X138" i="6"/>
  <c r="D138" i="6"/>
  <c r="Q138" i="6"/>
  <c r="AI138" i="6"/>
  <c r="AX138" i="6"/>
  <c r="AD138" i="6"/>
  <c r="F138" i="6"/>
  <c r="AC138" i="6"/>
  <c r="AU138" i="6"/>
  <c r="A139" i="6"/>
  <c r="AN138" i="6"/>
  <c r="T138" i="6"/>
  <c r="AW138" i="6"/>
  <c r="I138" i="6"/>
  <c r="AA138" i="6"/>
  <c r="AT138" i="6"/>
  <c r="V138" i="6"/>
  <c r="B138" i="6"/>
  <c r="U138" i="6"/>
  <c r="AE138" i="6"/>
  <c r="BD138" i="6"/>
  <c r="AJ138" i="6"/>
  <c r="L138" i="6"/>
  <c r="AO138" i="6"/>
  <c r="BG138" i="6"/>
  <c r="K138" i="6"/>
  <c r="AL138" i="6"/>
  <c r="R138" i="6"/>
  <c r="BA138" i="6"/>
  <c r="E138" i="6"/>
  <c r="W138" i="6"/>
  <c r="AZ138" i="6"/>
  <c r="AB138" i="6"/>
  <c r="H138" i="6"/>
  <c r="AG138" i="6"/>
  <c r="AQ138" i="6"/>
  <c r="C138" i="6"/>
  <c r="BH138" i="6"/>
  <c r="BI138" i="6"/>
  <c r="BJ138" i="6"/>
  <c r="AK30" i="2"/>
  <c r="AN41" i="1"/>
  <c r="AN106" i="6"/>
  <c r="AH24" i="6"/>
  <c r="AH23" i="6"/>
  <c r="AH24" i="2"/>
  <c r="AJ30" i="2" l="1"/>
  <c r="AJ31" i="2"/>
  <c r="AE20" i="2"/>
  <c r="AE19" i="2"/>
  <c r="AJ29" i="2"/>
  <c r="AI29" i="2" s="1"/>
  <c r="AE18" i="2"/>
  <c r="AG24" i="6"/>
  <c r="AB13" i="6"/>
  <c r="AB13" i="2"/>
  <c r="AL34" i="2"/>
  <c r="AK33" i="2" s="1"/>
  <c r="AJ32" i="2" s="1"/>
  <c r="AN36" i="6"/>
  <c r="AM35" i="6" s="1"/>
  <c r="AL34" i="6" s="1"/>
  <c r="AG111" i="6"/>
  <c r="AG23" i="6"/>
  <c r="AG22" i="6"/>
  <c r="AL33" i="6"/>
  <c r="AJ29" i="6"/>
  <c r="AJ28" i="6"/>
  <c r="AD16" i="2"/>
  <c r="AM42" i="1"/>
  <c r="AM107" i="6"/>
  <c r="AG23" i="2"/>
  <c r="AN42" i="1"/>
  <c r="AN107" i="6"/>
  <c r="AJ109" i="6"/>
  <c r="AJ44" i="1"/>
  <c r="AI27" i="2"/>
  <c r="AI26" i="2"/>
  <c r="AJ30" i="6"/>
  <c r="AT139" i="6"/>
  <c r="AD139" i="6"/>
  <c r="N139" i="6"/>
  <c r="BG139" i="6"/>
  <c r="AA139" i="6"/>
  <c r="BE139" i="6"/>
  <c r="Y139" i="6"/>
  <c r="AV139" i="6"/>
  <c r="AF139" i="6"/>
  <c r="P139" i="6"/>
  <c r="BC139" i="6"/>
  <c r="W139" i="6"/>
  <c r="AS139" i="6"/>
  <c r="M139" i="6"/>
  <c r="BF139" i="6"/>
  <c r="AP139" i="6"/>
  <c r="Z139" i="6"/>
  <c r="J139" i="6"/>
  <c r="AY139" i="6"/>
  <c r="S139" i="6"/>
  <c r="AW139" i="6"/>
  <c r="Q139" i="6"/>
  <c r="BH139" i="6"/>
  <c r="AR139" i="6"/>
  <c r="AB139" i="6"/>
  <c r="L139" i="6"/>
  <c r="AU139" i="6"/>
  <c r="O139" i="6"/>
  <c r="AK139" i="6"/>
  <c r="E139" i="6"/>
  <c r="BB139" i="6"/>
  <c r="AL139" i="6"/>
  <c r="V139" i="6"/>
  <c r="F139" i="6"/>
  <c r="AQ139" i="6"/>
  <c r="K139" i="6"/>
  <c r="AO139" i="6"/>
  <c r="I139" i="6"/>
  <c r="BD139" i="6"/>
  <c r="AN139" i="6"/>
  <c r="X139" i="6"/>
  <c r="H139" i="6"/>
  <c r="AM139" i="6"/>
  <c r="G139" i="6"/>
  <c r="AC139" i="6"/>
  <c r="AX139" i="6"/>
  <c r="AH139" i="6"/>
  <c r="R139" i="6"/>
  <c r="B139" i="6"/>
  <c r="AI139" i="6"/>
  <c r="C139" i="6"/>
  <c r="AG139" i="6"/>
  <c r="A140" i="6"/>
  <c r="AZ139" i="6"/>
  <c r="AJ139" i="6"/>
  <c r="T139" i="6"/>
  <c r="D139" i="6"/>
  <c r="AE139" i="6"/>
  <c r="BA139" i="6"/>
  <c r="U139" i="6"/>
  <c r="BJ139" i="6"/>
  <c r="BI139" i="6"/>
  <c r="AH112" i="6"/>
  <c r="AD17" i="6"/>
  <c r="AC17" i="6" s="1"/>
  <c r="AD16" i="6"/>
  <c r="AI45" i="1"/>
  <c r="AI110" i="6"/>
  <c r="AK107" i="6"/>
  <c r="AK42" i="1"/>
  <c r="AL43" i="1"/>
  <c r="AL108" i="6"/>
  <c r="AO40" i="1"/>
  <c r="AO105" i="6"/>
  <c r="AO38" i="6" s="1"/>
  <c r="AO38" i="2"/>
  <c r="AI30" i="2" l="1"/>
  <c r="AH29" i="2" s="1"/>
  <c r="AD19" i="2"/>
  <c r="AI28" i="2"/>
  <c r="AH28" i="2" s="1"/>
  <c r="AD18" i="2"/>
  <c r="AF23" i="6"/>
  <c r="AD17" i="2"/>
  <c r="AN37" i="6"/>
  <c r="AM36" i="6" s="1"/>
  <c r="AL35" i="6" s="1"/>
  <c r="AC16" i="6"/>
  <c r="AB16" i="6" s="1"/>
  <c r="AC15" i="6"/>
  <c r="AC15" i="2"/>
  <c r="AI29" i="6"/>
  <c r="AK108" i="6"/>
  <c r="AK43" i="1"/>
  <c r="BD140" i="6"/>
  <c r="AR140" i="6"/>
  <c r="L140" i="6"/>
  <c r="U140" i="6"/>
  <c r="AE140" i="6"/>
  <c r="BF140" i="6"/>
  <c r="AP140" i="6"/>
  <c r="Z140" i="6"/>
  <c r="J140" i="6"/>
  <c r="AW140" i="6"/>
  <c r="Q140" i="6"/>
  <c r="AQ140" i="6"/>
  <c r="K140" i="6"/>
  <c r="AC140" i="6"/>
  <c r="P140" i="6"/>
  <c r="AV140" i="6"/>
  <c r="AJ140" i="6"/>
  <c r="D140" i="6"/>
  <c r="E140" i="6"/>
  <c r="W140" i="6"/>
  <c r="BB140" i="6"/>
  <c r="AL140" i="6"/>
  <c r="V140" i="6"/>
  <c r="F140" i="6"/>
  <c r="AO140" i="6"/>
  <c r="I140" i="6"/>
  <c r="AI140" i="6"/>
  <c r="C140" i="6"/>
  <c r="AS140" i="6"/>
  <c r="X140" i="6"/>
  <c r="BH140" i="6"/>
  <c r="AB140" i="6"/>
  <c r="BA140" i="6"/>
  <c r="AU140" i="6"/>
  <c r="O140" i="6"/>
  <c r="AX140" i="6"/>
  <c r="AH140" i="6"/>
  <c r="R140" i="6"/>
  <c r="B140" i="6"/>
  <c r="AG140" i="6"/>
  <c r="BG140" i="6"/>
  <c r="AA140" i="6"/>
  <c r="BC140" i="6"/>
  <c r="BI140" i="6"/>
  <c r="AF140" i="6"/>
  <c r="AZ140" i="6"/>
  <c r="T140" i="6"/>
  <c r="AK140" i="6"/>
  <c r="AM140" i="6"/>
  <c r="G140" i="6"/>
  <c r="AT140" i="6"/>
  <c r="AD140" i="6"/>
  <c r="N140" i="6"/>
  <c r="BE140" i="6"/>
  <c r="Y140" i="6"/>
  <c r="AY140" i="6"/>
  <c r="S140" i="6"/>
  <c r="M140" i="6"/>
  <c r="H140" i="6"/>
  <c r="AN140" i="6"/>
  <c r="BJ140" i="6"/>
  <c r="AJ45" i="1"/>
  <c r="AJ110" i="6"/>
  <c r="AK33" i="6"/>
  <c r="AK32" i="6"/>
  <c r="AO41" i="1"/>
  <c r="AO106" i="6"/>
  <c r="AO39" i="6" s="1"/>
  <c r="AO39" i="2"/>
  <c r="AN38" i="2" s="1"/>
  <c r="AL44" i="1"/>
  <c r="AL109" i="6"/>
  <c r="AI46" i="1"/>
  <c r="AI111" i="6"/>
  <c r="AH26" i="2"/>
  <c r="AH25" i="2"/>
  <c r="AF22" i="2"/>
  <c r="AM43" i="1"/>
  <c r="AM108" i="6"/>
  <c r="AN37" i="2"/>
  <c r="AI31" i="2"/>
  <c r="AN43" i="1"/>
  <c r="AN108" i="6"/>
  <c r="AI28" i="6"/>
  <c r="AI27" i="6"/>
  <c r="AF22" i="6"/>
  <c r="AF21" i="6"/>
  <c r="AC18" i="2" l="1"/>
  <c r="AH27" i="2"/>
  <c r="AG27" i="2" s="1"/>
  <c r="AC17" i="2"/>
  <c r="AG28" i="2"/>
  <c r="AE22" i="6"/>
  <c r="AC16" i="2"/>
  <c r="AH28" i="6"/>
  <c r="AM37" i="2"/>
  <c r="AM36" i="2"/>
  <c r="AB14" i="2"/>
  <c r="AH27" i="6"/>
  <c r="AH26" i="6"/>
  <c r="AN44" i="1"/>
  <c r="AN109" i="6"/>
  <c r="AH30" i="2"/>
  <c r="AE21" i="2"/>
  <c r="AK34" i="6"/>
  <c r="AJ33" i="6" s="1"/>
  <c r="AJ32" i="6"/>
  <c r="AJ31" i="6"/>
  <c r="AK44" i="1"/>
  <c r="AK109" i="6"/>
  <c r="AB15" i="6"/>
  <c r="AA15" i="6" s="1"/>
  <c r="AB14" i="6"/>
  <c r="AE21" i="6"/>
  <c r="AE20" i="6"/>
  <c r="AM109" i="6"/>
  <c r="AM44" i="1"/>
  <c r="AG25" i="2"/>
  <c r="AG24" i="2"/>
  <c r="AI47" i="1"/>
  <c r="AI112" i="6"/>
  <c r="AL45" i="1"/>
  <c r="AL110" i="6"/>
  <c r="AO42" i="1"/>
  <c r="AO107" i="6"/>
  <c r="AO40" i="6" s="1"/>
  <c r="AO40" i="2"/>
  <c r="AN39" i="2" s="1"/>
  <c r="AJ46" i="1"/>
  <c r="AJ111" i="6"/>
  <c r="AN38" i="6"/>
  <c r="AB17" i="2" l="1"/>
  <c r="AB16" i="2"/>
  <c r="AG26" i="2"/>
  <c r="AF26" i="2" s="1"/>
  <c r="AF27" i="2"/>
  <c r="AD21" i="6"/>
  <c r="AB15" i="2"/>
  <c r="AA15" i="2" s="1"/>
  <c r="AG27" i="6"/>
  <c r="AM38" i="2"/>
  <c r="AL37" i="2" s="1"/>
  <c r="AO43" i="1"/>
  <c r="AO108" i="6"/>
  <c r="AO41" i="6" s="1"/>
  <c r="AO41" i="2"/>
  <c r="AN40" i="2" s="1"/>
  <c r="AL111" i="6"/>
  <c r="AL46" i="1"/>
  <c r="AI113" i="6"/>
  <c r="AA14" i="6"/>
  <c r="Z14" i="6" s="1"/>
  <c r="AA13" i="6"/>
  <c r="AK110" i="6"/>
  <c r="AK45" i="1"/>
  <c r="AG29" i="2"/>
  <c r="AN45" i="1"/>
  <c r="AN110" i="6"/>
  <c r="AA13" i="2"/>
  <c r="AL36" i="2"/>
  <c r="AL35" i="2"/>
  <c r="AM110" i="6"/>
  <c r="AM45" i="1"/>
  <c r="AD20" i="6"/>
  <c r="AD19" i="6"/>
  <c r="AF24" i="2"/>
  <c r="AF23" i="2"/>
  <c r="AI31" i="6"/>
  <c r="AI30" i="6"/>
  <c r="AD20" i="2"/>
  <c r="AG26" i="6"/>
  <c r="AG25" i="6"/>
  <c r="AN39" i="6"/>
  <c r="AM38" i="6" s="1"/>
  <c r="AJ47" i="1"/>
  <c r="AJ112" i="6"/>
  <c r="AM37" i="6"/>
  <c r="AI32" i="6"/>
  <c r="AA16" i="2" l="1"/>
  <c r="AC20" i="6"/>
  <c r="AE26" i="2"/>
  <c r="AF25" i="2"/>
  <c r="AE25" i="2" s="1"/>
  <c r="Z15" i="2"/>
  <c r="AF26" i="6"/>
  <c r="AA14" i="2"/>
  <c r="Z14" i="2" s="1"/>
  <c r="AN40" i="6"/>
  <c r="AM39" i="6" s="1"/>
  <c r="AL38" i="6" s="1"/>
  <c r="AH30" i="6"/>
  <c r="AH29" i="6"/>
  <c r="AK36" i="2"/>
  <c r="AO44" i="1"/>
  <c r="AO109" i="6"/>
  <c r="AO42" i="6" s="1"/>
  <c r="AO42" i="2"/>
  <c r="AN41" i="2" s="1"/>
  <c r="AH31" i="6"/>
  <c r="AN46" i="1"/>
  <c r="AN111" i="6"/>
  <c r="Z13" i="6"/>
  <c r="Y13" i="6" s="1"/>
  <c r="AL37" i="6"/>
  <c r="AL36" i="6"/>
  <c r="AM111" i="6"/>
  <c r="AM46" i="1"/>
  <c r="AK111" i="6"/>
  <c r="AK46" i="1"/>
  <c r="AF25" i="6"/>
  <c r="AF24" i="6"/>
  <c r="AJ48" i="1"/>
  <c r="AJ113" i="6"/>
  <c r="AC19" i="2"/>
  <c r="AE23" i="2"/>
  <c r="AE22" i="2"/>
  <c r="AC19" i="6"/>
  <c r="AC18" i="6"/>
  <c r="AK35" i="2"/>
  <c r="AK34" i="2"/>
  <c r="AF28" i="2"/>
  <c r="AL47" i="1"/>
  <c r="AL112" i="6"/>
  <c r="AM39" i="2"/>
  <c r="AL38" i="2" s="1"/>
  <c r="AE25" i="6" l="1"/>
  <c r="AB19" i="6"/>
  <c r="AD25" i="2"/>
  <c r="AE24" i="2"/>
  <c r="AD24" i="2" s="1"/>
  <c r="Y14" i="2"/>
  <c r="Z13" i="2"/>
  <c r="Y13" i="2" s="1"/>
  <c r="AJ35" i="2"/>
  <c r="AK37" i="2"/>
  <c r="AJ36" i="2" s="1"/>
  <c r="AN41" i="6"/>
  <c r="AM40" i="6" s="1"/>
  <c r="AL39" i="6" s="1"/>
  <c r="AL48" i="1"/>
  <c r="AL113" i="6"/>
  <c r="AJ34" i="2"/>
  <c r="AJ33" i="2"/>
  <c r="AB18" i="2"/>
  <c r="AJ114" i="6"/>
  <c r="AK47" i="1"/>
  <c r="AK112" i="6"/>
  <c r="AG29" i="6"/>
  <c r="AG28" i="6"/>
  <c r="AD22" i="2"/>
  <c r="AD21" i="2"/>
  <c r="AM112" i="6"/>
  <c r="AM47" i="1"/>
  <c r="AK36" i="6"/>
  <c r="AK35" i="6"/>
  <c r="AM40" i="2"/>
  <c r="AL39" i="2" s="1"/>
  <c r="AG30" i="6"/>
  <c r="AE27" i="2"/>
  <c r="AB18" i="6"/>
  <c r="AB17" i="6"/>
  <c r="AE24" i="6"/>
  <c r="AE23" i="6"/>
  <c r="AK37" i="6"/>
  <c r="AN47" i="1"/>
  <c r="AN112" i="6"/>
  <c r="AO45" i="1"/>
  <c r="AO110" i="6"/>
  <c r="AO43" i="6" s="1"/>
  <c r="AN42" i="6" s="1"/>
  <c r="AO43" i="2"/>
  <c r="AD24" i="6" l="1"/>
  <c r="AC24" i="2"/>
  <c r="AA18" i="6"/>
  <c r="AD23" i="2"/>
  <c r="AC23" i="2" s="1"/>
  <c r="X13" i="2"/>
  <c r="AI34" i="2"/>
  <c r="AF29" i="6"/>
  <c r="AD26" i="2"/>
  <c r="AJ36" i="6"/>
  <c r="AI35" i="2"/>
  <c r="AH34" i="2" s="1"/>
  <c r="AM41" i="6"/>
  <c r="AL40" i="6" s="1"/>
  <c r="AK39" i="6" s="1"/>
  <c r="AO46" i="1"/>
  <c r="AO111" i="6"/>
  <c r="AO44" i="6" s="1"/>
  <c r="AO44" i="2"/>
  <c r="AN43" i="2" s="1"/>
  <c r="AN113" i="6"/>
  <c r="AN48" i="1"/>
  <c r="AN42" i="2"/>
  <c r="AF28" i="6"/>
  <c r="AF27" i="6"/>
  <c r="AI33" i="2"/>
  <c r="AI32" i="2"/>
  <c r="AL49" i="1"/>
  <c r="AL114" i="6"/>
  <c r="AA17" i="6"/>
  <c r="AA16" i="6"/>
  <c r="AM113" i="6"/>
  <c r="AM48" i="1"/>
  <c r="AC21" i="2"/>
  <c r="AC20" i="2"/>
  <c r="AK48" i="1"/>
  <c r="AK113" i="6"/>
  <c r="AD23" i="6"/>
  <c r="AD22" i="6"/>
  <c r="AJ35" i="6"/>
  <c r="AJ34" i="6"/>
  <c r="AA17" i="2"/>
  <c r="AK38" i="6"/>
  <c r="AK38" i="2"/>
  <c r="AJ37" i="2" s="1"/>
  <c r="AC23" i="6" l="1"/>
  <c r="AB23" i="2"/>
  <c r="Z17" i="6"/>
  <c r="AE28" i="6"/>
  <c r="AC22" i="2"/>
  <c r="AB22" i="2" s="1"/>
  <c r="AH33" i="2"/>
  <c r="AG33" i="2" s="1"/>
  <c r="AI35" i="6"/>
  <c r="AJ38" i="6"/>
  <c r="AN43" i="6"/>
  <c r="AK49" i="1"/>
  <c r="AK114" i="6"/>
  <c r="AH32" i="2"/>
  <c r="AH31" i="2"/>
  <c r="AM42" i="2"/>
  <c r="AM41" i="2"/>
  <c r="AO47" i="1"/>
  <c r="AO112" i="6"/>
  <c r="AO45" i="6" s="1"/>
  <c r="AO45" i="2"/>
  <c r="AN44" i="2" s="1"/>
  <c r="Z16" i="2"/>
  <c r="AJ37" i="6"/>
  <c r="AI37" i="6" s="1"/>
  <c r="AM49" i="1"/>
  <c r="AM114" i="6"/>
  <c r="AI36" i="2"/>
  <c r="AH35" i="2" s="1"/>
  <c r="AI34" i="6"/>
  <c r="AI33" i="6"/>
  <c r="AC22" i="6"/>
  <c r="AC21" i="6"/>
  <c r="AB20" i="2"/>
  <c r="AB19" i="2"/>
  <c r="Z16" i="6"/>
  <c r="Z15" i="6"/>
  <c r="AL50" i="1"/>
  <c r="AL115" i="6"/>
  <c r="AE27" i="6"/>
  <c r="AE26" i="6"/>
  <c r="AN49" i="1"/>
  <c r="AN114" i="6"/>
  <c r="AC25" i="2"/>
  <c r="AB22" i="6" l="1"/>
  <c r="AA22" i="2"/>
  <c r="AD27" i="6"/>
  <c r="Y16" i="6"/>
  <c r="AB21" i="2"/>
  <c r="AA21" i="2" s="1"/>
  <c r="AG32" i="2"/>
  <c r="AF32" i="2" s="1"/>
  <c r="AH34" i="6"/>
  <c r="AI36" i="6"/>
  <c r="AG34" i="2"/>
  <c r="AF33" i="2" s="1"/>
  <c r="AB21" i="6"/>
  <c r="AB20" i="6"/>
  <c r="Y15" i="2"/>
  <c r="AB24" i="2"/>
  <c r="AD26" i="6"/>
  <c r="AD25" i="6"/>
  <c r="AL116" i="6"/>
  <c r="AA19" i="2"/>
  <c r="AA18" i="2"/>
  <c r="AO48" i="1"/>
  <c r="AO113" i="6"/>
  <c r="AO46" i="6" s="1"/>
  <c r="AO46" i="2"/>
  <c r="AN45" i="2" s="1"/>
  <c r="AG31" i="2"/>
  <c r="AG30" i="2"/>
  <c r="AM42" i="6"/>
  <c r="AK115" i="6"/>
  <c r="AN44" i="6"/>
  <c r="AM43" i="6" s="1"/>
  <c r="AH33" i="6"/>
  <c r="AH32" i="6"/>
  <c r="AN50" i="1"/>
  <c r="AN115" i="6"/>
  <c r="Y15" i="6"/>
  <c r="Y14" i="6"/>
  <c r="AM50" i="1"/>
  <c r="AM115" i="6"/>
  <c r="AL41" i="2"/>
  <c r="AL40" i="2"/>
  <c r="AM43" i="2"/>
  <c r="AA21" i="6" l="1"/>
  <c r="AC26" i="6"/>
  <c r="Z21" i="2"/>
  <c r="X15" i="6"/>
  <c r="AA20" i="2"/>
  <c r="Z20" i="2" s="1"/>
  <c r="AF31" i="2"/>
  <c r="AE31" i="2" s="1"/>
  <c r="AG33" i="6"/>
  <c r="AE32" i="2"/>
  <c r="AH36" i="6"/>
  <c r="AH35" i="6"/>
  <c r="AN45" i="6"/>
  <c r="AM44" i="6" s="1"/>
  <c r="AL43" i="6" s="1"/>
  <c r="AN51" i="1"/>
  <c r="AN116" i="6"/>
  <c r="X14" i="2"/>
  <c r="AF30" i="2"/>
  <c r="AF29" i="2"/>
  <c r="AO49" i="1"/>
  <c r="AO114" i="6"/>
  <c r="AO47" i="6" s="1"/>
  <c r="AO47" i="2"/>
  <c r="AN46" i="2" s="1"/>
  <c r="AM45" i="2" s="1"/>
  <c r="AA23" i="2"/>
  <c r="AK40" i="2"/>
  <c r="AK39" i="2"/>
  <c r="X14" i="6"/>
  <c r="X13" i="6"/>
  <c r="AM51" i="1"/>
  <c r="AM116" i="6"/>
  <c r="AG32" i="6"/>
  <c r="AG31" i="6"/>
  <c r="AM44" i="2"/>
  <c r="AL43" i="2" s="1"/>
  <c r="Z18" i="2"/>
  <c r="Z17" i="2"/>
  <c r="AL42" i="6"/>
  <c r="AL41" i="6"/>
  <c r="AC25" i="6"/>
  <c r="AB25" i="6" s="1"/>
  <c r="AC24" i="6"/>
  <c r="AL42" i="2"/>
  <c r="AA20" i="6"/>
  <c r="AA19" i="6"/>
  <c r="Z20" i="6" l="1"/>
  <c r="W14" i="6"/>
  <c r="Y20" i="2"/>
  <c r="AE30" i="2"/>
  <c r="AD30" i="2" s="1"/>
  <c r="Z19" i="2"/>
  <c r="Y19" i="2" s="1"/>
  <c r="AK42" i="2"/>
  <c r="AF32" i="6"/>
  <c r="AD31" i="2"/>
  <c r="AG35" i="6"/>
  <c r="AG34" i="6"/>
  <c r="AN46" i="6"/>
  <c r="AM45" i="6" s="1"/>
  <c r="AL44" i="6" s="1"/>
  <c r="AK42" i="6"/>
  <c r="AK41" i="2"/>
  <c r="AN52" i="1"/>
  <c r="AN117" i="6"/>
  <c r="Z19" i="6"/>
  <c r="Z18" i="6"/>
  <c r="AL44" i="2"/>
  <c r="AK43" i="2" s="1"/>
  <c r="W13" i="6"/>
  <c r="Z22" i="2"/>
  <c r="AO50" i="1"/>
  <c r="AO115" i="6"/>
  <c r="AO48" i="6" s="1"/>
  <c r="AO48" i="2"/>
  <c r="AN47" i="2" s="1"/>
  <c r="AM46" i="2" s="1"/>
  <c r="Y17" i="2"/>
  <c r="Y16" i="2"/>
  <c r="AF31" i="6"/>
  <c r="AF30" i="6"/>
  <c r="W13" i="2"/>
  <c r="AB24" i="6"/>
  <c r="AA24" i="6" s="1"/>
  <c r="AB23" i="6"/>
  <c r="AK41" i="6"/>
  <c r="AK40" i="6"/>
  <c r="AM117" i="6"/>
  <c r="AJ39" i="2"/>
  <c r="AJ38" i="2"/>
  <c r="AE29" i="2"/>
  <c r="AD29" i="2" s="1"/>
  <c r="AE28" i="2"/>
  <c r="Y19" i="6" l="1"/>
  <c r="X19" i="2"/>
  <c r="AJ41" i="2"/>
  <c r="V13" i="6"/>
  <c r="Y18" i="2"/>
  <c r="X18" i="2" s="1"/>
  <c r="AJ42" i="2"/>
  <c r="AE31" i="6"/>
  <c r="AC29" i="2"/>
  <c r="AC30" i="2"/>
  <c r="AJ41" i="6"/>
  <c r="AF34" i="6"/>
  <c r="AF33" i="6"/>
  <c r="AJ40" i="2"/>
  <c r="AL45" i="2"/>
  <c r="AK44" i="2" s="1"/>
  <c r="AN47" i="6"/>
  <c r="AM46" i="6" s="1"/>
  <c r="AL45" i="6" s="1"/>
  <c r="AK44" i="6" s="1"/>
  <c r="AK43" i="6"/>
  <c r="AJ42" i="6" s="1"/>
  <c r="AE30" i="6"/>
  <c r="AE29" i="6"/>
  <c r="AD28" i="2"/>
  <c r="AC28" i="2" s="1"/>
  <c r="AD27" i="2"/>
  <c r="AA23" i="6"/>
  <c r="Z23" i="6" s="1"/>
  <c r="AA22" i="6"/>
  <c r="AO51" i="1"/>
  <c r="AO116" i="6"/>
  <c r="AO49" i="6" s="1"/>
  <c r="AN48" i="6" s="1"/>
  <c r="AO49" i="2"/>
  <c r="AN48" i="2" s="1"/>
  <c r="AM47" i="2" s="1"/>
  <c r="Y18" i="6"/>
  <c r="Y17" i="6"/>
  <c r="AN118" i="6"/>
  <c r="X16" i="2"/>
  <c r="X15" i="2"/>
  <c r="AI38" i="2"/>
  <c r="AI37" i="2"/>
  <c r="AJ40" i="6"/>
  <c r="AJ39" i="6"/>
  <c r="Y21" i="2"/>
  <c r="X18" i="6" l="1"/>
  <c r="W18" i="2"/>
  <c r="AI40" i="2"/>
  <c r="AI41" i="2"/>
  <c r="X17" i="2"/>
  <c r="W17" i="2" s="1"/>
  <c r="AI40" i="6"/>
  <c r="AD30" i="6"/>
  <c r="AB28" i="2"/>
  <c r="AB29" i="2"/>
  <c r="AE33" i="6"/>
  <c r="AE32" i="6"/>
  <c r="AI39" i="2"/>
  <c r="AL46" i="2"/>
  <c r="AK45" i="2" s="1"/>
  <c r="AJ44" i="2" s="1"/>
  <c r="W15" i="2"/>
  <c r="W14" i="2"/>
  <c r="AO52" i="1"/>
  <c r="AO50" i="2"/>
  <c r="AN49" i="2" s="1"/>
  <c r="AO117" i="6"/>
  <c r="AO50" i="6" s="1"/>
  <c r="AD29" i="6"/>
  <c r="AC29" i="6" s="1"/>
  <c r="AD28" i="6"/>
  <c r="AI39" i="6"/>
  <c r="AI38" i="6"/>
  <c r="AC27" i="2"/>
  <c r="AB27" i="2" s="1"/>
  <c r="AC26" i="2"/>
  <c r="AJ43" i="6"/>
  <c r="X20" i="2"/>
  <c r="AH37" i="2"/>
  <c r="AH36" i="2"/>
  <c r="AJ43" i="2"/>
  <c r="X17" i="6"/>
  <c r="X16" i="6"/>
  <c r="Z22" i="6"/>
  <c r="Y22" i="6" s="1"/>
  <c r="Z21" i="6"/>
  <c r="AI41" i="6"/>
  <c r="AM47" i="6"/>
  <c r="AL46" i="6" s="1"/>
  <c r="W17" i="6" l="1"/>
  <c r="V17" i="2"/>
  <c r="AH39" i="2"/>
  <c r="AH40" i="2"/>
  <c r="AH40" i="6"/>
  <c r="W16" i="2"/>
  <c r="V16" i="2" s="1"/>
  <c r="U16" i="2" s="1"/>
  <c r="AH39" i="6"/>
  <c r="AA27" i="2"/>
  <c r="AA28" i="2"/>
  <c r="AD32" i="6"/>
  <c r="AD31" i="6"/>
  <c r="AH38" i="2"/>
  <c r="AN49" i="6"/>
  <c r="AK45" i="6"/>
  <c r="Y21" i="6"/>
  <c r="X21" i="6" s="1"/>
  <c r="Y20" i="6"/>
  <c r="AI43" i="2"/>
  <c r="AI42" i="2"/>
  <c r="AC28" i="6"/>
  <c r="AB28" i="6" s="1"/>
  <c r="AC27" i="6"/>
  <c r="V14" i="2"/>
  <c r="V13" i="2"/>
  <c r="AO53" i="1"/>
  <c r="AO51" i="2"/>
  <c r="AN50" i="2" s="1"/>
  <c r="AO118" i="6"/>
  <c r="AO51" i="6" s="1"/>
  <c r="W16" i="6"/>
  <c r="W15" i="6"/>
  <c r="AM48" i="2"/>
  <c r="AG36" i="2"/>
  <c r="AG35" i="2"/>
  <c r="AI42" i="6"/>
  <c r="W19" i="2"/>
  <c r="AB26" i="2"/>
  <c r="AA26" i="2" s="1"/>
  <c r="AB25" i="2"/>
  <c r="AH38" i="6"/>
  <c r="AH37" i="6"/>
  <c r="V16" i="6" l="1"/>
  <c r="AG38" i="2"/>
  <c r="AG39" i="2"/>
  <c r="AG39" i="6"/>
  <c r="AG38" i="6"/>
  <c r="V15" i="2"/>
  <c r="U15" i="2" s="1"/>
  <c r="T15" i="2" s="1"/>
  <c r="Z26" i="2"/>
  <c r="Z27" i="2"/>
  <c r="U13" i="2"/>
  <c r="AC31" i="6"/>
  <c r="AC30" i="6"/>
  <c r="AG37" i="2"/>
  <c r="AF37" i="2" s="1"/>
  <c r="AM49" i="2"/>
  <c r="AL48" i="2" s="1"/>
  <c r="AJ44" i="6"/>
  <c r="AF35" i="2"/>
  <c r="AF34" i="2"/>
  <c r="AO52" i="2"/>
  <c r="AN51" i="2" s="1"/>
  <c r="AM50" i="2" s="1"/>
  <c r="AO119" i="6"/>
  <c r="AO52" i="6" s="1"/>
  <c r="AN51" i="6" s="1"/>
  <c r="V18" i="2"/>
  <c r="AL47" i="2"/>
  <c r="AG37" i="6"/>
  <c r="AF37" i="6" s="1"/>
  <c r="AG36" i="6"/>
  <c r="V15" i="6"/>
  <c r="U15" i="6" s="1"/>
  <c r="V14" i="6"/>
  <c r="X20" i="6"/>
  <c r="W20" i="6" s="1"/>
  <c r="X19" i="6"/>
  <c r="AM48" i="6"/>
  <c r="AA25" i="2"/>
  <c r="Z25" i="2" s="1"/>
  <c r="AA24" i="2"/>
  <c r="AH41" i="6"/>
  <c r="AB27" i="6"/>
  <c r="AA27" i="6" s="1"/>
  <c r="AB26" i="6"/>
  <c r="AH42" i="2"/>
  <c r="AH41" i="2"/>
  <c r="AN50" i="6"/>
  <c r="AM49" i="6" s="1"/>
  <c r="AF38" i="2" l="1"/>
  <c r="AE37" i="2" s="1"/>
  <c r="AF38" i="6"/>
  <c r="AE37" i="6" s="1"/>
  <c r="Y25" i="2"/>
  <c r="U14" i="2"/>
  <c r="T14" i="2" s="1"/>
  <c r="S14" i="2" s="1"/>
  <c r="Y26" i="2"/>
  <c r="AF36" i="2"/>
  <c r="AE36" i="2" s="1"/>
  <c r="AB30" i="6"/>
  <c r="AB29" i="6"/>
  <c r="U14" i="6"/>
  <c r="T14" i="6" s="1"/>
  <c r="U13" i="6"/>
  <c r="AI43" i="6"/>
  <c r="AG41" i="2"/>
  <c r="AG40" i="2"/>
  <c r="Z24" i="2"/>
  <c r="Y24" i="2" s="1"/>
  <c r="Z23" i="2"/>
  <c r="AL48" i="6"/>
  <c r="AL47" i="6"/>
  <c r="AK47" i="2"/>
  <c r="AK46" i="2"/>
  <c r="U17" i="2"/>
  <c r="AE34" i="2"/>
  <c r="AE33" i="2"/>
  <c r="AL49" i="2"/>
  <c r="AK48" i="2" s="1"/>
  <c r="AM50" i="6"/>
  <c r="AL49" i="6" s="1"/>
  <c r="AA26" i="6"/>
  <c r="Z26" i="6" s="1"/>
  <c r="AA25" i="6"/>
  <c r="AG40" i="6"/>
  <c r="W19" i="6"/>
  <c r="V19" i="6" s="1"/>
  <c r="W18" i="6"/>
  <c r="AF36" i="6"/>
  <c r="AE36" i="6" s="1"/>
  <c r="AF35" i="6"/>
  <c r="AD36" i="6" l="1"/>
  <c r="X25" i="2"/>
  <c r="X24" i="2"/>
  <c r="T13" i="2"/>
  <c r="S13" i="2" s="1"/>
  <c r="R13" i="2" s="1"/>
  <c r="AE35" i="2"/>
  <c r="AD34" i="2" s="1"/>
  <c r="T13" i="6"/>
  <c r="S13" i="6" s="1"/>
  <c r="AA29" i="6"/>
  <c r="AA28" i="6"/>
  <c r="T16" i="2"/>
  <c r="AK48" i="6"/>
  <c r="AE35" i="6"/>
  <c r="AD35" i="6" s="1"/>
  <c r="AE34" i="6"/>
  <c r="AD36" i="2"/>
  <c r="Y23" i="2"/>
  <c r="X23" i="2" s="1"/>
  <c r="Y22" i="2"/>
  <c r="AH42" i="6"/>
  <c r="AF39" i="6"/>
  <c r="V18" i="6"/>
  <c r="U18" i="6" s="1"/>
  <c r="V17" i="6"/>
  <c r="Z25" i="6"/>
  <c r="Y25" i="6" s="1"/>
  <c r="Z24" i="6"/>
  <c r="AJ46" i="2"/>
  <c r="AJ45" i="2"/>
  <c r="AD33" i="2"/>
  <c r="AD32" i="2"/>
  <c r="AJ47" i="2"/>
  <c r="AK47" i="6"/>
  <c r="AK46" i="6"/>
  <c r="AF40" i="2"/>
  <c r="AF39" i="2"/>
  <c r="AC35" i="6" l="1"/>
  <c r="W24" i="2"/>
  <c r="W23" i="2"/>
  <c r="AJ47" i="6"/>
  <c r="AD35" i="2"/>
  <c r="AC35" i="2" s="1"/>
  <c r="AC33" i="2"/>
  <c r="AI46" i="2"/>
  <c r="Z28" i="6"/>
  <c r="Z27" i="6"/>
  <c r="AJ46" i="6"/>
  <c r="AJ45" i="6"/>
  <c r="AI45" i="2"/>
  <c r="AI44" i="2"/>
  <c r="U17" i="6"/>
  <c r="T17" i="6" s="1"/>
  <c r="U16" i="6"/>
  <c r="AD34" i="6"/>
  <c r="AC34" i="6" s="1"/>
  <c r="AD33" i="6"/>
  <c r="AG41" i="6"/>
  <c r="S15" i="2"/>
  <c r="AE39" i="2"/>
  <c r="AE38" i="2"/>
  <c r="Y24" i="6"/>
  <c r="X24" i="6" s="1"/>
  <c r="Y23" i="6"/>
  <c r="AE38" i="6"/>
  <c r="AC32" i="2"/>
  <c r="AC31" i="2"/>
  <c r="X22" i="2"/>
  <c r="W22" i="2" s="1"/>
  <c r="X21" i="2"/>
  <c r="AB34" i="6" l="1"/>
  <c r="V22" i="2"/>
  <c r="V23" i="2"/>
  <c r="AC34" i="2"/>
  <c r="AB34" i="2" s="1"/>
  <c r="AI46" i="6"/>
  <c r="AH45" i="2"/>
  <c r="AB32" i="2"/>
  <c r="Y27" i="6"/>
  <c r="Y26" i="6"/>
  <c r="W21" i="2"/>
  <c r="V21" i="2" s="1"/>
  <c r="U21" i="2" s="1"/>
  <c r="W20" i="2"/>
  <c r="AF40" i="6"/>
  <c r="AB31" i="2"/>
  <c r="AB30" i="2"/>
  <c r="X23" i="6"/>
  <c r="W23" i="6" s="1"/>
  <c r="X22" i="6"/>
  <c r="R14" i="2"/>
  <c r="T16" i="6"/>
  <c r="S16" i="6" s="1"/>
  <c r="T15" i="6"/>
  <c r="AC33" i="6"/>
  <c r="AB33" i="6" s="1"/>
  <c r="AC32" i="6"/>
  <c r="AI45" i="6"/>
  <c r="AI44" i="6"/>
  <c r="AD37" i="6"/>
  <c r="AD38" i="2"/>
  <c r="AD37" i="2"/>
  <c r="AH44" i="2"/>
  <c r="AH43" i="2"/>
  <c r="AA33" i="6" l="1"/>
  <c r="U22" i="2"/>
  <c r="T21" i="2" s="1"/>
  <c r="AB33" i="2"/>
  <c r="AA32" i="2" s="1"/>
  <c r="AA31" i="2"/>
  <c r="AH45" i="6"/>
  <c r="AG44" i="2"/>
  <c r="X26" i="6"/>
  <c r="X25" i="6"/>
  <c r="S15" i="6"/>
  <c r="R15" i="6" s="1"/>
  <c r="S14" i="6"/>
  <c r="W22" i="6"/>
  <c r="V22" i="6" s="1"/>
  <c r="W21" i="6"/>
  <c r="AC37" i="2"/>
  <c r="AC36" i="2"/>
  <c r="AB32" i="6"/>
  <c r="AA32" i="6" s="1"/>
  <c r="Z32" i="6" s="1"/>
  <c r="AB31" i="6"/>
  <c r="AG43" i="2"/>
  <c r="AG42" i="2"/>
  <c r="AH44" i="6"/>
  <c r="AH43" i="6"/>
  <c r="Q13" i="2"/>
  <c r="AA30" i="2"/>
  <c r="AA29" i="2"/>
  <c r="V20" i="2"/>
  <c r="U20" i="2" s="1"/>
  <c r="T20" i="2" s="1"/>
  <c r="V19" i="2"/>
  <c r="AC36" i="6"/>
  <c r="AE39" i="6"/>
  <c r="S20" i="2" l="1"/>
  <c r="AG44" i="6"/>
  <c r="Z30" i="2"/>
  <c r="AA33" i="2"/>
  <c r="Z32" i="2" s="1"/>
  <c r="Z31" i="2"/>
  <c r="AF43" i="2"/>
  <c r="W25" i="6"/>
  <c r="W24" i="6"/>
  <c r="AD38" i="6"/>
  <c r="U19" i="2"/>
  <c r="T19" i="2" s="1"/>
  <c r="S19" i="2" s="1"/>
  <c r="U18" i="2"/>
  <c r="AB36" i="2"/>
  <c r="AB35" i="2"/>
  <c r="V21" i="6"/>
  <c r="U21" i="6" s="1"/>
  <c r="V20" i="6"/>
  <c r="AB35" i="6"/>
  <c r="Z29" i="2"/>
  <c r="Z28" i="2"/>
  <c r="AF42" i="2"/>
  <c r="AF41" i="2"/>
  <c r="AA31" i="6"/>
  <c r="Z31" i="6" s="1"/>
  <c r="Y31" i="6" s="1"/>
  <c r="AA30" i="6"/>
  <c r="R14" i="6"/>
  <c r="Q14" i="6" s="1"/>
  <c r="R13" i="6"/>
  <c r="AG43" i="6"/>
  <c r="AG42" i="6"/>
  <c r="R19" i="2" l="1"/>
  <c r="AF43" i="6"/>
  <c r="AE42" i="2"/>
  <c r="Y30" i="2"/>
  <c r="Y29" i="2"/>
  <c r="Q13" i="6"/>
  <c r="P13" i="6" s="1"/>
  <c r="V24" i="6"/>
  <c r="V23" i="6"/>
  <c r="Z30" i="6"/>
  <c r="Y30" i="6" s="1"/>
  <c r="X30" i="6" s="1"/>
  <c r="Z29" i="6"/>
  <c r="Y28" i="2"/>
  <c r="Y27" i="2"/>
  <c r="T18" i="2"/>
  <c r="S18" i="2" s="1"/>
  <c r="R18" i="2" s="1"/>
  <c r="Q18" i="2" s="1"/>
  <c r="T17" i="2"/>
  <c r="AA35" i="2"/>
  <c r="AA34" i="2"/>
  <c r="Y31" i="2"/>
  <c r="AE41" i="2"/>
  <c r="AE40" i="2"/>
  <c r="AA34" i="6"/>
  <c r="AC37" i="6"/>
  <c r="AF42" i="6"/>
  <c r="AE42" i="6" s="1"/>
  <c r="AF41" i="6"/>
  <c r="U20" i="6"/>
  <c r="T20" i="6" s="1"/>
  <c r="U19" i="6"/>
  <c r="AD41" i="2" l="1"/>
  <c r="X29" i="2"/>
  <c r="X28" i="2"/>
  <c r="U23" i="6"/>
  <c r="U22" i="6"/>
  <c r="AE41" i="6"/>
  <c r="AD41" i="6" s="1"/>
  <c r="AE40" i="6"/>
  <c r="AD40" i="2"/>
  <c r="AD39" i="2"/>
  <c r="X27" i="2"/>
  <c r="X26" i="2"/>
  <c r="T19" i="6"/>
  <c r="S19" i="6" s="1"/>
  <c r="T18" i="6"/>
  <c r="S17" i="2"/>
  <c r="R17" i="2" s="1"/>
  <c r="Q17" i="2" s="1"/>
  <c r="P17" i="2" s="1"/>
  <c r="S16" i="2"/>
  <c r="Z33" i="6"/>
  <c r="X30" i="2"/>
  <c r="Z34" i="2"/>
  <c r="Z33" i="2"/>
  <c r="Y29" i="6"/>
  <c r="X29" i="6" s="1"/>
  <c r="W29" i="6" s="1"/>
  <c r="Y28" i="6"/>
  <c r="AB36" i="6"/>
  <c r="AC40" i="2" l="1"/>
  <c r="W28" i="2"/>
  <c r="W27" i="2"/>
  <c r="T22" i="6"/>
  <c r="T21" i="6"/>
  <c r="AA35" i="6"/>
  <c r="Y32" i="6"/>
  <c r="X28" i="6"/>
  <c r="W28" i="6" s="1"/>
  <c r="V28" i="6" s="1"/>
  <c r="X27" i="6"/>
  <c r="S18" i="6"/>
  <c r="R18" i="6" s="1"/>
  <c r="S17" i="6"/>
  <c r="AC39" i="2"/>
  <c r="AC38" i="2"/>
  <c r="R16" i="2"/>
  <c r="Q16" i="2" s="1"/>
  <c r="P16" i="2" s="1"/>
  <c r="O16" i="2" s="1"/>
  <c r="R15" i="2"/>
  <c r="W26" i="2"/>
  <c r="W25" i="2"/>
  <c r="AD40" i="6"/>
  <c r="AC40" i="6" s="1"/>
  <c r="AD39" i="6"/>
  <c r="W29" i="2"/>
  <c r="Y33" i="2"/>
  <c r="Y32" i="2"/>
  <c r="AB39" i="2" l="1"/>
  <c r="V26" i="2"/>
  <c r="V27" i="2"/>
  <c r="S21" i="6"/>
  <c r="S20" i="6"/>
  <c r="X31" i="6"/>
  <c r="X32" i="2"/>
  <c r="X31" i="2"/>
  <c r="AC39" i="6"/>
  <c r="AB39" i="6" s="1"/>
  <c r="AC38" i="6"/>
  <c r="Q15" i="2"/>
  <c r="P15" i="2" s="1"/>
  <c r="O15" i="2" s="1"/>
  <c r="N15" i="2" s="1"/>
  <c r="Q14" i="2"/>
  <c r="AB38" i="2"/>
  <c r="AA38" i="2" s="1"/>
  <c r="AB37" i="2"/>
  <c r="W27" i="6"/>
  <c r="V27" i="6" s="1"/>
  <c r="U27" i="6" s="1"/>
  <c r="W26" i="6"/>
  <c r="Z34" i="6"/>
  <c r="V28" i="2"/>
  <c r="V25" i="2"/>
  <c r="V24" i="2"/>
  <c r="R17" i="6"/>
  <c r="Q17" i="6" s="1"/>
  <c r="R16" i="6"/>
  <c r="U25" i="2" l="1"/>
  <c r="U26" i="2"/>
  <c r="R20" i="6"/>
  <c r="R19" i="6"/>
  <c r="Q16" i="6"/>
  <c r="P16" i="6" s="1"/>
  <c r="Q15" i="6"/>
  <c r="U27" i="2"/>
  <c r="AA37" i="2"/>
  <c r="Z37" i="2" s="1"/>
  <c r="AA36" i="2"/>
  <c r="AB38" i="6"/>
  <c r="AA38" i="6" s="1"/>
  <c r="AB37" i="6"/>
  <c r="V26" i="6"/>
  <c r="U26" i="6" s="1"/>
  <c r="T26" i="6" s="1"/>
  <c r="V25" i="6"/>
  <c r="W30" i="6"/>
  <c r="U24" i="2"/>
  <c r="U23" i="2"/>
  <c r="P14" i="2"/>
  <c r="O14" i="2" s="1"/>
  <c r="N14" i="2" s="1"/>
  <c r="M14" i="2" s="1"/>
  <c r="P13" i="2"/>
  <c r="W31" i="2"/>
  <c r="W30" i="2"/>
  <c r="Y33" i="6"/>
  <c r="T24" i="2" l="1"/>
  <c r="T25" i="2"/>
  <c r="O13" i="2"/>
  <c r="N13" i="2" s="1"/>
  <c r="M13" i="2" s="1"/>
  <c r="L13" i="2" s="1"/>
  <c r="Q19" i="6"/>
  <c r="Q18" i="6"/>
  <c r="T23" i="2"/>
  <c r="T22" i="2"/>
  <c r="U25" i="6"/>
  <c r="T25" i="6" s="1"/>
  <c r="S25" i="6" s="1"/>
  <c r="U24" i="6"/>
  <c r="Z36" i="2"/>
  <c r="Y36" i="2" s="1"/>
  <c r="Z35" i="2"/>
  <c r="P15" i="6"/>
  <c r="O15" i="6" s="1"/>
  <c r="P14" i="6"/>
  <c r="X32" i="6"/>
  <c r="V30" i="2"/>
  <c r="V29" i="2"/>
  <c r="V29" i="6"/>
  <c r="AA37" i="6"/>
  <c r="Z37" i="6" s="1"/>
  <c r="AA36" i="6"/>
  <c r="T26" i="2"/>
  <c r="S23" i="2" l="1"/>
  <c r="S24" i="2"/>
  <c r="P18" i="6"/>
  <c r="P17" i="6"/>
  <c r="Z36" i="6"/>
  <c r="Y36" i="6" s="1"/>
  <c r="Z35" i="6"/>
  <c r="U28" i="6"/>
  <c r="S25" i="2"/>
  <c r="W31" i="6"/>
  <c r="O14" i="6"/>
  <c r="N14" i="6" s="1"/>
  <c r="O13" i="6"/>
  <c r="T24" i="6"/>
  <c r="S24" i="6" s="1"/>
  <c r="R24" i="6" s="1"/>
  <c r="T23" i="6"/>
  <c r="S22" i="2"/>
  <c r="S21" i="2"/>
  <c r="U29" i="2"/>
  <c r="U28" i="2"/>
  <c r="Y35" i="2"/>
  <c r="X35" i="2" s="1"/>
  <c r="Y34" i="2"/>
  <c r="R23" i="2" l="1"/>
  <c r="R22" i="2"/>
  <c r="N13" i="6"/>
  <c r="M13" i="6" s="1"/>
  <c r="O17" i="6"/>
  <c r="O16" i="6"/>
  <c r="T28" i="2"/>
  <c r="T27" i="2"/>
  <c r="S23" i="6"/>
  <c r="R23" i="6" s="1"/>
  <c r="Q23" i="6" s="1"/>
  <c r="S22" i="6"/>
  <c r="V30" i="6"/>
  <c r="T27" i="6"/>
  <c r="X34" i="2"/>
  <c r="W34" i="2" s="1"/>
  <c r="X33" i="2"/>
  <c r="R21" i="2"/>
  <c r="Q21" i="2" s="1"/>
  <c r="R20" i="2"/>
  <c r="R24" i="2"/>
  <c r="Y35" i="6"/>
  <c r="X35" i="6" s="1"/>
  <c r="Y34" i="6"/>
  <c r="Q22" i="2" l="1"/>
  <c r="P21" i="2" s="1"/>
  <c r="N16" i="6"/>
  <c r="N15" i="6"/>
  <c r="W33" i="2"/>
  <c r="V33" i="2" s="1"/>
  <c r="W32" i="2"/>
  <c r="S26" i="6"/>
  <c r="R22" i="6"/>
  <c r="Q22" i="6" s="1"/>
  <c r="P22" i="6" s="1"/>
  <c r="R21" i="6"/>
  <c r="X34" i="6"/>
  <c r="W34" i="6" s="1"/>
  <c r="X33" i="6"/>
  <c r="Q20" i="2"/>
  <c r="P20" i="2" s="1"/>
  <c r="Q19" i="2"/>
  <c r="U29" i="6"/>
  <c r="S27" i="2"/>
  <c r="S26" i="2"/>
  <c r="Q23" i="2"/>
  <c r="O20" i="2" l="1"/>
  <c r="M15" i="6"/>
  <c r="M14" i="6"/>
  <c r="T28" i="6"/>
  <c r="W33" i="6"/>
  <c r="V33" i="6" s="1"/>
  <c r="W32" i="6"/>
  <c r="R25" i="6"/>
  <c r="P22" i="2"/>
  <c r="R26" i="2"/>
  <c r="R25" i="2"/>
  <c r="P19" i="2"/>
  <c r="O19" i="2" s="1"/>
  <c r="N19" i="2" s="1"/>
  <c r="P18" i="2"/>
  <c r="Q21" i="6"/>
  <c r="P21" i="6" s="1"/>
  <c r="O21" i="6" s="1"/>
  <c r="Q20" i="6"/>
  <c r="V32" i="2"/>
  <c r="U32" i="2" s="1"/>
  <c r="V31" i="2"/>
  <c r="L14" i="6" l="1"/>
  <c r="L13" i="6"/>
  <c r="P20" i="6"/>
  <c r="O20" i="6" s="1"/>
  <c r="N20" i="6" s="1"/>
  <c r="P19" i="6"/>
  <c r="O18" i="2"/>
  <c r="N18" i="2" s="1"/>
  <c r="M18" i="2" s="1"/>
  <c r="O17" i="2"/>
  <c r="O21" i="2"/>
  <c r="V32" i="6"/>
  <c r="U32" i="6" s="1"/>
  <c r="V31" i="6"/>
  <c r="U31" i="2"/>
  <c r="T31" i="2" s="1"/>
  <c r="U30" i="2"/>
  <c r="Q25" i="2"/>
  <c r="Q24" i="2"/>
  <c r="Q24" i="6"/>
  <c r="S27" i="6"/>
  <c r="K13" i="6" l="1"/>
  <c r="P23" i="6"/>
  <c r="T30" i="2"/>
  <c r="S30" i="2" s="1"/>
  <c r="T29" i="2"/>
  <c r="N20" i="2"/>
  <c r="O19" i="6"/>
  <c r="N19" i="6" s="1"/>
  <c r="M19" i="6" s="1"/>
  <c r="O18" i="6"/>
  <c r="R26" i="6"/>
  <c r="P24" i="2"/>
  <c r="P23" i="2"/>
  <c r="U31" i="6"/>
  <c r="T31" i="6" s="1"/>
  <c r="U30" i="6"/>
  <c r="N17" i="2"/>
  <c r="M17" i="2" s="1"/>
  <c r="L17" i="2" s="1"/>
  <c r="N16" i="2"/>
  <c r="M16" i="2" l="1"/>
  <c r="L16" i="2" s="1"/>
  <c r="K16" i="2" s="1"/>
  <c r="M15" i="2"/>
  <c r="M19" i="2"/>
  <c r="O22" i="6"/>
  <c r="O23" i="2"/>
  <c r="O22" i="2"/>
  <c r="T30" i="6"/>
  <c r="S30" i="6" s="1"/>
  <c r="T29" i="6"/>
  <c r="Q25" i="6"/>
  <c r="N18" i="6"/>
  <c r="M18" i="6" s="1"/>
  <c r="L18" i="6" s="1"/>
  <c r="N17" i="6"/>
  <c r="S29" i="2"/>
  <c r="R29" i="2" s="1"/>
  <c r="S28" i="2"/>
  <c r="P24" i="6" l="1"/>
  <c r="N22" i="2"/>
  <c r="N21" i="2"/>
  <c r="N21" i="6"/>
  <c r="L15" i="2"/>
  <c r="K15" i="2" s="1"/>
  <c r="J15" i="2" s="1"/>
  <c r="L14" i="2"/>
  <c r="R28" i="2"/>
  <c r="Q28" i="2" s="1"/>
  <c r="R27" i="2"/>
  <c r="M17" i="6"/>
  <c r="L17" i="6" s="1"/>
  <c r="K17" i="6" s="1"/>
  <c r="M16" i="6"/>
  <c r="S29" i="6"/>
  <c r="R29" i="6" s="1"/>
  <c r="S28" i="6"/>
  <c r="L18" i="2"/>
  <c r="Q27" i="2" l="1"/>
  <c r="P27" i="2" s="1"/>
  <c r="Q26" i="2"/>
  <c r="K17" i="2"/>
  <c r="L16" i="6"/>
  <c r="K16" i="6" s="1"/>
  <c r="J16" i="6" s="1"/>
  <c r="L15" i="6"/>
  <c r="M20" i="6"/>
  <c r="O23" i="6"/>
  <c r="R28" i="6"/>
  <c r="Q28" i="6" s="1"/>
  <c r="R27" i="6"/>
  <c r="K14" i="2"/>
  <c r="J14" i="2" s="1"/>
  <c r="I14" i="2" s="1"/>
  <c r="K13" i="2"/>
  <c r="M21" i="2"/>
  <c r="M20" i="2"/>
  <c r="K15" i="6" l="1"/>
  <c r="J15" i="6" s="1"/>
  <c r="I15" i="6" s="1"/>
  <c r="K14" i="6"/>
  <c r="Q27" i="6"/>
  <c r="P27" i="6" s="1"/>
  <c r="Q26" i="6"/>
  <c r="L20" i="2"/>
  <c r="L19" i="2"/>
  <c r="L19" i="6"/>
  <c r="J16" i="2"/>
  <c r="P26" i="2"/>
  <c r="O26" i="2" s="1"/>
  <c r="P25" i="2"/>
  <c r="J13" i="2"/>
  <c r="I13" i="2" s="1"/>
  <c r="H13" i="2" s="1"/>
  <c r="N22" i="6"/>
  <c r="K19" i="2" l="1"/>
  <c r="K18" i="2"/>
  <c r="K18" i="6"/>
  <c r="J14" i="6"/>
  <c r="I14" i="6" s="1"/>
  <c r="H14" i="6" s="1"/>
  <c r="J13" i="6"/>
  <c r="O25" i="2"/>
  <c r="N25" i="2" s="1"/>
  <c r="O24" i="2"/>
  <c r="M21" i="6"/>
  <c r="I15" i="2"/>
  <c r="P26" i="6"/>
  <c r="O26" i="6" s="1"/>
  <c r="P25" i="6"/>
  <c r="J17" i="6" l="1"/>
  <c r="H14" i="2"/>
  <c r="N24" i="2"/>
  <c r="M24" i="2" s="1"/>
  <c r="N23" i="2"/>
  <c r="I13" i="6"/>
  <c r="H13" i="6" s="1"/>
  <c r="G13" i="6" s="1"/>
  <c r="J18" i="2"/>
  <c r="J17" i="2"/>
  <c r="O25" i="6"/>
  <c r="N25" i="6" s="1"/>
  <c r="O24" i="6"/>
  <c r="L20" i="6"/>
  <c r="K19" i="6" l="1"/>
  <c r="N24" i="6"/>
  <c r="M24" i="6" s="1"/>
  <c r="N23" i="6"/>
  <c r="G13" i="2"/>
  <c r="M23" i="2"/>
  <c r="L23" i="2" s="1"/>
  <c r="M22" i="2"/>
  <c r="I16" i="6"/>
  <c r="I17" i="2"/>
  <c r="I16" i="2"/>
  <c r="M23" i="6" l="1"/>
  <c r="L23" i="6" s="1"/>
  <c r="M22" i="6"/>
  <c r="H15" i="6"/>
  <c r="J18" i="6"/>
  <c r="H16" i="2"/>
  <c r="H15" i="2"/>
  <c r="L22" i="2"/>
  <c r="K22" i="2" s="1"/>
  <c r="L21" i="2"/>
  <c r="K21" i="2" l="1"/>
  <c r="J21" i="2" s="1"/>
  <c r="K20" i="2"/>
  <c r="G14" i="6"/>
  <c r="I17" i="6"/>
  <c r="G15" i="2"/>
  <c r="G14" i="2"/>
  <c r="L22" i="6"/>
  <c r="K22" i="6" s="1"/>
  <c r="L21" i="6"/>
  <c r="K21" i="6" l="1"/>
  <c r="J21" i="6" s="1"/>
  <c r="K20" i="6"/>
  <c r="F14" i="2"/>
  <c r="F13" i="2"/>
  <c r="F13" i="6"/>
  <c r="H16" i="6"/>
  <c r="J20" i="2"/>
  <c r="I20" i="2" s="1"/>
  <c r="J19" i="2"/>
  <c r="E13" i="2" l="1"/>
  <c r="G15" i="6"/>
  <c r="I19" i="2"/>
  <c r="H19" i="2" s="1"/>
  <c r="I18" i="2"/>
  <c r="J20" i="6"/>
  <c r="I20" i="6" s="1"/>
  <c r="J19" i="6"/>
  <c r="H18" i="2" l="1"/>
  <c r="G18" i="2" s="1"/>
  <c r="H17" i="2"/>
  <c r="F14" i="6"/>
  <c r="I19" i="6"/>
  <c r="H19" i="6" s="1"/>
  <c r="I18" i="6"/>
  <c r="E13" i="6" l="1"/>
  <c r="H18" i="6"/>
  <c r="G18" i="6" s="1"/>
  <c r="H17" i="6"/>
  <c r="G17" i="2"/>
  <c r="F17" i="2" s="1"/>
  <c r="G16" i="2"/>
  <c r="G17" i="6" l="1"/>
  <c r="F17" i="6" s="1"/>
  <c r="G16" i="6"/>
  <c r="F16" i="2"/>
  <c r="E16" i="2" s="1"/>
  <c r="F15" i="2"/>
  <c r="F16" i="6" l="1"/>
  <c r="E16" i="6" s="1"/>
  <c r="F15" i="6"/>
  <c r="E15" i="2"/>
  <c r="D15" i="2" s="1"/>
  <c r="E14" i="2"/>
  <c r="E15" i="6" l="1"/>
  <c r="D15" i="6" s="1"/>
  <c r="E14" i="6"/>
  <c r="D14" i="2"/>
  <c r="C14" i="2" s="1"/>
  <c r="D13" i="2"/>
  <c r="C13" i="2" l="1"/>
  <c r="B13" i="2" s="1"/>
  <c r="L3" i="1" s="1"/>
  <c r="AO8" i="1" s="1"/>
  <c r="D14" i="6"/>
  <c r="C14" i="6" s="1"/>
  <c r="D13" i="6"/>
  <c r="AM8" i="1" l="1"/>
  <c r="AN8" i="1"/>
  <c r="AK8" i="1"/>
  <c r="AL8" i="1"/>
  <c r="AI8" i="1"/>
  <c r="AJ8" i="1"/>
  <c r="AG8" i="1"/>
  <c r="AH8" i="1"/>
  <c r="AE8" i="1"/>
  <c r="AF8" i="1"/>
  <c r="AC8" i="1"/>
  <c r="AD8" i="1"/>
  <c r="AA8" i="1"/>
  <c r="AB8" i="1"/>
  <c r="Y8" i="1"/>
  <c r="Z8" i="1"/>
  <c r="W8" i="1"/>
  <c r="X8" i="1"/>
  <c r="U8" i="1"/>
  <c r="V8" i="1"/>
  <c r="S8" i="1"/>
  <c r="T8" i="1"/>
  <c r="Q8" i="1"/>
  <c r="R8" i="1"/>
  <c r="O8" i="1"/>
  <c r="P8" i="1"/>
  <c r="M8" i="1"/>
  <c r="N8" i="1"/>
  <c r="K8" i="1"/>
  <c r="L8" i="1"/>
  <c r="I8" i="1"/>
  <c r="J8" i="1"/>
  <c r="G8" i="1"/>
  <c r="H8" i="1"/>
  <c r="E8" i="1"/>
  <c r="F8" i="1"/>
  <c r="AP8" i="1"/>
  <c r="D8" i="1"/>
  <c r="C13" i="6"/>
  <c r="B13" i="6" s="1"/>
  <c r="L4" i="1" s="1"/>
  <c r="AO7" i="1" s="1"/>
  <c r="AO9" i="1" s="1"/>
  <c r="AM7" i="1" l="1"/>
  <c r="AM9" i="1" s="1"/>
  <c r="AN7" i="1"/>
  <c r="AN9" i="1" s="1"/>
  <c r="AK7" i="1"/>
  <c r="AK9" i="1" s="1"/>
  <c r="AL7" i="1"/>
  <c r="AL9" i="1" s="1"/>
  <c r="AI7" i="1"/>
  <c r="AI9" i="1" s="1"/>
  <c r="AJ7" i="1"/>
  <c r="AJ9" i="1" s="1"/>
  <c r="AG7" i="1"/>
  <c r="AG9" i="1" s="1"/>
  <c r="AH7" i="1"/>
  <c r="AH9" i="1" s="1"/>
  <c r="AE7" i="1"/>
  <c r="AE9" i="1" s="1"/>
  <c r="AF7" i="1"/>
  <c r="AF9" i="1" s="1"/>
  <c r="AC7" i="1"/>
  <c r="AC9" i="1" s="1"/>
  <c r="AD7" i="1"/>
  <c r="AD9" i="1" s="1"/>
  <c r="AA7" i="1"/>
  <c r="AA9" i="1" s="1"/>
  <c r="AB7" i="1"/>
  <c r="AB9" i="1" s="1"/>
  <c r="Y7" i="1"/>
  <c r="Y9" i="1" s="1"/>
  <c r="Z7" i="1"/>
  <c r="Z9" i="1" s="1"/>
  <c r="W7" i="1"/>
  <c r="W9" i="1" s="1"/>
  <c r="X7" i="1"/>
  <c r="X9" i="1" s="1"/>
  <c r="U7" i="1"/>
  <c r="U9" i="1" s="1"/>
  <c r="V7" i="1"/>
  <c r="V9" i="1" s="1"/>
  <c r="S7" i="1"/>
  <c r="S9" i="1" s="1"/>
  <c r="T7" i="1"/>
  <c r="T9" i="1" s="1"/>
  <c r="Q7" i="1"/>
  <c r="Q9" i="1" s="1"/>
  <c r="R7" i="1"/>
  <c r="R9" i="1" s="1"/>
  <c r="O7" i="1"/>
  <c r="O9" i="1" s="1"/>
  <c r="P7" i="1"/>
  <c r="P9" i="1" s="1"/>
  <c r="M7" i="1"/>
  <c r="M9" i="1" s="1"/>
  <c r="N7" i="1"/>
  <c r="N9" i="1" s="1"/>
  <c r="K7" i="1"/>
  <c r="K9" i="1" s="1"/>
  <c r="L7" i="1"/>
  <c r="L9" i="1" s="1"/>
  <c r="I7" i="1"/>
  <c r="I9" i="1" s="1"/>
  <c r="J7" i="1"/>
  <c r="J9" i="1" s="1"/>
  <c r="G7" i="1"/>
  <c r="G9" i="1" s="1"/>
  <c r="H7" i="1"/>
  <c r="H9" i="1" s="1"/>
  <c r="E7" i="1"/>
  <c r="E9" i="1" s="1"/>
  <c r="F7" i="1"/>
  <c r="F9" i="1" s="1"/>
  <c r="AP7" i="1"/>
  <c r="AP9" i="1" s="1"/>
  <c r="D7" i="1"/>
  <c r="D9" i="1" s="1"/>
  <c r="O4" i="1" l="1"/>
</calcChain>
</file>

<file path=xl/sharedStrings.xml><?xml version="1.0" encoding="utf-8"?>
<sst xmlns="http://schemas.openxmlformats.org/spreadsheetml/2006/main" count="67" uniqueCount="52">
  <si>
    <t>T</t>
  </si>
  <si>
    <t>i==&gt;</t>
  </si>
  <si>
    <t>time ==&gt;</t>
  </si>
  <si>
    <t>Price Binomial</t>
  </si>
  <si>
    <t>r0</t>
  </si>
  <si>
    <t>coupon</t>
  </si>
  <si>
    <t>Bond Assumption</t>
  </si>
  <si>
    <t>Bond Tree</t>
  </si>
  <si>
    <t>Interest Rate Assumptions</t>
  </si>
  <si>
    <t>Target</t>
  </si>
  <si>
    <t>Model Price</t>
  </si>
  <si>
    <t>Zeros (Data)</t>
  </si>
  <si>
    <t>Target = (Data - Model)^2</t>
  </si>
  <si>
    <t>Interest Rate Tree</t>
  </si>
  <si>
    <t>NaN</t>
  </si>
  <si>
    <t>Maturity</t>
  </si>
  <si>
    <t>Swap Rates</t>
  </si>
  <si>
    <t>Discount</t>
  </si>
  <si>
    <t>cc rate</t>
  </si>
  <si>
    <t>cap value</t>
  </si>
  <si>
    <t>CASH FLOW TREE</t>
  </si>
  <si>
    <t>Cap Strike Rate</t>
  </si>
  <si>
    <t>Cap Price Binomial</t>
  </si>
  <si>
    <t>Cap (Data)</t>
  </si>
  <si>
    <t>sigma(i)</t>
  </si>
  <si>
    <t>sigma (empirical)</t>
  </si>
  <si>
    <t>r_{i,0)</t>
  </si>
  <si>
    <t>r_up</t>
  </si>
  <si>
    <t>RESULTS SOLVER</t>
  </si>
  <si>
    <t>Change 2</t>
  </si>
  <si>
    <t>Ctrl-Shift-F</t>
  </si>
  <si>
    <t>Final Mat</t>
  </si>
  <si>
    <t>9 month Futures Rates Tree</t>
  </si>
  <si>
    <t>3 month Futures Rates Tree</t>
  </si>
  <si>
    <t>6 month Futures Rates Tree</t>
  </si>
  <si>
    <t>1 year Futures Rates Tree</t>
  </si>
  <si>
    <t>3 month Eurodollar Futures Price</t>
  </si>
  <si>
    <t>6 month Eurodollar Futures Price</t>
  </si>
  <si>
    <t>9 month Eurodollar Futures Price</t>
  </si>
  <si>
    <t>1 year Eurodollar Futures Price</t>
  </si>
  <si>
    <t>Date</t>
  </si>
  <si>
    <t>VALUE TREE (Cash flow tree is below)</t>
  </si>
  <si>
    <t>TABLE 11.15: Eurodollar Futures Prices</t>
  </si>
  <si>
    <t>Interest rate tree from original tree</t>
  </si>
  <si>
    <t>Instructions:</t>
  </si>
  <si>
    <t>Run Macro</t>
  </si>
  <si>
    <t>NOTE: Changing the location of any cell will make the Macro fail</t>
  </si>
  <si>
    <t>Time Step h</t>
  </si>
  <si>
    <t>It fits automatically the tree to match bonds and caps up to the "Max Maturity" (in "periods") in Cell Q4</t>
  </si>
  <si>
    <t>BLACK DERMAN TOY BINOMIAL TREE MODEL: Fit bonds and caps</t>
  </si>
  <si>
    <r>
      <t>F</t>
    </r>
    <r>
      <rPr>
        <sz val="10"/>
        <rFont val="Arial"/>
        <family val="2"/>
      </rPr>
      <t>lag</t>
    </r>
    <phoneticPr fontId="1" type="noConversion"/>
  </si>
  <si>
    <r>
      <t xml:space="preserve">Change </t>
    </r>
    <r>
      <rPr>
        <sz val="10"/>
        <rFont val="Arial"/>
        <family val="2"/>
      </rPr>
      <t>1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</si>
</sst>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9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8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164" fontId="0" fillId="0" borderId="0" xfId="0" applyNumberFormat="1"/>
    <xf numFmtId="164" fontId="0" fillId="0" borderId="1" xfId="0" applyNumberFormat="1" applyBorder="1"/>
    <xf numFmtId="165" fontId="0" fillId="0" borderId="2" xfId="0" applyNumberFormat="1" applyBorder="1"/>
    <xf numFmtId="0" fontId="0" fillId="2" borderId="0" xfId="0" applyFill="1"/>
    <xf numFmtId="164" fontId="0" fillId="3" borderId="0" xfId="0" applyNumberFormat="1" applyFill="1"/>
    <xf numFmtId="0" fontId="0" fillId="3" borderId="0" xfId="0" applyFill="1"/>
    <xf numFmtId="0" fontId="2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1" fontId="0" fillId="0" borderId="3" xfId="0" applyNumberFormat="1" applyBorder="1"/>
    <xf numFmtId="15" fontId="0" fillId="0" borderId="0" xfId="0" applyNumberFormat="1"/>
    <xf numFmtId="165" fontId="0" fillId="0" borderId="0" xfId="0" applyNumberFormat="1"/>
    <xf numFmtId="17" fontId="0" fillId="2" borderId="0" xfId="0" applyNumberFormat="1" applyFill="1"/>
    <xf numFmtId="166" fontId="0" fillId="2" borderId="0" xfId="0" applyNumberFormat="1" applyFill="1"/>
    <xf numFmtId="166" fontId="0" fillId="3" borderId="0" xfId="0" applyNumberFormat="1" applyFill="1"/>
    <xf numFmtId="2" fontId="0" fillId="0" borderId="0" xfId="0" applyNumberFormat="1"/>
    <xf numFmtId="10" fontId="0" fillId="0" borderId="0" xfId="0" applyNumberFormat="1"/>
    <xf numFmtId="166" fontId="0" fillId="0" borderId="0" xfId="0" applyNumberFormat="1"/>
    <xf numFmtId="0" fontId="0" fillId="0" borderId="4" xfId="0" applyBorder="1"/>
    <xf numFmtId="0" fontId="0" fillId="0" borderId="3" xfId="0" applyBorder="1"/>
    <xf numFmtId="10" fontId="0" fillId="3" borderId="0" xfId="0" applyNumberFormat="1" applyFill="1"/>
    <xf numFmtId="10" fontId="0" fillId="2" borderId="0" xfId="0" applyNumberFormat="1" applyFill="1"/>
    <xf numFmtId="0" fontId="4" fillId="0" borderId="0" xfId="0" applyFont="1"/>
    <xf numFmtId="2" fontId="4" fillId="0" borderId="0" xfId="0" applyNumberFormat="1" applyFont="1"/>
    <xf numFmtId="14" fontId="0" fillId="0" borderId="0" xfId="0" applyNumberFormat="1"/>
    <xf numFmtId="0" fontId="5" fillId="0" borderId="0" xfId="0" applyFont="1"/>
    <xf numFmtId="15" fontId="6" fillId="4" borderId="0" xfId="0" applyNumberFormat="1" applyFont="1" applyFill="1"/>
    <xf numFmtId="0" fontId="7" fillId="4" borderId="0" xfId="0" applyFont="1" applyFill="1" applyAlignment="1">
      <alignment horizontal="right"/>
    </xf>
    <xf numFmtId="0" fontId="0" fillId="4" borderId="0" xfId="0" applyFill="1"/>
    <xf numFmtId="0" fontId="4" fillId="4" borderId="0" xfId="0" applyFont="1" applyFill="1"/>
    <xf numFmtId="0" fontId="3" fillId="4" borderId="0" xfId="0" applyFont="1" applyFill="1"/>
    <xf numFmtId="0" fontId="7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74"/>
  <sheetViews>
    <sheetView tabSelected="1" zoomScaleNormal="100" workbookViewId="0">
      <selection activeCell="K33" sqref="K33"/>
    </sheetView>
  </sheetViews>
  <sheetFormatPr defaultRowHeight="12.75"/>
  <cols>
    <col min="1" max="1" width="9.28515625" bestFit="1" customWidth="1"/>
    <col min="2" max="2" width="11.85546875" customWidth="1"/>
    <col min="3" max="5" width="9.28515625" bestFit="1" customWidth="1"/>
    <col min="6" max="6" width="11.140625" bestFit="1" customWidth="1"/>
    <col min="7" max="8" width="9.28515625" bestFit="1" customWidth="1"/>
    <col min="9" max="9" width="10.42578125" bestFit="1" customWidth="1"/>
    <col min="10" max="11" width="9.28515625" bestFit="1" customWidth="1"/>
    <col min="12" max="12" width="10.42578125" customWidth="1"/>
    <col min="13" max="14" width="9.28515625" bestFit="1" customWidth="1"/>
    <col min="15" max="15" width="9.85546875" customWidth="1"/>
    <col min="16" max="16" width="9.28515625" bestFit="1" customWidth="1"/>
  </cols>
  <sheetData>
    <row r="1" spans="1:62">
      <c r="A1" s="9" t="s">
        <v>49</v>
      </c>
      <c r="F1" s="13"/>
      <c r="I1" s="29" t="s">
        <v>44</v>
      </c>
      <c r="J1" s="30" t="s">
        <v>45</v>
      </c>
      <c r="K1" s="34" t="s">
        <v>30</v>
      </c>
      <c r="L1" s="31"/>
      <c r="M1" s="32" t="s">
        <v>46</v>
      </c>
      <c r="N1" s="31"/>
      <c r="O1" s="31"/>
      <c r="P1" s="31"/>
      <c r="Q1" s="31"/>
      <c r="R1" s="31"/>
    </row>
    <row r="2" spans="1:62">
      <c r="B2" s="9" t="s">
        <v>8</v>
      </c>
      <c r="E2" s="9" t="s">
        <v>6</v>
      </c>
      <c r="I2" s="9"/>
      <c r="J2" s="32" t="s">
        <v>48</v>
      </c>
      <c r="K2" s="33"/>
      <c r="L2" s="31"/>
      <c r="M2" s="31"/>
      <c r="N2" s="25" t="s">
        <v>51</v>
      </c>
      <c r="O2" s="17">
        <v>1.4060125396974343</v>
      </c>
      <c r="P2" t="s">
        <v>50</v>
      </c>
      <c r="Q2" s="31">
        <v>0</v>
      </c>
      <c r="R2" s="31"/>
    </row>
    <row r="3" spans="1:62">
      <c r="B3" s="11" t="s">
        <v>25</v>
      </c>
      <c r="C3" s="6">
        <v>0.15057324724940374</v>
      </c>
      <c r="E3" s="11" t="s">
        <v>0</v>
      </c>
      <c r="F3" s="6">
        <v>10</v>
      </c>
      <c r="H3" s="11" t="s">
        <v>47</v>
      </c>
      <c r="I3" s="6">
        <v>0.25</v>
      </c>
      <c r="K3" s="10" t="s">
        <v>3</v>
      </c>
      <c r="L3" s="17">
        <f>BondPrice!B13</f>
        <v>63.056630002951508</v>
      </c>
      <c r="N3" t="s">
        <v>29</v>
      </c>
      <c r="O3" s="17">
        <v>0.16456054564319489</v>
      </c>
      <c r="P3" t="s">
        <v>31</v>
      </c>
      <c r="Q3" s="6">
        <v>40</v>
      </c>
    </row>
    <row r="4" spans="1:62">
      <c r="B4" s="11" t="s">
        <v>4</v>
      </c>
      <c r="C4" s="8">
        <f>-LN(S0/100)/h</f>
        <v>2.1738965960182294E-2</v>
      </c>
      <c r="E4" s="11" t="s">
        <v>5</v>
      </c>
      <c r="F4" s="6">
        <v>0</v>
      </c>
      <c r="K4" s="10" t="s">
        <v>22</v>
      </c>
      <c r="L4" s="17">
        <f>Cap!B13</f>
        <v>8.3558757074765868</v>
      </c>
      <c r="N4" t="s">
        <v>9</v>
      </c>
      <c r="O4" s="8">
        <f>MAX(D9:BJ9)</f>
        <v>1.490303792771064E-9</v>
      </c>
    </row>
    <row r="5" spans="1:62">
      <c r="A5" s="6" t="s">
        <v>23</v>
      </c>
      <c r="B5" s="6"/>
      <c r="C5" s="15" t="str">
        <f>Data!C7</f>
        <v>NaN</v>
      </c>
      <c r="D5" s="16">
        <f>Data!D7</f>
        <v>4.5600000000000002E-2</v>
      </c>
      <c r="E5" s="16">
        <f>Data!E7</f>
        <v>0.10589999999999999</v>
      </c>
      <c r="F5" s="16">
        <f>Data!F7</f>
        <v>0.18590000000000001</v>
      </c>
      <c r="G5" s="16">
        <f>Data!G7</f>
        <v>0.28870000000000001</v>
      </c>
      <c r="H5" s="16">
        <f>Data!H7</f>
        <v>0.41570000000000001</v>
      </c>
      <c r="I5" s="16">
        <f>Data!I7</f>
        <v>0.56620000000000004</v>
      </c>
      <c r="J5" s="16">
        <f>Data!J7</f>
        <v>0.73640000000000005</v>
      </c>
      <c r="K5" s="16">
        <f>Data!K7</f>
        <v>0.92010000000000003</v>
      </c>
      <c r="L5" s="16">
        <f>Data!L7</f>
        <v>1.1129</v>
      </c>
      <c r="M5" s="16">
        <f>Data!M7</f>
        <v>1.3126</v>
      </c>
      <c r="N5" s="16">
        <f>Data!N7</f>
        <v>1.5194000000000001</v>
      </c>
      <c r="O5" s="16">
        <f>Data!O7</f>
        <v>1.7352000000000001</v>
      </c>
      <c r="P5" s="16">
        <f>Data!P7</f>
        <v>1.9598</v>
      </c>
      <c r="Q5" s="16">
        <f>Data!Q7</f>
        <v>2.1916000000000002</v>
      </c>
      <c r="R5" s="16">
        <f>Data!R7</f>
        <v>2.4287999999999998</v>
      </c>
      <c r="S5" s="16">
        <f>Data!S7</f>
        <v>2.6690999999999998</v>
      </c>
      <c r="T5" s="16">
        <f>Data!T7</f>
        <v>2.9117000000000002</v>
      </c>
      <c r="U5" s="16">
        <f>Data!U7</f>
        <v>3.1562000000000001</v>
      </c>
      <c r="V5" s="16">
        <f>Data!V7</f>
        <v>3.4028999999999998</v>
      </c>
      <c r="W5" s="16">
        <f>Data!W7</f>
        <v>3.6524000000000001</v>
      </c>
      <c r="X5" s="16">
        <f>Data!X7</f>
        <v>3.9043999999999999</v>
      </c>
      <c r="Y5" s="16">
        <f>Data!Y7</f>
        <v>4.1585000000000001</v>
      </c>
      <c r="Z5" s="16">
        <f>Data!Z7</f>
        <v>4.4142999999999999</v>
      </c>
      <c r="AA5" s="16">
        <f>Data!AA7</f>
        <v>4.6714000000000002</v>
      </c>
      <c r="AB5" s="16">
        <f>Data!AB7</f>
        <v>4.9292999999999996</v>
      </c>
      <c r="AC5" s="16">
        <f>Data!AC7</f>
        <v>5.1875999999999998</v>
      </c>
      <c r="AD5" s="16">
        <f>Data!AD7</f>
        <v>5.4459</v>
      </c>
      <c r="AE5" s="16">
        <f>Data!AE7</f>
        <v>5.7037000000000004</v>
      </c>
      <c r="AF5" s="16">
        <f>Data!AF7</f>
        <v>5.9604999999999997</v>
      </c>
      <c r="AG5" s="16">
        <f>Data!AG7</f>
        <v>6.2160000000000002</v>
      </c>
      <c r="AH5" s="16">
        <f>Data!AH7</f>
        <v>6.4694000000000003</v>
      </c>
      <c r="AI5" s="16">
        <f>Data!AI7</f>
        <v>6.7203999999999997</v>
      </c>
      <c r="AJ5" s="16">
        <f>Data!AJ7</f>
        <v>6.9683999999999999</v>
      </c>
      <c r="AK5" s="16">
        <f>Data!AK7</f>
        <v>7.2126999999999999</v>
      </c>
      <c r="AL5" s="16">
        <f>Data!AL7</f>
        <v>7.4527000000000001</v>
      </c>
      <c r="AM5" s="16">
        <f>Data!AM7</f>
        <v>7.6877000000000004</v>
      </c>
      <c r="AN5" s="16">
        <f>Data!AN7</f>
        <v>7.9170999999999996</v>
      </c>
      <c r="AO5" s="16">
        <f>Data!AO7</f>
        <v>8.1401000000000003</v>
      </c>
      <c r="AP5" s="16">
        <f>Data!AP7</f>
        <v>8.3559000000000001</v>
      </c>
    </row>
    <row r="6" spans="1:62">
      <c r="A6" s="6" t="s">
        <v>11</v>
      </c>
      <c r="B6" s="6"/>
      <c r="C6" s="16">
        <f>Data!C6</f>
        <v>99.457999999999998</v>
      </c>
      <c r="D6" s="16">
        <f>Data!D6</f>
        <v>98.850999999999999</v>
      </c>
      <c r="E6" s="16">
        <f>Data!E6</f>
        <v>98.189899999999994</v>
      </c>
      <c r="F6" s="16">
        <f>Data!F6</f>
        <v>97.483400000000003</v>
      </c>
      <c r="G6" s="16">
        <f>Data!G6</f>
        <v>96.738500000000002</v>
      </c>
      <c r="H6" s="16">
        <f>Data!H6</f>
        <v>95.959800000000001</v>
      </c>
      <c r="I6" s="16">
        <f>Data!I6</f>
        <v>95.150300000000001</v>
      </c>
      <c r="J6" s="16">
        <f>Data!J6</f>
        <v>94.310900000000004</v>
      </c>
      <c r="K6" s="16">
        <f>Data!K6</f>
        <v>93.441699999999997</v>
      </c>
      <c r="L6" s="16">
        <f>Data!L6</f>
        <v>92.545599999999993</v>
      </c>
      <c r="M6" s="16">
        <f>Data!M6</f>
        <v>91.626800000000003</v>
      </c>
      <c r="N6" s="16">
        <f>Data!N6</f>
        <v>90.689899999999994</v>
      </c>
      <c r="O6" s="16">
        <f>Data!O6</f>
        <v>89.739699999999999</v>
      </c>
      <c r="P6" s="16">
        <f>Data!P6</f>
        <v>88.777799999999999</v>
      </c>
      <c r="Q6" s="16">
        <f>Data!Q6</f>
        <v>87.805000000000007</v>
      </c>
      <c r="R6" s="16">
        <f>Data!R6</f>
        <v>86.821200000000005</v>
      </c>
      <c r="S6" s="16">
        <f>Data!S6</f>
        <v>85.826300000000003</v>
      </c>
      <c r="T6" s="16">
        <f>Data!T6</f>
        <v>84.821799999999996</v>
      </c>
      <c r="U6" s="16">
        <f>Data!U6</f>
        <v>83.810199999999995</v>
      </c>
      <c r="V6" s="16">
        <f>Data!V6</f>
        <v>82.793800000000005</v>
      </c>
      <c r="W6" s="16">
        <f>Data!W6</f>
        <v>81.774699999999996</v>
      </c>
      <c r="X6" s="16">
        <f>Data!X6</f>
        <v>80.754499999999993</v>
      </c>
      <c r="Y6" s="16">
        <f>Data!Y6</f>
        <v>79.734300000000005</v>
      </c>
      <c r="Z6" s="16">
        <f>Data!Z6</f>
        <v>78.715299999999999</v>
      </c>
      <c r="AA6" s="16">
        <f>Data!AA6</f>
        <v>77.698499999999996</v>
      </c>
      <c r="AB6" s="16">
        <f>Data!AB6</f>
        <v>76.684600000000003</v>
      </c>
      <c r="AC6" s="16">
        <f>Data!AC6</f>
        <v>75.674400000000006</v>
      </c>
      <c r="AD6" s="16">
        <f>Data!AD6</f>
        <v>74.668700000000001</v>
      </c>
      <c r="AE6" s="16">
        <f>Data!AE6</f>
        <v>73.667900000000003</v>
      </c>
      <c r="AF6" s="16">
        <f>Data!AF6</f>
        <v>72.672499999999999</v>
      </c>
      <c r="AG6" s="16">
        <f>Data!AG6</f>
        <v>71.682900000000004</v>
      </c>
      <c r="AH6" s="16">
        <f>Data!AH6</f>
        <v>70.699399999999997</v>
      </c>
      <c r="AI6" s="16">
        <f>Data!AI6</f>
        <v>69.722200000000001</v>
      </c>
      <c r="AJ6" s="16">
        <f>Data!AJ6</f>
        <v>68.751300000000001</v>
      </c>
      <c r="AK6" s="16">
        <f>Data!AK6</f>
        <v>67.786900000000003</v>
      </c>
      <c r="AL6" s="16">
        <f>Data!AL6</f>
        <v>66.828800000000001</v>
      </c>
      <c r="AM6" s="16">
        <f>Data!AM6</f>
        <v>65.876900000000006</v>
      </c>
      <c r="AN6" s="16">
        <f>Data!AN6</f>
        <v>64.931100000000001</v>
      </c>
      <c r="AO6" s="16">
        <f>Data!AO6</f>
        <v>63.991100000000003</v>
      </c>
      <c r="AP6" s="16">
        <f>Data!AP6</f>
        <v>63.056600000000003</v>
      </c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</row>
    <row r="7" spans="1:62" s="20" customFormat="1">
      <c r="A7" s="17" t="s">
        <v>10</v>
      </c>
      <c r="B7" s="17"/>
      <c r="C7" s="17" t="str">
        <f t="shared" ref="C7:AP7" si="0">IF(T=C12,$L$4,"")</f>
        <v/>
      </c>
      <c r="D7" s="17" t="str">
        <f t="shared" si="0"/>
        <v/>
      </c>
      <c r="E7" s="17" t="str">
        <f t="shared" si="0"/>
        <v/>
      </c>
      <c r="F7" s="17" t="str">
        <f t="shared" si="0"/>
        <v/>
      </c>
      <c r="G7" s="17" t="str">
        <f t="shared" si="0"/>
        <v/>
      </c>
      <c r="H7" s="17" t="str">
        <f t="shared" si="0"/>
        <v/>
      </c>
      <c r="I7" s="17" t="str">
        <f t="shared" si="0"/>
        <v/>
      </c>
      <c r="J7" s="17" t="str">
        <f t="shared" si="0"/>
        <v/>
      </c>
      <c r="K7" s="17" t="str">
        <f t="shared" si="0"/>
        <v/>
      </c>
      <c r="L7" s="17" t="str">
        <f t="shared" si="0"/>
        <v/>
      </c>
      <c r="M7" s="17" t="str">
        <f t="shared" si="0"/>
        <v/>
      </c>
      <c r="N7" s="17" t="str">
        <f t="shared" si="0"/>
        <v/>
      </c>
      <c r="O7" s="17" t="str">
        <f t="shared" si="0"/>
        <v/>
      </c>
      <c r="P7" s="17" t="str">
        <f t="shared" si="0"/>
        <v/>
      </c>
      <c r="Q7" s="17" t="str">
        <f t="shared" si="0"/>
        <v/>
      </c>
      <c r="R7" s="17" t="str">
        <f t="shared" si="0"/>
        <v/>
      </c>
      <c r="S7" s="17" t="str">
        <f t="shared" si="0"/>
        <v/>
      </c>
      <c r="T7" s="17" t="str">
        <f t="shared" si="0"/>
        <v/>
      </c>
      <c r="U7" s="17" t="str">
        <f t="shared" si="0"/>
        <v/>
      </c>
      <c r="V7" s="17" t="str">
        <f t="shared" si="0"/>
        <v/>
      </c>
      <c r="W7" s="17" t="str">
        <f t="shared" si="0"/>
        <v/>
      </c>
      <c r="X7" s="17" t="str">
        <f t="shared" si="0"/>
        <v/>
      </c>
      <c r="Y7" s="17" t="str">
        <f t="shared" si="0"/>
        <v/>
      </c>
      <c r="Z7" s="17" t="str">
        <f t="shared" si="0"/>
        <v/>
      </c>
      <c r="AA7" s="17" t="str">
        <f t="shared" si="0"/>
        <v/>
      </c>
      <c r="AB7" s="17" t="str">
        <f t="shared" si="0"/>
        <v/>
      </c>
      <c r="AC7" s="17" t="str">
        <f t="shared" si="0"/>
        <v/>
      </c>
      <c r="AD7" s="17" t="str">
        <f t="shared" si="0"/>
        <v/>
      </c>
      <c r="AE7" s="17" t="str">
        <f t="shared" si="0"/>
        <v/>
      </c>
      <c r="AF7" s="17" t="str">
        <f t="shared" si="0"/>
        <v/>
      </c>
      <c r="AG7" s="17" t="str">
        <f t="shared" si="0"/>
        <v/>
      </c>
      <c r="AH7" s="17" t="str">
        <f t="shared" si="0"/>
        <v/>
      </c>
      <c r="AI7" s="17" t="str">
        <f t="shared" si="0"/>
        <v/>
      </c>
      <c r="AJ7" s="17" t="str">
        <f t="shared" si="0"/>
        <v/>
      </c>
      <c r="AK7" s="17" t="str">
        <f t="shared" si="0"/>
        <v/>
      </c>
      <c r="AL7" s="17" t="str">
        <f t="shared" si="0"/>
        <v/>
      </c>
      <c r="AM7" s="17" t="str">
        <f t="shared" si="0"/>
        <v/>
      </c>
      <c r="AN7" s="17" t="str">
        <f t="shared" si="0"/>
        <v/>
      </c>
      <c r="AO7" s="17" t="str">
        <f t="shared" si="0"/>
        <v/>
      </c>
      <c r="AP7" s="17">
        <f t="shared" si="0"/>
        <v>8.3558757074765868</v>
      </c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</row>
    <row r="8" spans="1:62" s="20" customFormat="1">
      <c r="A8" s="17" t="s">
        <v>10</v>
      </c>
      <c r="B8" s="17"/>
      <c r="C8" s="17" t="str">
        <f t="shared" ref="C8:AP8" si="1">IF(T=C12,$L$3,"")</f>
        <v/>
      </c>
      <c r="D8" s="17" t="str">
        <f t="shared" si="1"/>
        <v/>
      </c>
      <c r="E8" s="17" t="str">
        <f t="shared" si="1"/>
        <v/>
      </c>
      <c r="F8" s="17" t="str">
        <f t="shared" si="1"/>
        <v/>
      </c>
      <c r="G8" s="17" t="str">
        <f t="shared" si="1"/>
        <v/>
      </c>
      <c r="H8" s="17" t="str">
        <f t="shared" si="1"/>
        <v/>
      </c>
      <c r="I8" s="17" t="str">
        <f t="shared" si="1"/>
        <v/>
      </c>
      <c r="J8" s="17" t="str">
        <f t="shared" si="1"/>
        <v/>
      </c>
      <c r="K8" s="17" t="str">
        <f t="shared" si="1"/>
        <v/>
      </c>
      <c r="L8" s="17" t="str">
        <f t="shared" si="1"/>
        <v/>
      </c>
      <c r="M8" s="17" t="str">
        <f t="shared" si="1"/>
        <v/>
      </c>
      <c r="N8" s="17" t="str">
        <f t="shared" si="1"/>
        <v/>
      </c>
      <c r="O8" s="17" t="str">
        <f t="shared" si="1"/>
        <v/>
      </c>
      <c r="P8" s="17" t="str">
        <f t="shared" si="1"/>
        <v/>
      </c>
      <c r="Q8" s="17" t="str">
        <f t="shared" si="1"/>
        <v/>
      </c>
      <c r="R8" s="17" t="str">
        <f t="shared" si="1"/>
        <v/>
      </c>
      <c r="S8" s="17" t="str">
        <f t="shared" si="1"/>
        <v/>
      </c>
      <c r="T8" s="17" t="str">
        <f t="shared" si="1"/>
        <v/>
      </c>
      <c r="U8" s="17" t="str">
        <f t="shared" si="1"/>
        <v/>
      </c>
      <c r="V8" s="17" t="str">
        <f t="shared" si="1"/>
        <v/>
      </c>
      <c r="W8" s="17" t="str">
        <f t="shared" si="1"/>
        <v/>
      </c>
      <c r="X8" s="17" t="str">
        <f t="shared" si="1"/>
        <v/>
      </c>
      <c r="Y8" s="17" t="str">
        <f t="shared" si="1"/>
        <v/>
      </c>
      <c r="Z8" s="17" t="str">
        <f t="shared" si="1"/>
        <v/>
      </c>
      <c r="AA8" s="17" t="str">
        <f t="shared" si="1"/>
        <v/>
      </c>
      <c r="AB8" s="17" t="str">
        <f t="shared" si="1"/>
        <v/>
      </c>
      <c r="AC8" s="17" t="str">
        <f t="shared" si="1"/>
        <v/>
      </c>
      <c r="AD8" s="17" t="str">
        <f t="shared" si="1"/>
        <v/>
      </c>
      <c r="AE8" s="17" t="str">
        <f t="shared" si="1"/>
        <v/>
      </c>
      <c r="AF8" s="17" t="str">
        <f t="shared" si="1"/>
        <v/>
      </c>
      <c r="AG8" s="17" t="str">
        <f t="shared" si="1"/>
        <v/>
      </c>
      <c r="AH8" s="17" t="str">
        <f t="shared" si="1"/>
        <v/>
      </c>
      <c r="AI8" s="17" t="str">
        <f t="shared" si="1"/>
        <v/>
      </c>
      <c r="AJ8" s="17" t="str">
        <f t="shared" si="1"/>
        <v/>
      </c>
      <c r="AK8" s="17" t="str">
        <f t="shared" si="1"/>
        <v/>
      </c>
      <c r="AL8" s="17" t="str">
        <f t="shared" si="1"/>
        <v/>
      </c>
      <c r="AM8" s="17" t="str">
        <f t="shared" si="1"/>
        <v/>
      </c>
      <c r="AN8" s="17" t="str">
        <f t="shared" si="1"/>
        <v/>
      </c>
      <c r="AO8" s="17" t="str">
        <f t="shared" si="1"/>
        <v/>
      </c>
      <c r="AP8" s="17">
        <f t="shared" si="1"/>
        <v>63.056630002951508</v>
      </c>
      <c r="AQ8" s="17" t="str">
        <f t="shared" ref="AQ8:BJ8" si="2">IF(T=AQ12,$L$4,"")</f>
        <v/>
      </c>
      <c r="AR8" s="17" t="str">
        <f t="shared" si="2"/>
        <v/>
      </c>
      <c r="AS8" s="17" t="str">
        <f t="shared" si="2"/>
        <v/>
      </c>
      <c r="AT8" s="17" t="str">
        <f t="shared" si="2"/>
        <v/>
      </c>
      <c r="AU8" s="17" t="str">
        <f t="shared" si="2"/>
        <v/>
      </c>
      <c r="AV8" s="17" t="str">
        <f t="shared" si="2"/>
        <v/>
      </c>
      <c r="AW8" s="17" t="str">
        <f t="shared" si="2"/>
        <v/>
      </c>
      <c r="AX8" s="17" t="str">
        <f t="shared" si="2"/>
        <v/>
      </c>
      <c r="AY8" s="17" t="str">
        <f t="shared" si="2"/>
        <v/>
      </c>
      <c r="AZ8" s="17" t="str">
        <f t="shared" si="2"/>
        <v/>
      </c>
      <c r="BA8" s="17" t="str">
        <f t="shared" si="2"/>
        <v/>
      </c>
      <c r="BB8" s="17" t="str">
        <f t="shared" si="2"/>
        <v/>
      </c>
      <c r="BC8" s="17" t="str">
        <f t="shared" si="2"/>
        <v/>
      </c>
      <c r="BD8" s="17" t="str">
        <f t="shared" si="2"/>
        <v/>
      </c>
      <c r="BE8" s="17" t="str">
        <f t="shared" si="2"/>
        <v/>
      </c>
      <c r="BF8" s="17" t="str">
        <f t="shared" si="2"/>
        <v/>
      </c>
      <c r="BG8" s="17" t="str">
        <f t="shared" si="2"/>
        <v/>
      </c>
      <c r="BH8" s="17" t="str">
        <f t="shared" si="2"/>
        <v/>
      </c>
      <c r="BI8" s="17" t="str">
        <f t="shared" si="2"/>
        <v/>
      </c>
      <c r="BJ8" s="17" t="str">
        <f t="shared" si="2"/>
        <v/>
      </c>
    </row>
    <row r="9" spans="1:62">
      <c r="A9" s="8" t="s">
        <v>12</v>
      </c>
      <c r="B9" s="8"/>
      <c r="C9" s="8" t="str">
        <f t="shared" ref="C9:AP9" si="3">IF(T=C12,(C6-C8)^2+(C7-C5)^2,"")</f>
        <v/>
      </c>
      <c r="D9" s="8" t="str">
        <f t="shared" si="3"/>
        <v/>
      </c>
      <c r="E9" s="8" t="str">
        <f t="shared" si="3"/>
        <v/>
      </c>
      <c r="F9" s="8" t="str">
        <f t="shared" si="3"/>
        <v/>
      </c>
      <c r="G9" s="8" t="str">
        <f t="shared" si="3"/>
        <v/>
      </c>
      <c r="H9" s="8" t="str">
        <f t="shared" si="3"/>
        <v/>
      </c>
      <c r="I9" s="8" t="str">
        <f t="shared" si="3"/>
        <v/>
      </c>
      <c r="J9" s="8" t="str">
        <f t="shared" si="3"/>
        <v/>
      </c>
      <c r="K9" s="8" t="str">
        <f t="shared" si="3"/>
        <v/>
      </c>
      <c r="L9" s="8" t="str">
        <f t="shared" si="3"/>
        <v/>
      </c>
      <c r="M9" s="8" t="str">
        <f t="shared" si="3"/>
        <v/>
      </c>
      <c r="N9" s="8" t="str">
        <f t="shared" si="3"/>
        <v/>
      </c>
      <c r="O9" s="8" t="str">
        <f t="shared" si="3"/>
        <v/>
      </c>
      <c r="P9" s="8" t="str">
        <f t="shared" si="3"/>
        <v/>
      </c>
      <c r="Q9" s="8" t="str">
        <f t="shared" si="3"/>
        <v/>
      </c>
      <c r="R9" s="8" t="str">
        <f t="shared" si="3"/>
        <v/>
      </c>
      <c r="S9" s="8" t="str">
        <f t="shared" si="3"/>
        <v/>
      </c>
      <c r="T9" s="8" t="str">
        <f t="shared" si="3"/>
        <v/>
      </c>
      <c r="U9" s="8" t="str">
        <f t="shared" si="3"/>
        <v/>
      </c>
      <c r="V9" s="8" t="str">
        <f t="shared" si="3"/>
        <v/>
      </c>
      <c r="W9" s="8" t="str">
        <f t="shared" si="3"/>
        <v/>
      </c>
      <c r="X9" s="8" t="str">
        <f t="shared" si="3"/>
        <v/>
      </c>
      <c r="Y9" s="8" t="str">
        <f t="shared" si="3"/>
        <v/>
      </c>
      <c r="Z9" s="8" t="str">
        <f t="shared" si="3"/>
        <v/>
      </c>
      <c r="AA9" s="8" t="str">
        <f t="shared" si="3"/>
        <v/>
      </c>
      <c r="AB9" s="8" t="str">
        <f t="shared" si="3"/>
        <v/>
      </c>
      <c r="AC9" s="8" t="str">
        <f t="shared" si="3"/>
        <v/>
      </c>
      <c r="AD9" s="8" t="str">
        <f t="shared" si="3"/>
        <v/>
      </c>
      <c r="AE9" s="8" t="str">
        <f t="shared" si="3"/>
        <v/>
      </c>
      <c r="AF9" s="8" t="str">
        <f t="shared" si="3"/>
        <v/>
      </c>
      <c r="AG9" s="8" t="str">
        <f t="shared" si="3"/>
        <v/>
      </c>
      <c r="AH9" s="8" t="str">
        <f t="shared" si="3"/>
        <v/>
      </c>
      <c r="AI9" s="8" t="str">
        <f t="shared" si="3"/>
        <v/>
      </c>
      <c r="AJ9" s="8" t="str">
        <f t="shared" si="3"/>
        <v/>
      </c>
      <c r="AK9" s="8" t="str">
        <f t="shared" si="3"/>
        <v/>
      </c>
      <c r="AL9" s="8" t="str">
        <f t="shared" si="3"/>
        <v/>
      </c>
      <c r="AM9" s="8" t="str">
        <f t="shared" si="3"/>
        <v/>
      </c>
      <c r="AN9" s="8" t="str">
        <f t="shared" si="3"/>
        <v/>
      </c>
      <c r="AO9" s="8" t="str">
        <f t="shared" si="3"/>
        <v/>
      </c>
      <c r="AP9" s="8">
        <f t="shared" si="3"/>
        <v>1.490303792771064E-9</v>
      </c>
      <c r="AQ9" s="7" t="str">
        <f t="shared" ref="AQ9:BJ9" si="4">IF(T=AQ12,$L$3,"")</f>
        <v/>
      </c>
      <c r="AR9" s="7" t="str">
        <f t="shared" si="4"/>
        <v/>
      </c>
      <c r="AS9" s="7" t="str">
        <f t="shared" si="4"/>
        <v/>
      </c>
      <c r="AT9" s="7" t="str">
        <f t="shared" si="4"/>
        <v/>
      </c>
      <c r="AU9" s="7" t="str">
        <f t="shared" si="4"/>
        <v/>
      </c>
      <c r="AV9" s="7" t="str">
        <f t="shared" si="4"/>
        <v/>
      </c>
      <c r="AW9" s="7" t="str">
        <f t="shared" si="4"/>
        <v/>
      </c>
      <c r="AX9" s="7" t="str">
        <f t="shared" si="4"/>
        <v/>
      </c>
      <c r="AY9" s="7" t="str">
        <f t="shared" si="4"/>
        <v/>
      </c>
      <c r="AZ9" s="7" t="str">
        <f t="shared" si="4"/>
        <v/>
      </c>
      <c r="BA9" s="7" t="str">
        <f t="shared" si="4"/>
        <v/>
      </c>
      <c r="BB9" s="7" t="str">
        <f t="shared" si="4"/>
        <v/>
      </c>
      <c r="BC9" s="7" t="str">
        <f t="shared" si="4"/>
        <v/>
      </c>
      <c r="BD9" s="7" t="str">
        <f t="shared" si="4"/>
        <v/>
      </c>
      <c r="BE9" s="7" t="str">
        <f t="shared" si="4"/>
        <v/>
      </c>
      <c r="BF9" s="7" t="str">
        <f t="shared" si="4"/>
        <v/>
      </c>
      <c r="BG9" s="7" t="str">
        <f t="shared" si="4"/>
        <v/>
      </c>
      <c r="BH9" s="7" t="str">
        <f t="shared" si="4"/>
        <v/>
      </c>
      <c r="BI9" s="7" t="str">
        <f t="shared" si="4"/>
        <v/>
      </c>
      <c r="BJ9" s="7" t="str">
        <f t="shared" si="4"/>
        <v/>
      </c>
    </row>
    <row r="10" spans="1:62" s="19" customFormat="1">
      <c r="A10" s="19" t="s">
        <v>26</v>
      </c>
      <c r="B10" s="23">
        <f>rr</f>
        <v>2.1738965960182294E-2</v>
      </c>
      <c r="C10" s="8">
        <v>2.6868535612675049E-2</v>
      </c>
      <c r="D10" s="8">
        <v>3.1664983692099677E-2</v>
      </c>
      <c r="E10" s="8">
        <v>4.2598173405492497E-2</v>
      </c>
      <c r="F10" s="8">
        <v>5.3707198468762457E-2</v>
      </c>
      <c r="G10" s="8">
        <v>6.5484800084295483E-2</v>
      </c>
      <c r="H10" s="8">
        <v>7.9678690682106784E-2</v>
      </c>
      <c r="I10" s="8">
        <v>0.10577591430999489</v>
      </c>
      <c r="J10" s="8">
        <v>0.12010613364461453</v>
      </c>
      <c r="K10" s="8">
        <v>0.14640281452103707</v>
      </c>
      <c r="L10" s="8">
        <v>0.16351330433889266</v>
      </c>
      <c r="M10" s="8">
        <v>0.18236827137785463</v>
      </c>
      <c r="N10" s="8">
        <v>0.19542848293406276</v>
      </c>
      <c r="O10" s="8">
        <v>0.24886766577826577</v>
      </c>
      <c r="P10" s="8">
        <v>0.26790085702700972</v>
      </c>
      <c r="Q10" s="8">
        <v>0.32974107104876882</v>
      </c>
      <c r="R10" s="8">
        <v>0.34775708404258343</v>
      </c>
      <c r="S10" s="8">
        <v>0.38231988201820244</v>
      </c>
      <c r="T10" s="8">
        <v>0.40872548693822458</v>
      </c>
      <c r="U10" s="8">
        <v>0.46616439271653565</v>
      </c>
      <c r="V10" s="8">
        <v>0.52201545146763706</v>
      </c>
      <c r="W10" s="8">
        <v>0.60768180769146163</v>
      </c>
      <c r="X10" s="8">
        <v>0.63285320305610693</v>
      </c>
      <c r="Y10" s="8">
        <v>0.72969038901646366</v>
      </c>
      <c r="Z10" s="8">
        <v>0.79653391692154929</v>
      </c>
      <c r="AA10" s="8">
        <v>0.85903584889337714</v>
      </c>
      <c r="AB10" s="8">
        <v>0.97391914776503963</v>
      </c>
      <c r="AC10" s="8">
        <v>1.0582671952835652</v>
      </c>
      <c r="AD10" s="8">
        <v>1.1394259305830954</v>
      </c>
      <c r="AE10" s="8">
        <v>1.2507075873957996</v>
      </c>
      <c r="AF10" s="8">
        <v>1.3781995632349158</v>
      </c>
      <c r="AG10" s="8">
        <v>1.4710118440779374</v>
      </c>
      <c r="AH10" s="8">
        <v>1.5989335623345433</v>
      </c>
      <c r="AI10" s="8">
        <v>1.6016125555753926</v>
      </c>
      <c r="AJ10" s="8">
        <v>1.6310791777948939</v>
      </c>
      <c r="AK10" s="8">
        <v>1.5998784367164625</v>
      </c>
      <c r="AL10" s="8">
        <v>1.6809284554541148</v>
      </c>
      <c r="AM10" s="8">
        <v>1.5917432733674317</v>
      </c>
      <c r="AN10" s="8">
        <v>1.4967003876396323</v>
      </c>
      <c r="AO10" s="8">
        <v>1.4060125396974343</v>
      </c>
      <c r="AP10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</row>
    <row r="11" spans="1:62" s="19" customFormat="1">
      <c r="A11" s="19" t="s">
        <v>24</v>
      </c>
      <c r="B11" s="23"/>
      <c r="C11" s="8">
        <v>0.20121485857831853</v>
      </c>
      <c r="D11" s="8">
        <v>0.16981209073632295</v>
      </c>
      <c r="E11" s="8">
        <v>0.27793169627181513</v>
      </c>
      <c r="F11" s="8">
        <v>0.30215552555575381</v>
      </c>
      <c r="G11" s="8">
        <v>0.30469632212442982</v>
      </c>
      <c r="H11" s="8">
        <v>0.30752109931265237</v>
      </c>
      <c r="I11" s="8">
        <v>0.3396420017750128</v>
      </c>
      <c r="J11" s="8">
        <v>0.31759204575062044</v>
      </c>
      <c r="K11" s="8">
        <v>0.3201025577437569</v>
      </c>
      <c r="L11" s="8">
        <v>0.30273282326167539</v>
      </c>
      <c r="M11" s="8">
        <v>0.28941684963386866</v>
      </c>
      <c r="N11" s="8">
        <v>0.27173443545291676</v>
      </c>
      <c r="O11" s="8">
        <v>0.28755088166885184</v>
      </c>
      <c r="P11" s="8">
        <v>0.27355873526279023</v>
      </c>
      <c r="Q11" s="8">
        <v>0.28188047002110983</v>
      </c>
      <c r="R11" s="8">
        <v>0.26700458766472562</v>
      </c>
      <c r="S11" s="8">
        <v>0.25971616644780771</v>
      </c>
      <c r="T11" s="8">
        <v>0.25003551407892594</v>
      </c>
      <c r="U11" s="8">
        <v>0.2492743273287778</v>
      </c>
      <c r="V11" s="8">
        <v>0.24672497802751234</v>
      </c>
      <c r="W11" s="8">
        <v>0.24866743578856607</v>
      </c>
      <c r="X11" s="8">
        <v>0.23922320904148026</v>
      </c>
      <c r="Y11" s="8">
        <v>0.24054907072798659</v>
      </c>
      <c r="Z11" s="8">
        <v>0.23675335137581244</v>
      </c>
      <c r="AA11" s="8">
        <v>0.23225133350558036</v>
      </c>
      <c r="AB11" s="8">
        <v>0.2323872037565515</v>
      </c>
      <c r="AC11" s="8">
        <v>0.22908796093892153</v>
      </c>
      <c r="AD11" s="8">
        <v>0.22532350948049215</v>
      </c>
      <c r="AE11" s="8">
        <v>0.22330046578274257</v>
      </c>
      <c r="AF11" s="8">
        <v>0.22173588485061332</v>
      </c>
      <c r="AG11" s="8">
        <v>0.21801143930603434</v>
      </c>
      <c r="AH11" s="8">
        <v>0.21579229528920166</v>
      </c>
      <c r="AI11" s="8">
        <v>0.20833881959867853</v>
      </c>
      <c r="AJ11" s="8">
        <v>0.20243051713098381</v>
      </c>
      <c r="AK11" s="8">
        <v>0.19455206328562377</v>
      </c>
      <c r="AL11" s="8">
        <v>0.19126166930448305</v>
      </c>
      <c r="AM11" s="8">
        <v>0.18211303832865772</v>
      </c>
      <c r="AN11" s="8">
        <v>0.17312493830460335</v>
      </c>
      <c r="AO11" s="8">
        <v>0.16456054564319489</v>
      </c>
      <c r="AP11"/>
    </row>
    <row r="12" spans="1:62">
      <c r="A12" t="s">
        <v>2</v>
      </c>
      <c r="B12">
        <f t="shared" ref="B12:BJ12" si="5">B13*h</f>
        <v>0</v>
      </c>
      <c r="C12">
        <f t="shared" si="5"/>
        <v>0.25</v>
      </c>
      <c r="D12">
        <f t="shared" si="5"/>
        <v>0.5</v>
      </c>
      <c r="E12">
        <f t="shared" si="5"/>
        <v>0.75</v>
      </c>
      <c r="F12">
        <f t="shared" si="5"/>
        <v>1</v>
      </c>
      <c r="G12">
        <f t="shared" si="5"/>
        <v>1.25</v>
      </c>
      <c r="H12">
        <f t="shared" si="5"/>
        <v>1.5</v>
      </c>
      <c r="I12">
        <f t="shared" si="5"/>
        <v>1.75</v>
      </c>
      <c r="J12">
        <f t="shared" si="5"/>
        <v>2</v>
      </c>
      <c r="K12">
        <f t="shared" si="5"/>
        <v>2.25</v>
      </c>
      <c r="L12">
        <f t="shared" si="5"/>
        <v>2.5</v>
      </c>
      <c r="M12">
        <f t="shared" si="5"/>
        <v>2.75</v>
      </c>
      <c r="N12">
        <f t="shared" si="5"/>
        <v>3</v>
      </c>
      <c r="O12">
        <f t="shared" si="5"/>
        <v>3.25</v>
      </c>
      <c r="P12">
        <f t="shared" si="5"/>
        <v>3.5</v>
      </c>
      <c r="Q12">
        <f t="shared" si="5"/>
        <v>3.75</v>
      </c>
      <c r="R12">
        <f t="shared" si="5"/>
        <v>4</v>
      </c>
      <c r="S12">
        <f t="shared" si="5"/>
        <v>4.25</v>
      </c>
      <c r="T12">
        <f t="shared" si="5"/>
        <v>4.5</v>
      </c>
      <c r="U12">
        <f t="shared" si="5"/>
        <v>4.75</v>
      </c>
      <c r="V12">
        <f t="shared" si="5"/>
        <v>5</v>
      </c>
      <c r="W12">
        <f t="shared" si="5"/>
        <v>5.25</v>
      </c>
      <c r="X12">
        <f t="shared" si="5"/>
        <v>5.5</v>
      </c>
      <c r="Y12">
        <f t="shared" si="5"/>
        <v>5.75</v>
      </c>
      <c r="Z12">
        <f t="shared" si="5"/>
        <v>6</v>
      </c>
      <c r="AA12">
        <f t="shared" si="5"/>
        <v>6.25</v>
      </c>
      <c r="AB12">
        <f t="shared" si="5"/>
        <v>6.5</v>
      </c>
      <c r="AC12">
        <f t="shared" si="5"/>
        <v>6.75</v>
      </c>
      <c r="AD12">
        <f t="shared" si="5"/>
        <v>7</v>
      </c>
      <c r="AE12">
        <f t="shared" si="5"/>
        <v>7.25</v>
      </c>
      <c r="AF12">
        <f t="shared" si="5"/>
        <v>7.5</v>
      </c>
      <c r="AG12">
        <f t="shared" si="5"/>
        <v>7.75</v>
      </c>
      <c r="AH12">
        <f t="shared" si="5"/>
        <v>8</v>
      </c>
      <c r="AI12">
        <f t="shared" si="5"/>
        <v>8.25</v>
      </c>
      <c r="AJ12">
        <f t="shared" si="5"/>
        <v>8.5</v>
      </c>
      <c r="AK12">
        <f t="shared" si="5"/>
        <v>8.75</v>
      </c>
      <c r="AL12">
        <f t="shared" si="5"/>
        <v>9</v>
      </c>
      <c r="AM12">
        <f t="shared" si="5"/>
        <v>9.25</v>
      </c>
      <c r="AN12">
        <f t="shared" si="5"/>
        <v>9.5</v>
      </c>
      <c r="AO12">
        <f t="shared" si="5"/>
        <v>9.75</v>
      </c>
      <c r="AP12">
        <f t="shared" si="5"/>
        <v>10</v>
      </c>
      <c r="AQ12">
        <f t="shared" si="5"/>
        <v>10.25</v>
      </c>
      <c r="AR12">
        <f t="shared" si="5"/>
        <v>10.5</v>
      </c>
      <c r="AS12">
        <f t="shared" si="5"/>
        <v>10.75</v>
      </c>
      <c r="AT12">
        <f t="shared" si="5"/>
        <v>11</v>
      </c>
      <c r="AU12">
        <f t="shared" si="5"/>
        <v>11.25</v>
      </c>
      <c r="AV12">
        <f t="shared" si="5"/>
        <v>11.5</v>
      </c>
      <c r="AW12">
        <f t="shared" si="5"/>
        <v>11.75</v>
      </c>
      <c r="AX12">
        <f t="shared" si="5"/>
        <v>12</v>
      </c>
      <c r="AY12">
        <f t="shared" si="5"/>
        <v>12.25</v>
      </c>
      <c r="AZ12">
        <f t="shared" si="5"/>
        <v>12.5</v>
      </c>
      <c r="BA12">
        <f t="shared" si="5"/>
        <v>12.75</v>
      </c>
      <c r="BB12">
        <f t="shared" si="5"/>
        <v>13</v>
      </c>
      <c r="BC12">
        <f t="shared" si="5"/>
        <v>13.25</v>
      </c>
      <c r="BD12">
        <f t="shared" si="5"/>
        <v>13.5</v>
      </c>
      <c r="BE12">
        <f t="shared" si="5"/>
        <v>13.75</v>
      </c>
      <c r="BF12">
        <f t="shared" si="5"/>
        <v>14</v>
      </c>
      <c r="BG12">
        <f t="shared" si="5"/>
        <v>14.25</v>
      </c>
      <c r="BH12">
        <f t="shared" si="5"/>
        <v>14.5</v>
      </c>
      <c r="BI12">
        <f t="shared" si="5"/>
        <v>14.75</v>
      </c>
      <c r="BJ12">
        <f t="shared" si="5"/>
        <v>15</v>
      </c>
    </row>
    <row r="13" spans="1:62">
      <c r="A13" s="1" t="s">
        <v>1</v>
      </c>
      <c r="B13" s="2">
        <v>0</v>
      </c>
      <c r="C13" s="2">
        <f>B13+1</f>
        <v>1</v>
      </c>
      <c r="D13" s="2">
        <f t="shared" ref="D13:BJ13" si="6">C13+1</f>
        <v>2</v>
      </c>
      <c r="E13" s="2">
        <f t="shared" si="6"/>
        <v>3</v>
      </c>
      <c r="F13" s="2">
        <f t="shared" si="6"/>
        <v>4</v>
      </c>
      <c r="G13" s="2">
        <f t="shared" si="6"/>
        <v>5</v>
      </c>
      <c r="H13" s="2">
        <f t="shared" si="6"/>
        <v>6</v>
      </c>
      <c r="I13" s="2">
        <f t="shared" si="6"/>
        <v>7</v>
      </c>
      <c r="J13" s="2">
        <f t="shared" si="6"/>
        <v>8</v>
      </c>
      <c r="K13" s="2">
        <f t="shared" si="6"/>
        <v>9</v>
      </c>
      <c r="L13" s="2">
        <f t="shared" si="6"/>
        <v>10</v>
      </c>
      <c r="M13" s="2">
        <f t="shared" si="6"/>
        <v>11</v>
      </c>
      <c r="N13" s="2">
        <f t="shared" si="6"/>
        <v>12</v>
      </c>
      <c r="O13" s="2">
        <f t="shared" si="6"/>
        <v>13</v>
      </c>
      <c r="P13" s="2">
        <f t="shared" si="6"/>
        <v>14</v>
      </c>
      <c r="Q13" s="2">
        <f t="shared" si="6"/>
        <v>15</v>
      </c>
      <c r="R13" s="2">
        <f t="shared" si="6"/>
        <v>16</v>
      </c>
      <c r="S13" s="2">
        <f t="shared" si="6"/>
        <v>17</v>
      </c>
      <c r="T13" s="2">
        <f t="shared" si="6"/>
        <v>18</v>
      </c>
      <c r="U13" s="2">
        <f t="shared" si="6"/>
        <v>19</v>
      </c>
      <c r="V13" s="2">
        <f t="shared" si="6"/>
        <v>20</v>
      </c>
      <c r="W13" s="2">
        <f t="shared" si="6"/>
        <v>21</v>
      </c>
      <c r="X13" s="2">
        <f t="shared" si="6"/>
        <v>22</v>
      </c>
      <c r="Y13" s="2">
        <f t="shared" si="6"/>
        <v>23</v>
      </c>
      <c r="Z13" s="2">
        <f t="shared" si="6"/>
        <v>24</v>
      </c>
      <c r="AA13" s="2">
        <f t="shared" si="6"/>
        <v>25</v>
      </c>
      <c r="AB13" s="2">
        <f t="shared" si="6"/>
        <v>26</v>
      </c>
      <c r="AC13" s="2">
        <f t="shared" si="6"/>
        <v>27</v>
      </c>
      <c r="AD13" s="2">
        <f t="shared" si="6"/>
        <v>28</v>
      </c>
      <c r="AE13" s="2">
        <f t="shared" si="6"/>
        <v>29</v>
      </c>
      <c r="AF13" s="2">
        <f t="shared" si="6"/>
        <v>30</v>
      </c>
      <c r="AG13" s="2">
        <f t="shared" si="6"/>
        <v>31</v>
      </c>
      <c r="AH13" s="2">
        <f t="shared" si="6"/>
        <v>32</v>
      </c>
      <c r="AI13" s="2">
        <f t="shared" si="6"/>
        <v>33</v>
      </c>
      <c r="AJ13" s="2">
        <f t="shared" si="6"/>
        <v>34</v>
      </c>
      <c r="AK13" s="2">
        <f t="shared" si="6"/>
        <v>35</v>
      </c>
      <c r="AL13" s="2">
        <f t="shared" si="6"/>
        <v>36</v>
      </c>
      <c r="AM13" s="2">
        <f t="shared" si="6"/>
        <v>37</v>
      </c>
      <c r="AN13" s="2">
        <f t="shared" si="6"/>
        <v>38</v>
      </c>
      <c r="AO13" s="2">
        <f t="shared" si="6"/>
        <v>39</v>
      </c>
      <c r="AP13" s="2">
        <f t="shared" si="6"/>
        <v>40</v>
      </c>
      <c r="AQ13" s="2">
        <f t="shared" si="6"/>
        <v>41</v>
      </c>
      <c r="AR13" s="2">
        <f t="shared" si="6"/>
        <v>42</v>
      </c>
      <c r="AS13" s="2">
        <f t="shared" si="6"/>
        <v>43</v>
      </c>
      <c r="AT13" s="2">
        <f t="shared" si="6"/>
        <v>44</v>
      </c>
      <c r="AU13" s="2">
        <f t="shared" si="6"/>
        <v>45</v>
      </c>
      <c r="AV13" s="2">
        <f t="shared" si="6"/>
        <v>46</v>
      </c>
      <c r="AW13" s="2">
        <f t="shared" si="6"/>
        <v>47</v>
      </c>
      <c r="AX13" s="2">
        <f t="shared" si="6"/>
        <v>48</v>
      </c>
      <c r="AY13" s="2">
        <f t="shared" si="6"/>
        <v>49</v>
      </c>
      <c r="AZ13" s="2">
        <f t="shared" si="6"/>
        <v>50</v>
      </c>
      <c r="BA13" s="2">
        <f t="shared" si="6"/>
        <v>51</v>
      </c>
      <c r="BB13" s="2">
        <f t="shared" si="6"/>
        <v>52</v>
      </c>
      <c r="BC13" s="2">
        <f t="shared" si="6"/>
        <v>53</v>
      </c>
      <c r="BD13" s="2">
        <f t="shared" si="6"/>
        <v>54</v>
      </c>
      <c r="BE13" s="2">
        <f t="shared" si="6"/>
        <v>55</v>
      </c>
      <c r="BF13" s="2">
        <f t="shared" si="6"/>
        <v>56</v>
      </c>
      <c r="BG13" s="2">
        <f t="shared" si="6"/>
        <v>57</v>
      </c>
      <c r="BH13" s="2">
        <f t="shared" si="6"/>
        <v>58</v>
      </c>
      <c r="BI13" s="2">
        <f t="shared" si="6"/>
        <v>59</v>
      </c>
      <c r="BJ13" s="2">
        <f t="shared" si="6"/>
        <v>60</v>
      </c>
    </row>
    <row r="14" spans="1:62">
      <c r="A14" s="12">
        <v>0</v>
      </c>
      <c r="B14" s="19">
        <f>rr</f>
        <v>2.1738965960182294E-2</v>
      </c>
      <c r="C14" s="19">
        <f t="shared" ref="C14:AH14" si="7">IF(C12&gt;=T,"",IF(T&gt;D12*$Q$2,C$10,$O$2))</f>
        <v>2.6868535612675049E-2</v>
      </c>
      <c r="D14" s="19">
        <f t="shared" si="7"/>
        <v>3.1664983692099677E-2</v>
      </c>
      <c r="E14" s="19">
        <f t="shared" si="7"/>
        <v>4.2598173405492497E-2</v>
      </c>
      <c r="F14" s="19">
        <f t="shared" si="7"/>
        <v>5.3707198468762457E-2</v>
      </c>
      <c r="G14" s="19">
        <f t="shared" si="7"/>
        <v>6.5484800084295483E-2</v>
      </c>
      <c r="H14" s="19">
        <f t="shared" si="7"/>
        <v>7.9678690682106784E-2</v>
      </c>
      <c r="I14" s="19">
        <f t="shared" si="7"/>
        <v>0.10577591430999489</v>
      </c>
      <c r="J14" s="19">
        <f t="shared" si="7"/>
        <v>0.12010613364461453</v>
      </c>
      <c r="K14" s="19">
        <f t="shared" si="7"/>
        <v>0.14640281452103707</v>
      </c>
      <c r="L14" s="19">
        <f t="shared" si="7"/>
        <v>0.16351330433889266</v>
      </c>
      <c r="M14" s="19">
        <f t="shared" si="7"/>
        <v>0.18236827137785463</v>
      </c>
      <c r="N14" s="19">
        <f t="shared" si="7"/>
        <v>0.19542848293406276</v>
      </c>
      <c r="O14" s="19">
        <f t="shared" si="7"/>
        <v>0.24886766577826577</v>
      </c>
      <c r="P14" s="19">
        <f t="shared" si="7"/>
        <v>0.26790085702700972</v>
      </c>
      <c r="Q14" s="19">
        <f t="shared" si="7"/>
        <v>0.32974107104876882</v>
      </c>
      <c r="R14" s="19">
        <f t="shared" si="7"/>
        <v>0.34775708404258343</v>
      </c>
      <c r="S14" s="19">
        <f t="shared" si="7"/>
        <v>0.38231988201820244</v>
      </c>
      <c r="T14" s="19">
        <f t="shared" si="7"/>
        <v>0.40872548693822458</v>
      </c>
      <c r="U14" s="19">
        <f t="shared" si="7"/>
        <v>0.46616439271653565</v>
      </c>
      <c r="V14" s="19">
        <f t="shared" si="7"/>
        <v>0.52201545146763706</v>
      </c>
      <c r="W14" s="19">
        <f t="shared" si="7"/>
        <v>0.60768180769146163</v>
      </c>
      <c r="X14" s="19">
        <f t="shared" si="7"/>
        <v>0.63285320305610693</v>
      </c>
      <c r="Y14" s="19">
        <f t="shared" si="7"/>
        <v>0.72969038901646366</v>
      </c>
      <c r="Z14" s="19">
        <f t="shared" si="7"/>
        <v>0.79653391692154929</v>
      </c>
      <c r="AA14" s="19">
        <f t="shared" si="7"/>
        <v>0.85903584889337714</v>
      </c>
      <c r="AB14" s="19">
        <f t="shared" si="7"/>
        <v>0.97391914776503963</v>
      </c>
      <c r="AC14" s="19">
        <f t="shared" si="7"/>
        <v>1.0582671952835652</v>
      </c>
      <c r="AD14" s="19">
        <f t="shared" si="7"/>
        <v>1.1394259305830954</v>
      </c>
      <c r="AE14" s="19">
        <f t="shared" si="7"/>
        <v>1.2507075873957996</v>
      </c>
      <c r="AF14" s="19">
        <f t="shared" si="7"/>
        <v>1.3781995632349158</v>
      </c>
      <c r="AG14" s="19">
        <f t="shared" si="7"/>
        <v>1.4710118440779374</v>
      </c>
      <c r="AH14" s="19">
        <f t="shared" si="7"/>
        <v>1.5989335623345433</v>
      </c>
      <c r="AI14" s="19">
        <f t="shared" ref="AI14:BJ14" si="8">IF(AI12&gt;=T,"",IF(T&gt;AJ12*$Q$2,AI$10,$O$2))</f>
        <v>1.6016125555753926</v>
      </c>
      <c r="AJ14" s="19">
        <f t="shared" si="8"/>
        <v>1.6310791777948939</v>
      </c>
      <c r="AK14" s="19">
        <f t="shared" si="8"/>
        <v>1.5998784367164625</v>
      </c>
      <c r="AL14" s="19">
        <f t="shared" si="8"/>
        <v>1.6809284554541148</v>
      </c>
      <c r="AM14" s="19">
        <f t="shared" si="8"/>
        <v>1.5917432733674317</v>
      </c>
      <c r="AN14" s="19">
        <f t="shared" si="8"/>
        <v>1.4967003876396323</v>
      </c>
      <c r="AO14" s="19">
        <f t="shared" si="8"/>
        <v>1.4060125396974343</v>
      </c>
      <c r="AP14" s="19" t="str">
        <f t="shared" si="8"/>
        <v/>
      </c>
      <c r="AQ14" s="19" t="str">
        <f t="shared" si="8"/>
        <v/>
      </c>
      <c r="AR14" s="19" t="str">
        <f t="shared" si="8"/>
        <v/>
      </c>
      <c r="AS14" s="19" t="str">
        <f t="shared" si="8"/>
        <v/>
      </c>
      <c r="AT14" s="19" t="str">
        <f t="shared" si="8"/>
        <v/>
      </c>
      <c r="AU14" s="19" t="str">
        <f t="shared" si="8"/>
        <v/>
      </c>
      <c r="AV14" s="19" t="str">
        <f t="shared" si="8"/>
        <v/>
      </c>
      <c r="AW14" s="19" t="str">
        <f t="shared" si="8"/>
        <v/>
      </c>
      <c r="AX14" s="19" t="str">
        <f t="shared" si="8"/>
        <v/>
      </c>
      <c r="AY14" s="19" t="str">
        <f t="shared" si="8"/>
        <v/>
      </c>
      <c r="AZ14" s="19" t="str">
        <f t="shared" si="8"/>
        <v/>
      </c>
      <c r="BA14" s="19" t="str">
        <f t="shared" si="8"/>
        <v/>
      </c>
      <c r="BB14" s="19" t="str">
        <f t="shared" si="8"/>
        <v/>
      </c>
      <c r="BC14" s="19" t="str">
        <f t="shared" si="8"/>
        <v/>
      </c>
      <c r="BD14" s="19" t="str">
        <f t="shared" si="8"/>
        <v/>
      </c>
      <c r="BE14" s="19" t="str">
        <f t="shared" si="8"/>
        <v/>
      </c>
      <c r="BF14" s="19" t="str">
        <f t="shared" si="8"/>
        <v/>
      </c>
      <c r="BG14" s="19" t="str">
        <f t="shared" si="8"/>
        <v/>
      </c>
      <c r="BH14" s="19" t="str">
        <f t="shared" si="8"/>
        <v/>
      </c>
      <c r="BI14" s="19" t="str">
        <f t="shared" si="8"/>
        <v/>
      </c>
      <c r="BJ14" s="19" t="str">
        <f t="shared" si="8"/>
        <v/>
      </c>
    </row>
    <row r="15" spans="1:62">
      <c r="A15" s="12">
        <f>A14+1</f>
        <v>1</v>
      </c>
      <c r="B15" s="19" t="str">
        <f t="shared" ref="B15:B46" si="9">IF(B$12&gt;=T,"",IF($A15&gt;B$13,"",IF(T&gt;C$12*$Q$2,B14*EXP(-2*B$11*SQRT(h)),B14*EXP(-2*$O$3*SQRT(h)))))</f>
        <v/>
      </c>
      <c r="C15" s="19">
        <f t="shared" ref="C15:C46" si="10">IF(C$12&gt;=T,"",IF($A15&gt;C$13,"",IF(T&gt;D$12*$Q$2,C14*EXP(-2*C$11*SQRT(h)),C14*EXP(-2*$O$3*SQRT(h)))))</f>
        <v>2.1971388046872882E-2</v>
      </c>
      <c r="D15" s="19">
        <f t="shared" ref="D15:D46" si="11">IF(D$12&gt;=T,"",IF($A15&gt;D$13,"",IF(T&gt;E$12*$Q$2,D14*EXP(-2*D$11*SQRT(h)),D14*EXP(-2*$O$3*SQRT(h)))))</f>
        <v>2.6719653057750065E-2</v>
      </c>
      <c r="E15" s="19">
        <f t="shared" ref="E15:E46" si="12">IF(E$12&gt;=T,"",IF($A15&gt;E$13,"",IF(T&gt;F$12*$Q$2,E14*EXP(-2*E$11*SQRT(h)),E14*EXP(-2*$O$3*SQRT(h)))))</f>
        <v>3.2261664839026864E-2</v>
      </c>
      <c r="F15" s="19">
        <f t="shared" ref="F15:F46" si="13">IF(F$12&gt;=T,"",IF($A15&gt;F$13,"",IF(T&gt;G$12*$Q$2,F14*EXP(-2*F$11*SQRT(h)),F14*EXP(-2*$O$3*SQRT(h)))))</f>
        <v>3.9701601092778593E-2</v>
      </c>
      <c r="G15" s="19">
        <f t="shared" ref="G15:G46" si="14">IF(G$12&gt;=T,"",IF($A15&gt;G$13,"",IF(T&gt;H$12*$Q$2,G14*EXP(-2*G$11*SQRT(h)),G14*EXP(-2*$O$3*SQRT(h)))))</f>
        <v>4.8285037680957994E-2</v>
      </c>
      <c r="H15" s="19">
        <f t="shared" ref="H15:H46" si="15">IF(H$12&gt;=T,"",IF($A15&gt;H$13,"",IF(T&gt;I$12*$Q$2,H14*EXP(-2*H$11*SQRT(h)),H14*EXP(-2*$O$3*SQRT(h)))))</f>
        <v>5.8585140047966458E-2</v>
      </c>
      <c r="I15" s="19">
        <f t="shared" ref="I15:I46" si="16">IF(I$12&gt;=T,"",IF($A15&gt;I$13,"",IF(T&gt;J$12*$Q$2,I14*EXP(-2*I$11*SQRT(h)),I14*EXP(-2*$O$3*SQRT(h)))))</f>
        <v>7.5315114520528845E-2</v>
      </c>
      <c r="J15" s="19">
        <f t="shared" ref="J15:J46" si="17">IF(J$12&gt;=T,"",IF($A15&gt;J$13,"",IF(T&gt;K$12*$Q$2,J14*EXP(-2*J$11*SQRT(h)),J14*EXP(-2*$O$3*SQRT(h)))))</f>
        <v>8.7425215959916786E-2</v>
      </c>
      <c r="K15" s="19">
        <f t="shared" ref="K15:K46" si="18">IF(K$12&gt;=T,"",IF($A15&gt;K$13,"",IF(T&gt;L$12*$Q$2,K14*EXP(-2*K$11*SQRT(h)),K14*EXP(-2*$O$3*SQRT(h)))))</f>
        <v>0.10629936040771076</v>
      </c>
      <c r="L15" s="19">
        <f t="shared" ref="L15:L46" si="19">IF(L$12&gt;=T,"",IF($A15&gt;L$13,"",IF(T&gt;M$12*$Q$2,L14*EXP(-2*L$11*SQRT(h)),L14*EXP(-2*$O$3*SQRT(h)))))</f>
        <v>0.12080305028292923</v>
      </c>
      <c r="M15" s="19">
        <f t="shared" ref="M15:M46" si="20">IF(M$12&gt;=T,"",IF($A15&gt;M$13,"",IF(T&gt;N$12*$Q$2,M14*EXP(-2*M$11*SQRT(h)),M14*EXP(-2*$O$3*SQRT(h)))))</f>
        <v>0.1365391329881892</v>
      </c>
      <c r="N15" s="19">
        <f t="shared" ref="N15:N46" si="21">IF(N$12&gt;=T,"",IF($A15&gt;N$13,"",IF(T&gt;O$12*$Q$2,N14*EXP(-2*N$11*SQRT(h)),N14*EXP(-2*$O$3*SQRT(h)))))</f>
        <v>0.14892756709248303</v>
      </c>
      <c r="O15" s="19">
        <f t="shared" ref="O15:O46" si="22">IF(O$12&gt;=T,"",IF($A15&gt;O$13,"",IF(T&gt;P$12*$Q$2,O14*EXP(-2*O$11*SQRT(h)),O14*EXP(-2*$O$3*SQRT(h)))))</f>
        <v>0.18667523779793399</v>
      </c>
      <c r="P15" s="19">
        <f t="shared" ref="P15:P46" si="23">IF(P$12&gt;=T,"",IF($A15&gt;P$13,"",IF(T&gt;Q$12*$Q$2,P14*EXP(-2*P$11*SQRT(h)),P14*EXP(-2*$O$3*SQRT(h)))))</f>
        <v>0.20378351723080179</v>
      </c>
      <c r="Q15" s="19">
        <f t="shared" ref="Q15:Q46" si="24">IF(Q$12&gt;=T,"",IF($A15&gt;Q$13,"",IF(T&gt;R$12*$Q$2,Q14*EXP(-2*Q$11*SQRT(h)),Q14*EXP(-2*$O$3*SQRT(h)))))</f>
        <v>0.24874474327886609</v>
      </c>
      <c r="R15" s="19">
        <f t="shared" ref="R15:R46" si="25">IF(R$12&gt;=T,"",IF($A15&gt;R$13,"",IF(T&gt;S$12*$Q$2,R14*EXP(-2*R$11*SQRT(h)),R14*EXP(-2*$O$3*SQRT(h)))))</f>
        <v>0.26626701311614137</v>
      </c>
      <c r="S15" s="19">
        <f t="shared" ref="S15:S46" si="26">IF(S$12&gt;=T,"",IF($A15&gt;S$13,"",IF(T&gt;T$12*$Q$2,S14*EXP(-2*S$11*SQRT(h)),S14*EXP(-2*$O$3*SQRT(h)))))</f>
        <v>0.29487203401468304</v>
      </c>
      <c r="T15" s="19">
        <f t="shared" ref="T15:T46" si="27">IF(T$12&gt;=T,"",IF($A15&gt;T$13,"",IF(T&gt;U$12*$Q$2,T14*EXP(-2*T$11*SQRT(h)),T14*EXP(-2*$O$3*SQRT(h)))))</f>
        <v>0.31830442479953269</v>
      </c>
      <c r="U15" s="19">
        <f t="shared" ref="U15:U46" si="28">IF(U$12&gt;=T,"",IF($A15&gt;U$13,"",IF(T&gt;V$12*$Q$2,U14*EXP(-2*U$11*SQRT(h)),U14*EXP(-2*$O$3*SQRT(h)))))</f>
        <v>0.36331274458023199</v>
      </c>
      <c r="V15" s="19">
        <f t="shared" ref="V15:V46" si="29">IF(V$12&gt;=T,"",IF($A15&gt;V$13,"",IF(T&gt;W$12*$Q$2,V14*EXP(-2*V$11*SQRT(h)),V14*EXP(-2*$O$3*SQRT(h)))))</f>
        <v>0.40787967224152133</v>
      </c>
      <c r="W15" s="19">
        <f t="shared" ref="W15:W46" si="30">IF(W$12&gt;=T,"",IF($A15&gt;W$13,"",IF(T&gt;X$12*$Q$2,W14*EXP(-2*W$11*SQRT(h)),W14*EXP(-2*$O$3*SQRT(h)))))</f>
        <v>0.47389414149475212</v>
      </c>
      <c r="X15" s="19">
        <f t="shared" ref="X15:X46" si="31">IF(X$12&gt;=T,"",IF($A15&gt;X$13,"",IF(T&gt;Y$12*$Q$2,X14*EXP(-2*X$11*SQRT(h)),X14*EXP(-2*$O$3*SQRT(h)))))</f>
        <v>0.49820681376642129</v>
      </c>
      <c r="Y15" s="19">
        <f t="shared" ref="Y15:Y46" si="32">IF(Y$12&gt;=T,"",IF($A15&gt;Y$13,"",IF(T&gt;Z$12*$Q$2,Y14*EXP(-2*Y$11*SQRT(h)),Y14*EXP(-2*$O$3*SQRT(h)))))</f>
        <v>0.57367971272341978</v>
      </c>
      <c r="Z15" s="19">
        <f t="shared" ref="Z15:Z46" si="33">IF(Z$12&gt;=T,"",IF($A15&gt;Z$13,"",IF(T&gt;AA$12*$Q$2,Z14*EXP(-2*Z$11*SQRT(h)),Z14*EXP(-2*$O$3*SQRT(h)))))</f>
        <v>0.62861334855976758</v>
      </c>
      <c r="AA15" s="19">
        <f t="shared" ref="AA15:AA46" si="34">IF(AA$12&gt;=T,"",IF($A15&gt;AA$13,"",IF(T&gt;AB$12*$Q$2,AA14*EXP(-2*AA$11*SQRT(h)),AA14*EXP(-2*$O$3*SQRT(h)))))</f>
        <v>0.68099796704449644</v>
      </c>
      <c r="AB15" s="19">
        <f t="shared" ref="AB15:AB46" si="35">IF(AB$12&gt;=T,"",IF($A15&gt;AB$13,"",IF(T&gt;AC$12*$Q$2,AB14*EXP(-2*AB$11*SQRT(h)),AB14*EXP(-2*$O$3*SQRT(h)))))</f>
        <v>0.77196644644976076</v>
      </c>
      <c r="AC15" s="19">
        <f t="shared" ref="AC15:AC46" si="36">IF(AC$12&gt;=T,"",IF($A15&gt;AC$13,"",IF(T&gt;AD$12*$Q$2,AC14*EXP(-2*AC$11*SQRT(h)),AC14*EXP(-2*$O$3*SQRT(h)))))</f>
        <v>0.84159606564543676</v>
      </c>
      <c r="AD15" s="19">
        <f t="shared" ref="AD15:AD46" si="37">IF(AD$12&gt;=T,"",IF($A15&gt;AD$13,"",IF(T&gt;AE$12*$Q$2,AD14*EXP(-2*AD$11*SQRT(h)),AD14*EXP(-2*$O$3*SQRT(h)))))</f>
        <v>0.90955578812365068</v>
      </c>
      <c r="AE15" s="19">
        <f t="shared" ref="AE15:AE46" si="38">IF(AE$12&gt;=T,"",IF($A15&gt;AE$13,"",IF(T&gt;AF$12*$Q$2,AE14*EXP(-2*AE$11*SQRT(h)),AE14*EXP(-2*$O$3*SQRT(h)))))</f>
        <v>1.0004090789409466</v>
      </c>
      <c r="AF15" s="19">
        <f t="shared" ref="AF15:AF46" si="39">IF(AF$12&gt;=T,"",IF($A15&gt;AF$13,"",IF(T&gt;AG$12*$Q$2,AF14*EXP(-2*AF$11*SQRT(h)),AF14*EXP(-2*$O$3*SQRT(h)))))</f>
        <v>1.1041127797196124</v>
      </c>
      <c r="AG15" s="19">
        <f t="shared" ref="AG15:AG46" si="40">IF(AG$12&gt;=T,"",IF($A15&gt;AG$13,"",IF(T&gt;AH$12*$Q$2,AG14*EXP(-2*AG$11*SQRT(h)),AG14*EXP(-2*$O$3*SQRT(h)))))</f>
        <v>1.1828645175893042</v>
      </c>
      <c r="AH15" s="19">
        <f t="shared" ref="AH15:AH46" si="41">IF(AH$12&gt;=T,"",IF($A15&gt;AH$13,"",IF(T&gt;AI$12*$Q$2,AH14*EXP(-2*AH$11*SQRT(h)),AH14*EXP(-2*$O$3*SQRT(h)))))</f>
        <v>1.2885848338698658</v>
      </c>
      <c r="AI15" s="19">
        <f t="shared" ref="AI15:AI46" si="42">IF(AI$12&gt;=T,"",IF($A15&gt;AI$13,"",IF(T&gt;AJ$12*$Q$2,AI14*EXP(-2*AI$11*SQRT(h)),AI14*EXP(-2*$O$3*SQRT(h)))))</f>
        <v>1.3004003119621284</v>
      </c>
      <c r="AJ15" s="19">
        <f t="shared" ref="AJ15:AJ46" si="43">IF(AJ$12&gt;=T,"",IF($A15&gt;AJ$13,"",IF(T&gt;AK$12*$Q$2,AJ14*EXP(-2*AJ$11*SQRT(h)),AJ14*EXP(-2*$O$3*SQRT(h)))))</f>
        <v>1.3321728765301137</v>
      </c>
      <c r="AK15" s="19">
        <f t="shared" ref="AK15:AK46" si="44">IF(AK$12&gt;=T,"",IF($A15&gt;AK$13,"",IF(T&gt;AL$12*$Q$2,AK14*EXP(-2*AK$11*SQRT(h)),AK14*EXP(-2*$O$3*SQRT(h)))))</f>
        <v>1.3170252382557095</v>
      </c>
      <c r="AL15" s="19">
        <f t="shared" ref="AL15:AL46" si="45">IF(AL$12&gt;=T,"",IF($A15&gt;AL$13,"",IF(T&gt;AM$12*$Q$2,AL14*EXP(-2*AL$11*SQRT(h)),AL14*EXP(-2*$O$3*SQRT(h)))))</f>
        <v>1.3883064506845468</v>
      </c>
      <c r="AM15" s="19">
        <f t="shared" ref="AM15:AM46" si="46">IF(AM$12&gt;=T,"",IF($A15&gt;AM$13,"",IF(T&gt;AN$12*$Q$2,AM14*EXP(-2*AM$11*SQRT(h)),AM14*EXP(-2*$O$3*SQRT(h)))))</f>
        <v>1.326729346532338</v>
      </c>
      <c r="AN15" s="19">
        <f t="shared" ref="AN15:AN46" si="47">IF(AN$12&gt;=T,"",IF($A15&gt;AN$13,"",IF(T&gt;AO$12*$Q$2,AN14*EXP(-2*AN$11*SQRT(h)),AN14*EXP(-2*$O$3*SQRT(h)))))</f>
        <v>1.2587737153174787</v>
      </c>
      <c r="AO15" s="19">
        <f t="shared" ref="AO15:AO46" si="48">IF(AO$12&gt;=T,"",IF($A15&gt;AO$13,"",IF(T&gt;AP$12*$Q$2,AO14*EXP(-2*AO$11*SQRT(h)),AO14*EXP(-2*$O$3*SQRT(h)))))</f>
        <v>1.1926731905602179</v>
      </c>
      <c r="AP15" s="19" t="str">
        <f t="shared" ref="AP15:AP46" si="49">IF(AP$12&gt;=T,"",IF($A15&gt;AP$13,"",IF(T&gt;AQ$12*$Q$2,AP14*EXP(-2*AP$11*SQRT(h)),AP14*EXP(-2*$O$3*SQRT(h)))))</f>
        <v/>
      </c>
      <c r="AQ15" s="19" t="str">
        <f t="shared" ref="AQ15:AQ46" si="50">IF(AQ$12&gt;=T,"",IF($A15&gt;AQ$13,"",IF(T&gt;AR$12*$Q$2,AQ14*EXP(-2*AQ$11*SQRT(h)),AQ14*EXP(-2*$O$3*SQRT(h)))))</f>
        <v/>
      </c>
      <c r="AR15" s="19" t="str">
        <f t="shared" ref="AR15:AR46" si="51">IF(AR$12&gt;=T,"",IF($A15&gt;AR$13,"",IF(T&gt;AS$12*$Q$2,AR14*EXP(-2*AR$11*SQRT(h)),AR14*EXP(-2*$O$3*SQRT(h)))))</f>
        <v/>
      </c>
      <c r="AS15" s="19" t="str">
        <f t="shared" ref="AS15:AS46" si="52">IF(AS$12&gt;=T,"",IF($A15&gt;AS$13,"",IF(T&gt;AT$12*$Q$2,AS14*EXP(-2*AS$11*SQRT(h)),AS14*EXP(-2*$O$3*SQRT(h)))))</f>
        <v/>
      </c>
      <c r="AT15" s="19" t="str">
        <f t="shared" ref="AT15:AT46" si="53">IF(AT$12&gt;=T,"",IF($A15&gt;AT$13,"",IF(T&gt;AU$12*$Q$2,AT14*EXP(-2*AT$11*SQRT(h)),AT14*EXP(-2*$O$3*SQRT(h)))))</f>
        <v/>
      </c>
      <c r="AU15" s="19" t="str">
        <f t="shared" ref="AU15:AU46" si="54">IF(AU$12&gt;=T,"",IF($A15&gt;AU$13,"",IF(T&gt;AV$12*$Q$2,AU14*EXP(-2*AU$11*SQRT(h)),AU14*EXP(-2*$O$3*SQRT(h)))))</f>
        <v/>
      </c>
      <c r="AV15" s="19" t="str">
        <f t="shared" ref="AV15:AV46" si="55">IF(AV$12&gt;=T,"",IF($A15&gt;AV$13,"",IF(T&gt;AW$12*$Q$2,AV14*EXP(-2*AV$11*SQRT(h)),AV14*EXP(-2*$O$3*SQRT(h)))))</f>
        <v/>
      </c>
      <c r="AW15" s="19" t="str">
        <f t="shared" ref="AW15:AW46" si="56">IF(AW$12&gt;=T,"",IF($A15&gt;AW$13,"",IF(T&gt;AX$12*$Q$2,AW14*EXP(-2*AW$11*SQRT(h)),AW14*EXP(-2*$O$3*SQRT(h)))))</f>
        <v/>
      </c>
      <c r="AX15" s="19" t="str">
        <f t="shared" ref="AX15:AX46" si="57">IF(AX$12&gt;=T,"",IF($A15&gt;AX$13,"",IF(T&gt;AY$12*$Q$2,AX14*EXP(-2*AX$11*SQRT(h)),AX14*EXP(-2*$O$3*SQRT(h)))))</f>
        <v/>
      </c>
      <c r="AY15" s="19" t="str">
        <f t="shared" ref="AY15:AY46" si="58">IF(AY$12&gt;=T,"",IF($A15&gt;AY$13,"",IF(T&gt;AZ$12*$Q$2,AY14*EXP(-2*AY$11*SQRT(h)),AY14*EXP(-2*$O$3*SQRT(h)))))</f>
        <v/>
      </c>
      <c r="AZ15" s="19" t="str">
        <f t="shared" ref="AZ15:AZ46" si="59">IF(AZ$12&gt;=T,"",IF($A15&gt;AZ$13,"",IF(T&gt;BA$12*$Q$2,AZ14*EXP(-2*AZ$11*SQRT(h)),AZ14*EXP(-2*$O$3*SQRT(h)))))</f>
        <v/>
      </c>
      <c r="BA15" s="19" t="str">
        <f t="shared" ref="BA15:BA46" si="60">IF(BA$12&gt;=T,"",IF($A15&gt;BA$13,"",IF(T&gt;BB$12*$Q$2,BA14*EXP(-2*BA$11*SQRT(h)),BA14*EXP(-2*$O$3*SQRT(h)))))</f>
        <v/>
      </c>
      <c r="BB15" s="19" t="str">
        <f t="shared" ref="BB15:BB46" si="61">IF(BB$12&gt;=T,"",IF($A15&gt;BB$13,"",IF(T&gt;BC$12*$Q$2,BB14*EXP(-2*BB$11*SQRT(h)),BB14*EXP(-2*$O$3*SQRT(h)))))</f>
        <v/>
      </c>
      <c r="BC15" s="19" t="str">
        <f t="shared" ref="BC15:BC46" si="62">IF(BC$12&gt;=T,"",IF($A15&gt;BC$13,"",IF(T&gt;BD$12*$Q$2,BC14*EXP(-2*BC$11*SQRT(h)),BC14*EXP(-2*$O$3*SQRT(h)))))</f>
        <v/>
      </c>
      <c r="BD15" s="19" t="str">
        <f t="shared" ref="BD15:BD46" si="63">IF(BD$12&gt;=T,"",IF($A15&gt;BD$13,"",IF(T&gt;BE$12*$Q$2,BD14*EXP(-2*BD$11*SQRT(h)),BD14*EXP(-2*$O$3*SQRT(h)))))</f>
        <v/>
      </c>
      <c r="BE15" s="19" t="str">
        <f t="shared" ref="BE15:BE46" si="64">IF(BE$12&gt;=T,"",IF($A15&gt;BE$13,"",IF(T&gt;BF$12*$Q$2,BE14*EXP(-2*BE$11*SQRT(h)),BE14*EXP(-2*$O$3*SQRT(h)))))</f>
        <v/>
      </c>
      <c r="BF15" s="19" t="str">
        <f t="shared" ref="BF15:BF46" si="65">IF(BF$12&gt;=T,"",IF($A15&gt;BF$13,"",IF(T&gt;BG$12*$Q$2,BF14*EXP(-2*BF$11*SQRT(h)),BF14*EXP(-2*$O$3*SQRT(h)))))</f>
        <v/>
      </c>
      <c r="BG15" s="19" t="str">
        <f t="shared" ref="BG15:BG46" si="66">IF(BG$12&gt;=T,"",IF($A15&gt;BG$13,"",IF(T&gt;BH$12*$Q$2,BG14*EXP(-2*BG$11*SQRT(h)),BG14*EXP(-2*$O$3*SQRT(h)))))</f>
        <v/>
      </c>
      <c r="BH15" s="19" t="str">
        <f t="shared" ref="BH15:BH46" si="67">IF(BH$12&gt;=T,"",IF($A15&gt;BH$13,"",IF(T&gt;BI$12*$Q$2,BH14*EXP(-2*BH$11*SQRT(h)),BH14*EXP(-2*$O$3*SQRT(h)))))</f>
        <v/>
      </c>
      <c r="BI15" s="19" t="str">
        <f t="shared" ref="BI15:BI46" si="68">IF(BI$12&gt;=T,"",IF($A15&gt;BI$13,"",IF(T&gt;BJ$12*$Q$2,BI14*EXP(-2*BI$11*SQRT(h)),BI14*EXP(-2*$O$3*SQRT(h)))))</f>
        <v/>
      </c>
      <c r="BJ15" s="19" t="str">
        <f t="shared" ref="BJ15:BJ46" si="69">IF(BJ$12&gt;=T,"",IF($A15&gt;BJ$13,"",IF(T&gt;BK$12*$Q$2,BJ14*EXP(-2*BJ$11*SQRT(h)),BJ14*EXP(-2*$O$3*SQRT(h)))))</f>
        <v/>
      </c>
    </row>
    <row r="16" spans="1:62">
      <c r="A16" s="12">
        <f t="shared" ref="A16:A74" si="70">A15+1</f>
        <v>2</v>
      </c>
      <c r="B16" s="19" t="str">
        <f t="shared" si="9"/>
        <v/>
      </c>
      <c r="C16" s="19" t="str">
        <f t="shared" si="10"/>
        <v/>
      </c>
      <c r="D16" s="19">
        <f t="shared" si="11"/>
        <v>2.2546667526143659E-2</v>
      </c>
      <c r="E16" s="19">
        <f t="shared" si="12"/>
        <v>2.4433325069555735E-2</v>
      </c>
      <c r="F16" s="19">
        <f t="shared" si="13"/>
        <v>2.9348340153078148E-2</v>
      </c>
      <c r="G16" s="19">
        <f t="shared" si="14"/>
        <v>3.5602840061363474E-2</v>
      </c>
      <c r="H16" s="19">
        <f t="shared" si="15"/>
        <v>4.307574089204514E-2</v>
      </c>
      <c r="I16" s="19">
        <f t="shared" si="16"/>
        <v>5.3626258040337126E-2</v>
      </c>
      <c r="J16" s="19">
        <f t="shared" si="17"/>
        <v>6.3636786512949267E-2</v>
      </c>
      <c r="K16" s="19">
        <f t="shared" si="18"/>
        <v>7.718126225957711E-2</v>
      </c>
      <c r="L16" s="19">
        <f t="shared" si="19"/>
        <v>8.9248865813476214E-2</v>
      </c>
      <c r="M16" s="19">
        <f t="shared" si="20"/>
        <v>0.10222685501327984</v>
      </c>
      <c r="N16" s="19">
        <f t="shared" si="21"/>
        <v>0.11349123683045391</v>
      </c>
      <c r="O16" s="19">
        <f t="shared" si="22"/>
        <v>0.14002479710628016</v>
      </c>
      <c r="P16" s="19">
        <f t="shared" si="23"/>
        <v>0.15501153059308681</v>
      </c>
      <c r="Q16" s="19">
        <f t="shared" si="24"/>
        <v>0.18764404176911834</v>
      </c>
      <c r="R16" s="19">
        <f t="shared" si="25"/>
        <v>0.20387254646151165</v>
      </c>
      <c r="S16" s="19">
        <f t="shared" si="26"/>
        <v>0.22742609143151149</v>
      </c>
      <c r="T16" s="19">
        <f t="shared" si="27"/>
        <v>0.24788693165658807</v>
      </c>
      <c r="U16" s="19">
        <f t="shared" si="28"/>
        <v>0.28315365230970113</v>
      </c>
      <c r="V16" s="19">
        <f t="shared" si="29"/>
        <v>0.31869904724106601</v>
      </c>
      <c r="W16" s="19">
        <f t="shared" si="30"/>
        <v>0.36956126462991301</v>
      </c>
      <c r="X16" s="19">
        <f t="shared" si="31"/>
        <v>0.39220790553743001</v>
      </c>
      <c r="Y16" s="19">
        <f t="shared" si="32"/>
        <v>0.4510247328788648</v>
      </c>
      <c r="Z16" s="19">
        <f t="shared" si="33"/>
        <v>0.49609280106328818</v>
      </c>
      <c r="AA16" s="19">
        <f t="shared" si="34"/>
        <v>0.53985899624114331</v>
      </c>
      <c r="AB16" s="19">
        <f t="shared" si="35"/>
        <v>0.61189082873236766</v>
      </c>
      <c r="AC16" s="19">
        <f t="shared" si="36"/>
        <v>0.66928649103602988</v>
      </c>
      <c r="AD16" s="19">
        <f t="shared" si="37"/>
        <v>0.72606012335165393</v>
      </c>
      <c r="AE16" s="19">
        <f t="shared" si="38"/>
        <v>0.80020169007798103</v>
      </c>
      <c r="AF16" s="19">
        <f t="shared" si="39"/>
        <v>0.88453447734287094</v>
      </c>
      <c r="AG16" s="19">
        <f t="shared" si="40"/>
        <v>0.9511605719590972</v>
      </c>
      <c r="AH16" s="19">
        <f t="shared" si="41"/>
        <v>1.038473963643034</v>
      </c>
      <c r="AI16" s="19">
        <f t="shared" si="42"/>
        <v>1.0558364852126676</v>
      </c>
      <c r="AJ16" s="19">
        <f t="shared" si="43"/>
        <v>1.0880431784812361</v>
      </c>
      <c r="AK16" s="19">
        <f t="shared" si="44"/>
        <v>1.0841795466425892</v>
      </c>
      <c r="AL16" s="19">
        <f t="shared" si="45"/>
        <v>1.1466251253933497</v>
      </c>
      <c r="AM16" s="19">
        <f t="shared" si="46"/>
        <v>1.1058383524538411</v>
      </c>
      <c r="AN16" s="19">
        <f t="shared" si="47"/>
        <v>1.0586696438777694</v>
      </c>
      <c r="AO16" s="19">
        <f t="shared" si="48"/>
        <v>1.0117045896242127</v>
      </c>
      <c r="AP16" s="19" t="str">
        <f t="shared" si="49"/>
        <v/>
      </c>
      <c r="AQ16" s="19" t="str">
        <f t="shared" si="50"/>
        <v/>
      </c>
      <c r="AR16" s="19" t="str">
        <f t="shared" si="51"/>
        <v/>
      </c>
      <c r="AS16" s="19" t="str">
        <f t="shared" si="52"/>
        <v/>
      </c>
      <c r="AT16" s="19" t="str">
        <f t="shared" si="53"/>
        <v/>
      </c>
      <c r="AU16" s="19" t="str">
        <f t="shared" si="54"/>
        <v/>
      </c>
      <c r="AV16" s="19" t="str">
        <f t="shared" si="55"/>
        <v/>
      </c>
      <c r="AW16" s="19" t="str">
        <f t="shared" si="56"/>
        <v/>
      </c>
      <c r="AX16" s="19" t="str">
        <f t="shared" si="57"/>
        <v/>
      </c>
      <c r="AY16" s="19" t="str">
        <f t="shared" si="58"/>
        <v/>
      </c>
      <c r="AZ16" s="19" t="str">
        <f t="shared" si="59"/>
        <v/>
      </c>
      <c r="BA16" s="19" t="str">
        <f t="shared" si="60"/>
        <v/>
      </c>
      <c r="BB16" s="19" t="str">
        <f t="shared" si="61"/>
        <v/>
      </c>
      <c r="BC16" s="19" t="str">
        <f t="shared" si="62"/>
        <v/>
      </c>
      <c r="BD16" s="19" t="str">
        <f t="shared" si="63"/>
        <v/>
      </c>
      <c r="BE16" s="19" t="str">
        <f t="shared" si="64"/>
        <v/>
      </c>
      <c r="BF16" s="19" t="str">
        <f t="shared" si="65"/>
        <v/>
      </c>
      <c r="BG16" s="19" t="str">
        <f t="shared" si="66"/>
        <v/>
      </c>
      <c r="BH16" s="19" t="str">
        <f t="shared" si="67"/>
        <v/>
      </c>
      <c r="BI16" s="19" t="str">
        <f t="shared" si="68"/>
        <v/>
      </c>
      <c r="BJ16" s="19" t="str">
        <f t="shared" si="69"/>
        <v/>
      </c>
    </row>
    <row r="17" spans="1:62">
      <c r="A17" s="12">
        <f t="shared" si="70"/>
        <v>3</v>
      </c>
      <c r="B17" s="19" t="str">
        <f t="shared" si="9"/>
        <v/>
      </c>
      <c r="C17" s="19" t="str">
        <f t="shared" si="10"/>
        <v/>
      </c>
      <c r="D17" s="19" t="str">
        <f t="shared" si="11"/>
        <v/>
      </c>
      <c r="E17" s="19">
        <f t="shared" si="12"/>
        <v>1.8504543300332302E-2</v>
      </c>
      <c r="F17" s="19">
        <f t="shared" si="13"/>
        <v>2.169497063173725E-2</v>
      </c>
      <c r="G17" s="19">
        <f t="shared" si="14"/>
        <v>2.6251656440871168E-2</v>
      </c>
      <c r="H17" s="19">
        <f t="shared" si="15"/>
        <v>3.1672186016443886E-2</v>
      </c>
      <c r="I17" s="19">
        <f t="shared" si="16"/>
        <v>3.8183246081700699E-2</v>
      </c>
      <c r="J17" s="19">
        <f t="shared" si="17"/>
        <v>4.6321196387451698E-2</v>
      </c>
      <c r="K17" s="19">
        <f t="shared" si="18"/>
        <v>5.6039351705727818E-2</v>
      </c>
      <c r="L17" s="19">
        <f t="shared" si="19"/>
        <v>6.5936746053484985E-2</v>
      </c>
      <c r="M17" s="19">
        <f t="shared" si="20"/>
        <v>7.65372509492213E-2</v>
      </c>
      <c r="N17" s="19">
        <f t="shared" si="21"/>
        <v>8.6486747140021566E-2</v>
      </c>
      <c r="O17" s="19">
        <f t="shared" si="22"/>
        <v>0.10503237620555972</v>
      </c>
      <c r="P17" s="19">
        <f t="shared" si="23"/>
        <v>0.11791225778872551</v>
      </c>
      <c r="Q17" s="19">
        <f t="shared" si="24"/>
        <v>0.1415518814481101</v>
      </c>
      <c r="R17" s="19">
        <f t="shared" si="25"/>
        <v>0.1560990027051217</v>
      </c>
      <c r="S17" s="19">
        <f t="shared" si="26"/>
        <v>0.17540702778629294</v>
      </c>
      <c r="T17" s="19">
        <f t="shared" si="27"/>
        <v>0.19304768045501633</v>
      </c>
      <c r="U17" s="19">
        <f t="shared" si="28"/>
        <v>0.22068036977056135</v>
      </c>
      <c r="V17" s="19">
        <f t="shared" si="29"/>
        <v>0.24901727059401046</v>
      </c>
      <c r="W17" s="19">
        <f t="shared" si="30"/>
        <v>0.28819838937885039</v>
      </c>
      <c r="X17" s="19">
        <f t="shared" si="31"/>
        <v>0.3087614157725625</v>
      </c>
      <c r="Y17" s="19">
        <f t="shared" si="32"/>
        <v>0.35459387033706208</v>
      </c>
      <c r="Z17" s="19">
        <f t="shared" si="33"/>
        <v>0.39150945144687721</v>
      </c>
      <c r="AA17" s="19">
        <f t="shared" si="34"/>
        <v>0.42797152110066661</v>
      </c>
      <c r="AB17" s="19">
        <f t="shared" si="35"/>
        <v>0.48500862700533209</v>
      </c>
      <c r="AC17" s="19">
        <f t="shared" si="36"/>
        <v>0.53225582362933721</v>
      </c>
      <c r="AD17" s="19">
        <f t="shared" si="37"/>
        <v>0.57958325328116445</v>
      </c>
      <c r="AE17" s="19">
        <f t="shared" si="38"/>
        <v>0.64006090936471305</v>
      </c>
      <c r="AF17" s="19">
        <f t="shared" si="39"/>
        <v>0.70862438690992724</v>
      </c>
      <c r="AG17" s="19">
        <f t="shared" si="40"/>
        <v>0.76484366569162321</v>
      </c>
      <c r="AH17" s="19">
        <f t="shared" si="41"/>
        <v>0.83690894446254527</v>
      </c>
      <c r="AI17" s="19">
        <f t="shared" si="42"/>
        <v>0.85726731472724038</v>
      </c>
      <c r="AJ17" s="19">
        <f t="shared" si="43"/>
        <v>0.88865190028719998</v>
      </c>
      <c r="AK17" s="19">
        <f t="shared" si="44"/>
        <v>0.89250020061491742</v>
      </c>
      <c r="AL17" s="19">
        <f t="shared" si="45"/>
        <v>0.9470165448954283</v>
      </c>
      <c r="AM17" s="19">
        <f t="shared" si="46"/>
        <v>0.92172413684377552</v>
      </c>
      <c r="AN17" s="19">
        <f t="shared" si="47"/>
        <v>0.89037561019107214</v>
      </c>
      <c r="AO17" s="19">
        <f t="shared" si="48"/>
        <v>0.85819500661863657</v>
      </c>
      <c r="AP17" s="19" t="str">
        <f t="shared" si="49"/>
        <v/>
      </c>
      <c r="AQ17" s="19" t="str">
        <f t="shared" si="50"/>
        <v/>
      </c>
      <c r="AR17" s="19" t="str">
        <f t="shared" si="51"/>
        <v/>
      </c>
      <c r="AS17" s="19" t="str">
        <f t="shared" si="52"/>
        <v/>
      </c>
      <c r="AT17" s="19" t="str">
        <f t="shared" si="53"/>
        <v/>
      </c>
      <c r="AU17" s="19" t="str">
        <f t="shared" si="54"/>
        <v/>
      </c>
      <c r="AV17" s="19" t="str">
        <f t="shared" si="55"/>
        <v/>
      </c>
      <c r="AW17" s="19" t="str">
        <f t="shared" si="56"/>
        <v/>
      </c>
      <c r="AX17" s="19" t="str">
        <f t="shared" si="57"/>
        <v/>
      </c>
      <c r="AY17" s="19" t="str">
        <f t="shared" si="58"/>
        <v/>
      </c>
      <c r="AZ17" s="19" t="str">
        <f t="shared" si="59"/>
        <v/>
      </c>
      <c r="BA17" s="19" t="str">
        <f t="shared" si="60"/>
        <v/>
      </c>
      <c r="BB17" s="19" t="str">
        <f t="shared" si="61"/>
        <v/>
      </c>
      <c r="BC17" s="19" t="str">
        <f t="shared" si="62"/>
        <v/>
      </c>
      <c r="BD17" s="19" t="str">
        <f t="shared" si="63"/>
        <v/>
      </c>
      <c r="BE17" s="19" t="str">
        <f t="shared" si="64"/>
        <v/>
      </c>
      <c r="BF17" s="19" t="str">
        <f t="shared" si="65"/>
        <v/>
      </c>
      <c r="BG17" s="19" t="str">
        <f t="shared" si="66"/>
        <v/>
      </c>
      <c r="BH17" s="19" t="str">
        <f t="shared" si="67"/>
        <v/>
      </c>
      <c r="BI17" s="19" t="str">
        <f t="shared" si="68"/>
        <v/>
      </c>
      <c r="BJ17" s="19" t="str">
        <f t="shared" si="69"/>
        <v/>
      </c>
    </row>
    <row r="18" spans="1:62">
      <c r="A18" s="12">
        <f t="shared" si="70"/>
        <v>4</v>
      </c>
      <c r="B18" s="19" t="str">
        <f t="shared" si="9"/>
        <v/>
      </c>
      <c r="C18" s="19" t="str">
        <f t="shared" si="10"/>
        <v/>
      </c>
      <c r="D18" s="19" t="str">
        <f t="shared" si="11"/>
        <v/>
      </c>
      <c r="E18" s="19" t="str">
        <f t="shared" si="12"/>
        <v/>
      </c>
      <c r="F18" s="19">
        <f t="shared" si="13"/>
        <v>1.6037423181582425E-2</v>
      </c>
      <c r="G18" s="19">
        <f t="shared" si="14"/>
        <v>1.9356586853794395E-2</v>
      </c>
      <c r="H18" s="19">
        <f t="shared" si="15"/>
        <v>2.3287524399736387E-2</v>
      </c>
      <c r="I18" s="19">
        <f t="shared" si="16"/>
        <v>2.7187432698344321E-2</v>
      </c>
      <c r="J18" s="19">
        <f t="shared" si="17"/>
        <v>3.3717183917328315E-2</v>
      </c>
      <c r="K18" s="19">
        <f t="shared" si="18"/>
        <v>4.0688748119153476E-2</v>
      </c>
      <c r="L18" s="19">
        <f t="shared" si="19"/>
        <v>4.8713834517606726E-2</v>
      </c>
      <c r="M18" s="19">
        <f t="shared" si="20"/>
        <v>5.7303443230285196E-2</v>
      </c>
      <c r="N18" s="19">
        <f t="shared" si="21"/>
        <v>6.5907797286908043E-2</v>
      </c>
      <c r="O18" s="19">
        <f t="shared" si="22"/>
        <v>7.8784617291842857E-2</v>
      </c>
      <c r="P18" s="19">
        <f t="shared" si="23"/>
        <v>8.9692040867151573E-2</v>
      </c>
      <c r="Q18" s="19">
        <f t="shared" si="24"/>
        <v>0.10678162201469595</v>
      </c>
      <c r="R18" s="19">
        <f t="shared" si="25"/>
        <v>0.11952025453379878</v>
      </c>
      <c r="S18" s="19">
        <f t="shared" si="26"/>
        <v>0.13528626026661017</v>
      </c>
      <c r="T18" s="19">
        <f t="shared" si="27"/>
        <v>0.15034034541478275</v>
      </c>
      <c r="U18" s="19">
        <f t="shared" si="28"/>
        <v>0.17199080854096116</v>
      </c>
      <c r="V18" s="19">
        <f t="shared" si="29"/>
        <v>0.19457102740312296</v>
      </c>
      <c r="W18" s="19">
        <f t="shared" si="30"/>
        <v>0.22474842357664279</v>
      </c>
      <c r="X18" s="19">
        <f t="shared" si="31"/>
        <v>0.24306907261148802</v>
      </c>
      <c r="Y18" s="19">
        <f t="shared" si="32"/>
        <v>0.27878030563434159</v>
      </c>
      <c r="Z18" s="19">
        <f t="shared" si="33"/>
        <v>0.30897374491971374</v>
      </c>
      <c r="AA18" s="19">
        <f t="shared" si="34"/>
        <v>0.33927307713402427</v>
      </c>
      <c r="AB18" s="19">
        <f t="shared" si="35"/>
        <v>0.38443682634845483</v>
      </c>
      <c r="AC18" s="19">
        <f t="shared" si="36"/>
        <v>0.42328100982407746</v>
      </c>
      <c r="AD18" s="19">
        <f t="shared" si="37"/>
        <v>0.46265692975026984</v>
      </c>
      <c r="AE18" s="19">
        <f t="shared" si="38"/>
        <v>0.51196838594137384</v>
      </c>
      <c r="AF18" s="19">
        <f t="shared" si="39"/>
        <v>0.56769807688211016</v>
      </c>
      <c r="AG18" s="19">
        <f t="shared" si="40"/>
        <v>0.615023215001132</v>
      </c>
      <c r="AH18" s="19">
        <f t="shared" si="41"/>
        <v>0.67446715646515087</v>
      </c>
      <c r="AI18" s="19">
        <f t="shared" si="42"/>
        <v>0.69604267250873386</v>
      </c>
      <c r="AJ18" s="19">
        <f t="shared" si="43"/>
        <v>0.72580042364345421</v>
      </c>
      <c r="AK18" s="19">
        <f t="shared" si="44"/>
        <v>0.73470912688252443</v>
      </c>
      <c r="AL18" s="19">
        <f t="shared" si="45"/>
        <v>0.78215653611987068</v>
      </c>
      <c r="AM18" s="19">
        <f t="shared" si="46"/>
        <v>0.76826362782155833</v>
      </c>
      <c r="AN18" s="19">
        <f t="shared" si="47"/>
        <v>0.74883485307023179</v>
      </c>
      <c r="AO18" s="19">
        <f t="shared" si="48"/>
        <v>0.72797798580584328</v>
      </c>
      <c r="AP18" s="19" t="str">
        <f t="shared" si="49"/>
        <v/>
      </c>
      <c r="AQ18" s="19" t="str">
        <f t="shared" si="50"/>
        <v/>
      </c>
      <c r="AR18" s="19" t="str">
        <f t="shared" si="51"/>
        <v/>
      </c>
      <c r="AS18" s="19" t="str">
        <f t="shared" si="52"/>
        <v/>
      </c>
      <c r="AT18" s="19" t="str">
        <f t="shared" si="53"/>
        <v/>
      </c>
      <c r="AU18" s="19" t="str">
        <f t="shared" si="54"/>
        <v/>
      </c>
      <c r="AV18" s="19" t="str">
        <f t="shared" si="55"/>
        <v/>
      </c>
      <c r="AW18" s="19" t="str">
        <f t="shared" si="56"/>
        <v/>
      </c>
      <c r="AX18" s="19" t="str">
        <f t="shared" si="57"/>
        <v/>
      </c>
      <c r="AY18" s="19" t="str">
        <f t="shared" si="58"/>
        <v/>
      </c>
      <c r="AZ18" s="19" t="str">
        <f t="shared" si="59"/>
        <v/>
      </c>
      <c r="BA18" s="19" t="str">
        <f t="shared" si="60"/>
        <v/>
      </c>
      <c r="BB18" s="19" t="str">
        <f t="shared" si="61"/>
        <v/>
      </c>
      <c r="BC18" s="19" t="str">
        <f t="shared" si="62"/>
        <v/>
      </c>
      <c r="BD18" s="19" t="str">
        <f t="shared" si="63"/>
        <v/>
      </c>
      <c r="BE18" s="19" t="str">
        <f t="shared" si="64"/>
        <v/>
      </c>
      <c r="BF18" s="19" t="str">
        <f t="shared" si="65"/>
        <v/>
      </c>
      <c r="BG18" s="19" t="str">
        <f t="shared" si="66"/>
        <v/>
      </c>
      <c r="BH18" s="19" t="str">
        <f t="shared" si="67"/>
        <v/>
      </c>
      <c r="BI18" s="19" t="str">
        <f t="shared" si="68"/>
        <v/>
      </c>
      <c r="BJ18" s="19" t="str">
        <f t="shared" si="69"/>
        <v/>
      </c>
    </row>
    <row r="19" spans="1:62">
      <c r="A19" s="12">
        <f t="shared" si="70"/>
        <v>5</v>
      </c>
      <c r="B19" s="19" t="str">
        <f t="shared" si="9"/>
        <v/>
      </c>
      <c r="C19" s="19" t="str">
        <f t="shared" si="10"/>
        <v/>
      </c>
      <c r="D19" s="19" t="str">
        <f t="shared" si="11"/>
        <v/>
      </c>
      <c r="E19" s="19" t="str">
        <f t="shared" si="12"/>
        <v/>
      </c>
      <c r="F19" s="19" t="str">
        <f t="shared" si="13"/>
        <v/>
      </c>
      <c r="G19" s="19">
        <f t="shared" si="14"/>
        <v>1.4272526210770882E-2</v>
      </c>
      <c r="H19" s="19">
        <f t="shared" si="15"/>
        <v>1.7122556440744448E-2</v>
      </c>
      <c r="I19" s="19">
        <f t="shared" si="16"/>
        <v>1.9358136685011764E-2</v>
      </c>
      <c r="J19" s="19">
        <f t="shared" si="17"/>
        <v>2.4542727303626222E-2</v>
      </c>
      <c r="K19" s="19">
        <f t="shared" si="18"/>
        <v>2.9543065240968842E-2</v>
      </c>
      <c r="L19" s="19">
        <f t="shared" si="19"/>
        <v>3.5989608457230642E-2</v>
      </c>
      <c r="M19" s="19">
        <f t="shared" si="20"/>
        <v>4.2903090525489102E-2</v>
      </c>
      <c r="N19" s="19">
        <f t="shared" si="21"/>
        <v>5.0225472536035078E-2</v>
      </c>
      <c r="O19" s="19">
        <f t="shared" si="22"/>
        <v>5.9096215339109748E-2</v>
      </c>
      <c r="P19" s="19">
        <f t="shared" si="23"/>
        <v>6.8225834580567246E-2</v>
      </c>
      <c r="Q19" s="19">
        <f t="shared" si="24"/>
        <v>8.0552195304230162E-2</v>
      </c>
      <c r="R19" s="19">
        <f t="shared" si="25"/>
        <v>9.1513020559197619E-2</v>
      </c>
      <c r="S19" s="19">
        <f t="shared" si="26"/>
        <v>0.1043422971582625</v>
      </c>
      <c r="T19" s="19">
        <f t="shared" si="27"/>
        <v>0.11708102063781554</v>
      </c>
      <c r="U19" s="19">
        <f t="shared" si="28"/>
        <v>0.13404381301938359</v>
      </c>
      <c r="V19" s="19">
        <f t="shared" si="29"/>
        <v>0.15202915289529886</v>
      </c>
      <c r="W19" s="19">
        <f t="shared" si="30"/>
        <v>0.17526764812618653</v>
      </c>
      <c r="X19" s="19">
        <f t="shared" si="31"/>
        <v>0.1913534886228459</v>
      </c>
      <c r="Y19" s="19">
        <f t="shared" si="32"/>
        <v>0.21917597936958413</v>
      </c>
      <c r="Z19" s="19">
        <f t="shared" si="33"/>
        <v>0.24383772779152349</v>
      </c>
      <c r="AA19" s="19">
        <f t="shared" si="34"/>
        <v>0.26895766468749338</v>
      </c>
      <c r="AB19" s="19">
        <f t="shared" si="35"/>
        <v>0.30471967965890889</v>
      </c>
      <c r="AC19" s="19">
        <f t="shared" si="36"/>
        <v>0.33661785427915297</v>
      </c>
      <c r="AD19" s="19">
        <f t="shared" si="37"/>
        <v>0.36931956441830899</v>
      </c>
      <c r="AE19" s="19">
        <f t="shared" si="38"/>
        <v>0.40951044559739191</v>
      </c>
      <c r="AF19" s="19">
        <f t="shared" si="39"/>
        <v>0.45479821531545905</v>
      </c>
      <c r="AG19" s="19">
        <f t="shared" si="40"/>
        <v>0.49455015705501887</v>
      </c>
      <c r="AH19" s="19">
        <f t="shared" si="41"/>
        <v>0.54355488510440342</v>
      </c>
      <c r="AI19" s="19">
        <f t="shared" si="42"/>
        <v>0.56513924376931102</v>
      </c>
      <c r="AJ19" s="19">
        <f t="shared" si="43"/>
        <v>0.59279258255202916</v>
      </c>
      <c r="AK19" s="19">
        <f t="shared" si="44"/>
        <v>0.60481499136086481</v>
      </c>
      <c r="AL19" s="19">
        <f t="shared" si="45"/>
        <v>0.64599594409682404</v>
      </c>
      <c r="AM19" s="19">
        <f t="shared" si="46"/>
        <v>0.64035320139780694</v>
      </c>
      <c r="AN19" s="19">
        <f t="shared" si="47"/>
        <v>0.62979447185483828</v>
      </c>
      <c r="AO19" s="19">
        <f t="shared" si="48"/>
        <v>0.61751926279085412</v>
      </c>
      <c r="AP19" s="19" t="str">
        <f t="shared" si="49"/>
        <v/>
      </c>
      <c r="AQ19" s="19" t="str">
        <f t="shared" si="50"/>
        <v/>
      </c>
      <c r="AR19" s="19" t="str">
        <f t="shared" si="51"/>
        <v/>
      </c>
      <c r="AS19" s="19" t="str">
        <f t="shared" si="52"/>
        <v/>
      </c>
      <c r="AT19" s="19" t="str">
        <f t="shared" si="53"/>
        <v/>
      </c>
      <c r="AU19" s="19" t="str">
        <f t="shared" si="54"/>
        <v/>
      </c>
      <c r="AV19" s="19" t="str">
        <f t="shared" si="55"/>
        <v/>
      </c>
      <c r="AW19" s="19" t="str">
        <f t="shared" si="56"/>
        <v/>
      </c>
      <c r="AX19" s="19" t="str">
        <f t="shared" si="57"/>
        <v/>
      </c>
      <c r="AY19" s="19" t="str">
        <f t="shared" si="58"/>
        <v/>
      </c>
      <c r="AZ19" s="19" t="str">
        <f t="shared" si="59"/>
        <v/>
      </c>
      <c r="BA19" s="19" t="str">
        <f t="shared" si="60"/>
        <v/>
      </c>
      <c r="BB19" s="19" t="str">
        <f t="shared" si="61"/>
        <v/>
      </c>
      <c r="BC19" s="19" t="str">
        <f t="shared" si="62"/>
        <v/>
      </c>
      <c r="BD19" s="19" t="str">
        <f t="shared" si="63"/>
        <v/>
      </c>
      <c r="BE19" s="19" t="str">
        <f t="shared" si="64"/>
        <v/>
      </c>
      <c r="BF19" s="19" t="str">
        <f t="shared" si="65"/>
        <v/>
      </c>
      <c r="BG19" s="19" t="str">
        <f t="shared" si="66"/>
        <v/>
      </c>
      <c r="BH19" s="19" t="str">
        <f t="shared" si="67"/>
        <v/>
      </c>
      <c r="BI19" s="19" t="str">
        <f t="shared" si="68"/>
        <v/>
      </c>
      <c r="BJ19" s="19" t="str">
        <f t="shared" si="69"/>
        <v/>
      </c>
    </row>
    <row r="20" spans="1:62">
      <c r="A20" s="12">
        <f t="shared" si="70"/>
        <v>6</v>
      </c>
      <c r="B20" s="19" t="str">
        <f t="shared" si="9"/>
        <v/>
      </c>
      <c r="C20" s="19" t="str">
        <f t="shared" si="10"/>
        <v/>
      </c>
      <c r="D20" s="19" t="str">
        <f t="shared" si="11"/>
        <v/>
      </c>
      <c r="E20" s="19" t="str">
        <f t="shared" si="12"/>
        <v/>
      </c>
      <c r="F20" s="19" t="str">
        <f t="shared" si="13"/>
        <v/>
      </c>
      <c r="G20" s="19" t="str">
        <f t="shared" si="14"/>
        <v/>
      </c>
      <c r="H20" s="19">
        <f t="shared" si="15"/>
        <v>1.2589656763593042E-2</v>
      </c>
      <c r="I20" s="19">
        <f t="shared" si="16"/>
        <v>1.3783480774866222E-2</v>
      </c>
      <c r="J20" s="19">
        <f t="shared" si="17"/>
        <v>1.7864643292187753E-2</v>
      </c>
      <c r="K20" s="19">
        <f t="shared" si="18"/>
        <v>2.1450468352485152E-2</v>
      </c>
      <c r="L20" s="19">
        <f t="shared" si="19"/>
        <v>2.6588995297354843E-2</v>
      </c>
      <c r="M20" s="19">
        <f t="shared" si="20"/>
        <v>3.2121545807312073E-2</v>
      </c>
      <c r="N20" s="19">
        <f t="shared" si="21"/>
        <v>3.8274653308268035E-2</v>
      </c>
      <c r="O20" s="19">
        <f t="shared" si="22"/>
        <v>4.4327976544832691E-2</v>
      </c>
      <c r="P20" s="19">
        <f t="shared" si="23"/>
        <v>5.1897185739249535E-2</v>
      </c>
      <c r="Q20" s="19">
        <f t="shared" si="24"/>
        <v>6.0765664033815017E-2</v>
      </c>
      <c r="R20" s="19">
        <f t="shared" si="25"/>
        <v>7.0068734078037695E-2</v>
      </c>
      <c r="S20" s="19">
        <f t="shared" si="26"/>
        <v>8.0476132275423967E-2</v>
      </c>
      <c r="T20" s="19">
        <f t="shared" si="27"/>
        <v>9.1179552340211037E-2</v>
      </c>
      <c r="U20" s="19">
        <f t="shared" si="28"/>
        <v>0.10446920949555447</v>
      </c>
      <c r="V20" s="19">
        <f t="shared" si="29"/>
        <v>0.11878882297401687</v>
      </c>
      <c r="W20" s="19">
        <f t="shared" si="30"/>
        <v>0.13668059597850374</v>
      </c>
      <c r="X20" s="19">
        <f t="shared" si="31"/>
        <v>0.15064095655912357</v>
      </c>
      <c r="Y20" s="19">
        <f t="shared" si="32"/>
        <v>0.17231529258607278</v>
      </c>
      <c r="Z20" s="19">
        <f t="shared" si="33"/>
        <v>0.19243330047342003</v>
      </c>
      <c r="AA20" s="19">
        <f t="shared" si="34"/>
        <v>0.21321534265324002</v>
      </c>
      <c r="AB20" s="19">
        <f t="shared" si="35"/>
        <v>0.24153274818491191</v>
      </c>
      <c r="AC20" s="19">
        <f t="shared" si="36"/>
        <v>0.26769823637161327</v>
      </c>
      <c r="AD20" s="19">
        <f t="shared" si="37"/>
        <v>0.29481227209922695</v>
      </c>
      <c r="AE20" s="19">
        <f t="shared" si="38"/>
        <v>0.32755695401977003</v>
      </c>
      <c r="AF20" s="19">
        <f t="shared" si="39"/>
        <v>0.36435109625548362</v>
      </c>
      <c r="AG20" s="19">
        <f t="shared" si="40"/>
        <v>0.39767581430677162</v>
      </c>
      <c r="AH20" s="19">
        <f t="shared" si="41"/>
        <v>0.43805233551965689</v>
      </c>
      <c r="AI20" s="19">
        <f t="shared" si="42"/>
        <v>0.45885457524752715</v>
      </c>
      <c r="AJ20" s="19">
        <f t="shared" si="43"/>
        <v>0.48415932876518863</v>
      </c>
      <c r="AK20" s="19">
        <f t="shared" si="44"/>
        <v>0.4978857079494704</v>
      </c>
      <c r="AL20" s="19">
        <f t="shared" si="45"/>
        <v>0.53353867227108531</v>
      </c>
      <c r="AM20" s="19">
        <f t="shared" si="46"/>
        <v>0.53373895065570065</v>
      </c>
      <c r="AN20" s="19">
        <f t="shared" si="47"/>
        <v>0.52967763873794271</v>
      </c>
      <c r="AO20" s="19">
        <f t="shared" si="48"/>
        <v>0.5238208398508678</v>
      </c>
      <c r="AP20" s="19" t="str">
        <f t="shared" si="49"/>
        <v/>
      </c>
      <c r="AQ20" s="19" t="str">
        <f t="shared" si="50"/>
        <v/>
      </c>
      <c r="AR20" s="19" t="str">
        <f t="shared" si="51"/>
        <v/>
      </c>
      <c r="AS20" s="19" t="str">
        <f t="shared" si="52"/>
        <v/>
      </c>
      <c r="AT20" s="19" t="str">
        <f t="shared" si="53"/>
        <v/>
      </c>
      <c r="AU20" s="19" t="str">
        <f t="shared" si="54"/>
        <v/>
      </c>
      <c r="AV20" s="19" t="str">
        <f t="shared" si="55"/>
        <v/>
      </c>
      <c r="AW20" s="19" t="str">
        <f t="shared" si="56"/>
        <v/>
      </c>
      <c r="AX20" s="19" t="str">
        <f t="shared" si="57"/>
        <v/>
      </c>
      <c r="AY20" s="19" t="str">
        <f t="shared" si="58"/>
        <v/>
      </c>
      <c r="AZ20" s="19" t="str">
        <f t="shared" si="59"/>
        <v/>
      </c>
      <c r="BA20" s="19" t="str">
        <f t="shared" si="60"/>
        <v/>
      </c>
      <c r="BB20" s="19" t="str">
        <f t="shared" si="61"/>
        <v/>
      </c>
      <c r="BC20" s="19" t="str">
        <f t="shared" si="62"/>
        <v/>
      </c>
      <c r="BD20" s="19" t="str">
        <f t="shared" si="63"/>
        <v/>
      </c>
      <c r="BE20" s="19" t="str">
        <f t="shared" si="64"/>
        <v/>
      </c>
      <c r="BF20" s="19" t="str">
        <f t="shared" si="65"/>
        <v/>
      </c>
      <c r="BG20" s="19" t="str">
        <f t="shared" si="66"/>
        <v/>
      </c>
      <c r="BH20" s="19" t="str">
        <f t="shared" si="67"/>
        <v/>
      </c>
      <c r="BI20" s="19" t="str">
        <f t="shared" si="68"/>
        <v/>
      </c>
      <c r="BJ20" s="19" t="str">
        <f t="shared" si="69"/>
        <v/>
      </c>
    </row>
    <row r="21" spans="1:62">
      <c r="A21" s="12">
        <f t="shared" si="70"/>
        <v>7</v>
      </c>
      <c r="B21" s="19" t="str">
        <f t="shared" si="9"/>
        <v/>
      </c>
      <c r="C21" s="19" t="str">
        <f t="shared" si="10"/>
        <v/>
      </c>
      <c r="D21" s="19" t="str">
        <f t="shared" si="11"/>
        <v/>
      </c>
      <c r="E21" s="19" t="str">
        <f t="shared" si="12"/>
        <v/>
      </c>
      <c r="F21" s="19" t="str">
        <f t="shared" si="13"/>
        <v/>
      </c>
      <c r="G21" s="19" t="str">
        <f t="shared" si="14"/>
        <v/>
      </c>
      <c r="H21" s="19" t="str">
        <f t="shared" si="15"/>
        <v/>
      </c>
      <c r="I21" s="19">
        <f t="shared" si="16"/>
        <v>9.8141853920374524E-3</v>
      </c>
      <c r="J21" s="19">
        <f t="shared" si="17"/>
        <v>1.3003668093152575E-2</v>
      </c>
      <c r="K21" s="19">
        <f t="shared" si="18"/>
        <v>1.5574639557133433E-2</v>
      </c>
      <c r="L21" s="19">
        <f t="shared" si="19"/>
        <v>1.9643855580227083E-2</v>
      </c>
      <c r="M21" s="19">
        <f t="shared" si="20"/>
        <v>2.4049402791583279E-2</v>
      </c>
      <c r="N21" s="19">
        <f t="shared" si="21"/>
        <v>2.9167452527540917E-2</v>
      </c>
      <c r="O21" s="19">
        <f t="shared" si="22"/>
        <v>3.3250344261197128E-2</v>
      </c>
      <c r="P21" s="19">
        <f t="shared" si="23"/>
        <v>3.9476510682674784E-2</v>
      </c>
      <c r="Q21" s="19">
        <f t="shared" si="24"/>
        <v>4.58394201613593E-2</v>
      </c>
      <c r="R21" s="19">
        <f t="shared" si="25"/>
        <v>5.364949670875347E-2</v>
      </c>
      <c r="S21" s="19">
        <f t="shared" si="26"/>
        <v>6.2068864136548212E-2</v>
      </c>
      <c r="T21" s="19">
        <f t="shared" si="27"/>
        <v>7.1008184927592533E-2</v>
      </c>
      <c r="U21" s="19">
        <f t="shared" si="28"/>
        <v>8.1419764827548147E-2</v>
      </c>
      <c r="V21" s="19">
        <f t="shared" si="29"/>
        <v>9.2816306575557186E-2</v>
      </c>
      <c r="W21" s="19">
        <f t="shared" si="30"/>
        <v>0.10658889713399297</v>
      </c>
      <c r="X21" s="19">
        <f t="shared" si="31"/>
        <v>0.11859045767268257</v>
      </c>
      <c r="Y21" s="19">
        <f t="shared" si="32"/>
        <v>0.13547360502016956</v>
      </c>
      <c r="Z21" s="19">
        <f t="shared" si="33"/>
        <v>0.151865650432709</v>
      </c>
      <c r="AA21" s="19">
        <f t="shared" si="34"/>
        <v>0.16902579220250233</v>
      </c>
      <c r="AB21" s="19">
        <f t="shared" si="35"/>
        <v>0.19144831246559915</v>
      </c>
      <c r="AC21" s="19">
        <f t="shared" si="36"/>
        <v>0.21288931898735072</v>
      </c>
      <c r="AD21" s="19">
        <f t="shared" si="37"/>
        <v>0.23533623494114536</v>
      </c>
      <c r="AE21" s="19">
        <f t="shared" si="38"/>
        <v>0.2620044477014265</v>
      </c>
      <c r="AF21" s="19">
        <f t="shared" si="39"/>
        <v>0.29189147378358304</v>
      </c>
      <c r="AG21" s="19">
        <f t="shared" si="40"/>
        <v>0.31977758176499799</v>
      </c>
      <c r="AH21" s="19">
        <f t="shared" si="41"/>
        <v>0.3530275486667161</v>
      </c>
      <c r="AI21" s="19">
        <f t="shared" si="42"/>
        <v>0.37255866327968856</v>
      </c>
      <c r="AJ21" s="19">
        <f t="shared" si="43"/>
        <v>0.39543385415046739</v>
      </c>
      <c r="AK21" s="19">
        <f t="shared" si="44"/>
        <v>0.4098611670034496</v>
      </c>
      <c r="AL21" s="19">
        <f t="shared" si="45"/>
        <v>0.44065836234743649</v>
      </c>
      <c r="AM21" s="19">
        <f t="shared" si="46"/>
        <v>0.4448752139056989</v>
      </c>
      <c r="AN21" s="19">
        <f t="shared" si="47"/>
        <v>0.44547612517575202</v>
      </c>
      <c r="AO21" s="19">
        <f t="shared" si="48"/>
        <v>0.4443396162606838</v>
      </c>
      <c r="AP21" s="19" t="str">
        <f t="shared" si="49"/>
        <v/>
      </c>
      <c r="AQ21" s="19" t="str">
        <f t="shared" si="50"/>
        <v/>
      </c>
      <c r="AR21" s="19" t="str">
        <f t="shared" si="51"/>
        <v/>
      </c>
      <c r="AS21" s="19" t="str">
        <f t="shared" si="52"/>
        <v/>
      </c>
      <c r="AT21" s="19" t="str">
        <f t="shared" si="53"/>
        <v/>
      </c>
      <c r="AU21" s="19" t="str">
        <f t="shared" si="54"/>
        <v/>
      </c>
      <c r="AV21" s="19" t="str">
        <f t="shared" si="55"/>
        <v/>
      </c>
      <c r="AW21" s="19" t="str">
        <f t="shared" si="56"/>
        <v/>
      </c>
      <c r="AX21" s="19" t="str">
        <f t="shared" si="57"/>
        <v/>
      </c>
      <c r="AY21" s="19" t="str">
        <f t="shared" si="58"/>
        <v/>
      </c>
      <c r="AZ21" s="19" t="str">
        <f t="shared" si="59"/>
        <v/>
      </c>
      <c r="BA21" s="19" t="str">
        <f t="shared" si="60"/>
        <v/>
      </c>
      <c r="BB21" s="19" t="str">
        <f t="shared" si="61"/>
        <v/>
      </c>
      <c r="BC21" s="19" t="str">
        <f t="shared" si="62"/>
        <v/>
      </c>
      <c r="BD21" s="19" t="str">
        <f t="shared" si="63"/>
        <v/>
      </c>
      <c r="BE21" s="19" t="str">
        <f t="shared" si="64"/>
        <v/>
      </c>
      <c r="BF21" s="19" t="str">
        <f t="shared" si="65"/>
        <v/>
      </c>
      <c r="BG21" s="19" t="str">
        <f t="shared" si="66"/>
        <v/>
      </c>
      <c r="BH21" s="19" t="str">
        <f t="shared" si="67"/>
        <v/>
      </c>
      <c r="BI21" s="19" t="str">
        <f t="shared" si="68"/>
        <v/>
      </c>
      <c r="BJ21" s="19" t="str">
        <f t="shared" si="69"/>
        <v/>
      </c>
    </row>
    <row r="22" spans="1:62">
      <c r="A22" s="12">
        <f t="shared" si="70"/>
        <v>8</v>
      </c>
      <c r="B22" s="19" t="str">
        <f t="shared" si="9"/>
        <v/>
      </c>
      <c r="C22" s="19" t="str">
        <f t="shared" si="10"/>
        <v/>
      </c>
      <c r="D22" s="19" t="str">
        <f t="shared" si="11"/>
        <v/>
      </c>
      <c r="E22" s="19" t="str">
        <f t="shared" si="12"/>
        <v/>
      </c>
      <c r="F22" s="19" t="str">
        <f t="shared" si="13"/>
        <v/>
      </c>
      <c r="G22" s="19" t="str">
        <f t="shared" si="14"/>
        <v/>
      </c>
      <c r="H22" s="19" t="str">
        <f t="shared" si="15"/>
        <v/>
      </c>
      <c r="I22" s="19" t="str">
        <f t="shared" si="16"/>
        <v/>
      </c>
      <c r="J22" s="19">
        <f t="shared" si="17"/>
        <v>9.4653658128634518E-3</v>
      </c>
      <c r="K22" s="19">
        <f t="shared" si="18"/>
        <v>1.1308349698878371E-2</v>
      </c>
      <c r="L22" s="19">
        <f t="shared" si="19"/>
        <v>1.4512810948340248E-2</v>
      </c>
      <c r="M22" s="19">
        <f t="shared" si="20"/>
        <v>1.8005788952415672E-2</v>
      </c>
      <c r="N22" s="19">
        <f t="shared" si="21"/>
        <v>2.2227249979102418E-2</v>
      </c>
      <c r="O22" s="19">
        <f t="shared" si="22"/>
        <v>2.4941030014531594E-2</v>
      </c>
      <c r="P22" s="19">
        <f t="shared" si="23"/>
        <v>3.0028504888671283E-2</v>
      </c>
      <c r="Q22" s="19">
        <f t="shared" si="24"/>
        <v>3.4579601393976762E-2</v>
      </c>
      <c r="R22" s="19">
        <f t="shared" si="25"/>
        <v>4.1077786476018445E-2</v>
      </c>
      <c r="S22" s="19">
        <f t="shared" si="26"/>
        <v>4.7871881839651749E-2</v>
      </c>
      <c r="T22" s="19">
        <f t="shared" si="27"/>
        <v>5.5299266088714258E-2</v>
      </c>
      <c r="U22" s="19">
        <f t="shared" si="28"/>
        <v>6.3455808047014478E-2</v>
      </c>
      <c r="V22" s="19">
        <f t="shared" si="29"/>
        <v>7.2522536638082377E-2</v>
      </c>
      <c r="W22" s="19">
        <f t="shared" si="30"/>
        <v>8.3122208466428926E-2</v>
      </c>
      <c r="X22" s="19">
        <f t="shared" si="31"/>
        <v>9.3359050368858998E-2</v>
      </c>
      <c r="Y22" s="19">
        <f t="shared" si="32"/>
        <v>0.1065088152172762</v>
      </c>
      <c r="Z22" s="19">
        <f t="shared" si="33"/>
        <v>0.11985023239018541</v>
      </c>
      <c r="AA22" s="19">
        <f t="shared" si="34"/>
        <v>0.13399466508443289</v>
      </c>
      <c r="AB22" s="19">
        <f t="shared" si="35"/>
        <v>0.15174942785756493</v>
      </c>
      <c r="AC22" s="19">
        <f t="shared" si="36"/>
        <v>0.16930205724621614</v>
      </c>
      <c r="AD22" s="19">
        <f t="shared" si="37"/>
        <v>0.187859016457881</v>
      </c>
      <c r="AE22" s="19">
        <f t="shared" si="38"/>
        <v>0.20957067091051995</v>
      </c>
      <c r="AF22" s="19">
        <f t="shared" si="39"/>
        <v>0.23384211916247213</v>
      </c>
      <c r="AG22" s="19">
        <f t="shared" si="40"/>
        <v>0.25713834767076688</v>
      </c>
      <c r="AH22" s="19">
        <f t="shared" si="41"/>
        <v>0.28450584556246045</v>
      </c>
      <c r="AI22" s="19">
        <f t="shared" si="42"/>
        <v>0.30249226023271819</v>
      </c>
      <c r="AJ22" s="19">
        <f t="shared" si="43"/>
        <v>0.32296792340467256</v>
      </c>
      <c r="AK22" s="19">
        <f t="shared" si="44"/>
        <v>0.33739907278977016</v>
      </c>
      <c r="AL22" s="19">
        <f t="shared" si="45"/>
        <v>0.3639469871605932</v>
      </c>
      <c r="AM22" s="19">
        <f t="shared" si="46"/>
        <v>0.37080665689566628</v>
      </c>
      <c r="AN22" s="19">
        <f t="shared" si="47"/>
        <v>0.37465991310194735</v>
      </c>
      <c r="AO22" s="19">
        <f t="shared" si="48"/>
        <v>0.37691836513206006</v>
      </c>
      <c r="AP22" s="19" t="str">
        <f t="shared" si="49"/>
        <v/>
      </c>
      <c r="AQ22" s="19" t="str">
        <f t="shared" si="50"/>
        <v/>
      </c>
      <c r="AR22" s="19" t="str">
        <f t="shared" si="51"/>
        <v/>
      </c>
      <c r="AS22" s="19" t="str">
        <f t="shared" si="52"/>
        <v/>
      </c>
      <c r="AT22" s="19" t="str">
        <f t="shared" si="53"/>
        <v/>
      </c>
      <c r="AU22" s="19" t="str">
        <f t="shared" si="54"/>
        <v/>
      </c>
      <c r="AV22" s="19" t="str">
        <f t="shared" si="55"/>
        <v/>
      </c>
      <c r="AW22" s="19" t="str">
        <f t="shared" si="56"/>
        <v/>
      </c>
      <c r="AX22" s="19" t="str">
        <f t="shared" si="57"/>
        <v/>
      </c>
      <c r="AY22" s="19" t="str">
        <f t="shared" si="58"/>
        <v/>
      </c>
      <c r="AZ22" s="19" t="str">
        <f t="shared" si="59"/>
        <v/>
      </c>
      <c r="BA22" s="19" t="str">
        <f t="shared" si="60"/>
        <v/>
      </c>
      <c r="BB22" s="19" t="str">
        <f t="shared" si="61"/>
        <v/>
      </c>
      <c r="BC22" s="19" t="str">
        <f t="shared" si="62"/>
        <v/>
      </c>
      <c r="BD22" s="19" t="str">
        <f t="shared" si="63"/>
        <v/>
      </c>
      <c r="BE22" s="19" t="str">
        <f t="shared" si="64"/>
        <v/>
      </c>
      <c r="BF22" s="19" t="str">
        <f t="shared" si="65"/>
        <v/>
      </c>
      <c r="BG22" s="19" t="str">
        <f t="shared" si="66"/>
        <v/>
      </c>
      <c r="BH22" s="19" t="str">
        <f t="shared" si="67"/>
        <v/>
      </c>
      <c r="BI22" s="19" t="str">
        <f t="shared" si="68"/>
        <v/>
      </c>
      <c r="BJ22" s="19" t="str">
        <f t="shared" si="69"/>
        <v/>
      </c>
    </row>
    <row r="23" spans="1:62">
      <c r="A23" s="12">
        <f t="shared" si="70"/>
        <v>9</v>
      </c>
      <c r="B23" s="19" t="str">
        <f t="shared" si="9"/>
        <v/>
      </c>
      <c r="C23" s="19" t="str">
        <f t="shared" si="10"/>
        <v/>
      </c>
      <c r="D23" s="19" t="str">
        <f t="shared" si="11"/>
        <v/>
      </c>
      <c r="E23" s="19" t="str">
        <f t="shared" si="12"/>
        <v/>
      </c>
      <c r="F23" s="19" t="str">
        <f t="shared" si="13"/>
        <v/>
      </c>
      <c r="G23" s="19" t="str">
        <f t="shared" si="14"/>
        <v/>
      </c>
      <c r="H23" s="19" t="str">
        <f t="shared" si="15"/>
        <v/>
      </c>
      <c r="I23" s="19" t="str">
        <f t="shared" si="16"/>
        <v/>
      </c>
      <c r="J23" s="19" t="str">
        <f t="shared" si="17"/>
        <v/>
      </c>
      <c r="K23" s="19">
        <f t="shared" si="18"/>
        <v>8.2107051301583429E-3</v>
      </c>
      <c r="L23" s="19">
        <f t="shared" si="19"/>
        <v>1.0722013342139923E-2</v>
      </c>
      <c r="M23" s="19">
        <f t="shared" si="20"/>
        <v>1.3480934999034551E-2</v>
      </c>
      <c r="N23" s="19">
        <f t="shared" si="21"/>
        <v>1.6938422756221469E-2</v>
      </c>
      <c r="O23" s="19">
        <f t="shared" si="22"/>
        <v>1.8708226696819461E-2</v>
      </c>
      <c r="P23" s="19">
        <f t="shared" si="23"/>
        <v>2.2841712457750039E-2</v>
      </c>
      <c r="Q23" s="19">
        <f t="shared" si="24"/>
        <v>2.608560117813806E-2</v>
      </c>
      <c r="R23" s="19">
        <f t="shared" si="25"/>
        <v>3.1452010648481063E-2</v>
      </c>
      <c r="S23" s="19">
        <f t="shared" si="26"/>
        <v>3.6922168671041297E-2</v>
      </c>
      <c r="T23" s="19">
        <f t="shared" si="27"/>
        <v>4.3065582271518313E-2</v>
      </c>
      <c r="U23" s="19">
        <f t="shared" si="28"/>
        <v>4.9455308344702381E-2</v>
      </c>
      <c r="V23" s="19">
        <f t="shared" si="29"/>
        <v>5.6665886787258507E-2</v>
      </c>
      <c r="W23" s="19">
        <f t="shared" si="30"/>
        <v>6.482196294470316E-2</v>
      </c>
      <c r="X23" s="19">
        <f t="shared" si="31"/>
        <v>7.3495898884475511E-2</v>
      </c>
      <c r="Y23" s="19">
        <f t="shared" si="32"/>
        <v>8.3736811442339285E-2</v>
      </c>
      <c r="Z23" s="19">
        <f t="shared" si="33"/>
        <v>9.458411538787112E-2</v>
      </c>
      <c r="AA23" s="19">
        <f t="shared" si="34"/>
        <v>0.1062238492547857</v>
      </c>
      <c r="AB23" s="19">
        <f t="shared" si="35"/>
        <v>0.12028253766528303</v>
      </c>
      <c r="AC23" s="19">
        <f t="shared" si="36"/>
        <v>0.13463891342291404</v>
      </c>
      <c r="AD23" s="19">
        <f t="shared" si="37"/>
        <v>0.14995995016809988</v>
      </c>
      <c r="AE23" s="19">
        <f t="shared" si="38"/>
        <v>0.16763023105598343</v>
      </c>
      <c r="AF23" s="19">
        <f t="shared" si="39"/>
        <v>0.1873372181297038</v>
      </c>
      <c r="AG23" s="19">
        <f t="shared" si="40"/>
        <v>0.20676912208137013</v>
      </c>
      <c r="AH23" s="19">
        <f t="shared" si="41"/>
        <v>0.22928402178501731</v>
      </c>
      <c r="AI23" s="19">
        <f t="shared" si="42"/>
        <v>0.24560311306465615</v>
      </c>
      <c r="AJ23" s="19">
        <f t="shared" si="43"/>
        <v>0.26378186504141821</v>
      </c>
      <c r="AK23" s="19">
        <f t="shared" si="44"/>
        <v>0.27774803636968737</v>
      </c>
      <c r="AL23" s="19">
        <f t="shared" si="45"/>
        <v>0.30058980103692468</v>
      </c>
      <c r="AM23" s="19">
        <f t="shared" si="46"/>
        <v>0.30906998749380993</v>
      </c>
      <c r="AN23" s="19">
        <f t="shared" si="47"/>
        <v>0.31510117501847956</v>
      </c>
      <c r="AO23" s="19">
        <f t="shared" si="48"/>
        <v>0.31972718338595596</v>
      </c>
      <c r="AP23" s="19" t="str">
        <f t="shared" si="49"/>
        <v/>
      </c>
      <c r="AQ23" s="19" t="str">
        <f t="shared" si="50"/>
        <v/>
      </c>
      <c r="AR23" s="19" t="str">
        <f t="shared" si="51"/>
        <v/>
      </c>
      <c r="AS23" s="19" t="str">
        <f t="shared" si="52"/>
        <v/>
      </c>
      <c r="AT23" s="19" t="str">
        <f t="shared" si="53"/>
        <v/>
      </c>
      <c r="AU23" s="19" t="str">
        <f t="shared" si="54"/>
        <v/>
      </c>
      <c r="AV23" s="19" t="str">
        <f t="shared" si="55"/>
        <v/>
      </c>
      <c r="AW23" s="19" t="str">
        <f t="shared" si="56"/>
        <v/>
      </c>
      <c r="AX23" s="19" t="str">
        <f t="shared" si="57"/>
        <v/>
      </c>
      <c r="AY23" s="19" t="str">
        <f t="shared" si="58"/>
        <v/>
      </c>
      <c r="AZ23" s="19" t="str">
        <f t="shared" si="59"/>
        <v/>
      </c>
      <c r="BA23" s="19" t="str">
        <f t="shared" si="60"/>
        <v/>
      </c>
      <c r="BB23" s="19" t="str">
        <f t="shared" si="61"/>
        <v/>
      </c>
      <c r="BC23" s="19" t="str">
        <f t="shared" si="62"/>
        <v/>
      </c>
      <c r="BD23" s="19" t="str">
        <f t="shared" si="63"/>
        <v/>
      </c>
      <c r="BE23" s="19" t="str">
        <f t="shared" si="64"/>
        <v/>
      </c>
      <c r="BF23" s="19" t="str">
        <f t="shared" si="65"/>
        <v/>
      </c>
      <c r="BG23" s="19" t="str">
        <f t="shared" si="66"/>
        <v/>
      </c>
      <c r="BH23" s="19" t="str">
        <f t="shared" si="67"/>
        <v/>
      </c>
      <c r="BI23" s="19" t="str">
        <f t="shared" si="68"/>
        <v/>
      </c>
      <c r="BJ23" s="19" t="str">
        <f t="shared" si="69"/>
        <v/>
      </c>
    </row>
    <row r="24" spans="1:62">
      <c r="A24" s="12">
        <f t="shared" si="70"/>
        <v>10</v>
      </c>
      <c r="B24" s="19" t="str">
        <f t="shared" si="9"/>
        <v/>
      </c>
      <c r="C24" s="19" t="str">
        <f t="shared" si="10"/>
        <v/>
      </c>
      <c r="D24" s="19" t="str">
        <f t="shared" si="11"/>
        <v/>
      </c>
      <c r="E24" s="19" t="str">
        <f t="shared" si="12"/>
        <v/>
      </c>
      <c r="F24" s="19" t="str">
        <f t="shared" si="13"/>
        <v/>
      </c>
      <c r="G24" s="19" t="str">
        <f t="shared" si="14"/>
        <v/>
      </c>
      <c r="H24" s="19" t="str">
        <f t="shared" si="15"/>
        <v/>
      </c>
      <c r="I24" s="19" t="str">
        <f t="shared" si="16"/>
        <v/>
      </c>
      <c r="J24" s="19" t="str">
        <f t="shared" si="17"/>
        <v/>
      </c>
      <c r="K24" s="19" t="str">
        <f t="shared" si="18"/>
        <v/>
      </c>
      <c r="L24" s="19">
        <f t="shared" si="19"/>
        <v>7.9213854930132652E-3</v>
      </c>
      <c r="M24" s="19">
        <f t="shared" si="20"/>
        <v>1.0093176640494438E-2</v>
      </c>
      <c r="N24" s="19">
        <f t="shared" si="21"/>
        <v>1.2908037014845653E-2</v>
      </c>
      <c r="O24" s="19">
        <f t="shared" si="22"/>
        <v>1.403301090354594E-2</v>
      </c>
      <c r="P24" s="19">
        <f t="shared" si="23"/>
        <v>1.7374951897767287E-2</v>
      </c>
      <c r="Q24" s="19">
        <f t="shared" si="24"/>
        <v>1.9678034488373346E-2</v>
      </c>
      <c r="R24" s="19">
        <f t="shared" si="25"/>
        <v>2.4081847117290174E-2</v>
      </c>
      <c r="S24" s="19">
        <f t="shared" si="26"/>
        <v>2.8476978280048759E-2</v>
      </c>
      <c r="T24" s="19">
        <f t="shared" si="27"/>
        <v>3.353831809285833E-2</v>
      </c>
      <c r="U24" s="19">
        <f t="shared" si="28"/>
        <v>3.8543792896900353E-2</v>
      </c>
      <c r="V24" s="19">
        <f t="shared" si="29"/>
        <v>4.427620535959377E-2</v>
      </c>
      <c r="W24" s="19">
        <f t="shared" si="30"/>
        <v>5.0550712709967409E-2</v>
      </c>
      <c r="X24" s="19">
        <f t="shared" si="31"/>
        <v>5.785884851543896E-2</v>
      </c>
      <c r="Y24" s="19">
        <f t="shared" si="32"/>
        <v>6.5833551675753971E-2</v>
      </c>
      <c r="Z24" s="19">
        <f t="shared" si="33"/>
        <v>7.4644451706868134E-2</v>
      </c>
      <c r="AA24" s="19">
        <f t="shared" si="34"/>
        <v>8.4208622361147442E-2</v>
      </c>
      <c r="AB24" s="19">
        <f t="shared" si="35"/>
        <v>9.5340648537931116E-2</v>
      </c>
      <c r="AC24" s="19">
        <f t="shared" si="36"/>
        <v>0.10707275093143082</v>
      </c>
      <c r="AD24" s="19">
        <f t="shared" si="37"/>
        <v>0.11970671984999415</v>
      </c>
      <c r="AE24" s="19">
        <f t="shared" si="38"/>
        <v>0.13408314360877416</v>
      </c>
      <c r="AF24" s="19">
        <f t="shared" si="39"/>
        <v>0.1500808897142788</v>
      </c>
      <c r="AG24" s="19">
        <f t="shared" si="40"/>
        <v>0.16626640963346687</v>
      </c>
      <c r="AH24" s="19">
        <f t="shared" si="41"/>
        <v>0.18478060632455726</v>
      </c>
      <c r="AI24" s="19">
        <f t="shared" si="42"/>
        <v>0.1994130001893048</v>
      </c>
      <c r="AJ24" s="19">
        <f t="shared" si="43"/>
        <v>0.21544205254571205</v>
      </c>
      <c r="AK24" s="19">
        <f t="shared" si="44"/>
        <v>0.22864310523842124</v>
      </c>
      <c r="AL24" s="19">
        <f t="shared" si="45"/>
        <v>0.24826205924202022</v>
      </c>
      <c r="AM24" s="19">
        <f t="shared" si="46"/>
        <v>0.25761203417742701</v>
      </c>
      <c r="AN24" s="19">
        <f t="shared" si="47"/>
        <v>0.2650103387789165</v>
      </c>
      <c r="AO24" s="19">
        <f t="shared" si="48"/>
        <v>0.2712138257314689</v>
      </c>
      <c r="AP24" s="19" t="str">
        <f t="shared" si="49"/>
        <v/>
      </c>
      <c r="AQ24" s="19" t="str">
        <f t="shared" si="50"/>
        <v/>
      </c>
      <c r="AR24" s="19" t="str">
        <f t="shared" si="51"/>
        <v/>
      </c>
      <c r="AS24" s="19" t="str">
        <f t="shared" si="52"/>
        <v/>
      </c>
      <c r="AT24" s="19" t="str">
        <f t="shared" si="53"/>
        <v/>
      </c>
      <c r="AU24" s="19" t="str">
        <f t="shared" si="54"/>
        <v/>
      </c>
      <c r="AV24" s="19" t="str">
        <f t="shared" si="55"/>
        <v/>
      </c>
      <c r="AW24" s="19" t="str">
        <f t="shared" si="56"/>
        <v/>
      </c>
      <c r="AX24" s="19" t="str">
        <f t="shared" si="57"/>
        <v/>
      </c>
      <c r="AY24" s="19" t="str">
        <f t="shared" si="58"/>
        <v/>
      </c>
      <c r="AZ24" s="19" t="str">
        <f t="shared" si="59"/>
        <v/>
      </c>
      <c r="BA24" s="19" t="str">
        <f t="shared" si="60"/>
        <v/>
      </c>
      <c r="BB24" s="19" t="str">
        <f t="shared" si="61"/>
        <v/>
      </c>
      <c r="BC24" s="19" t="str">
        <f t="shared" si="62"/>
        <v/>
      </c>
      <c r="BD24" s="19" t="str">
        <f t="shared" si="63"/>
        <v/>
      </c>
      <c r="BE24" s="19" t="str">
        <f t="shared" si="64"/>
        <v/>
      </c>
      <c r="BF24" s="19" t="str">
        <f t="shared" si="65"/>
        <v/>
      </c>
      <c r="BG24" s="19" t="str">
        <f t="shared" si="66"/>
        <v/>
      </c>
      <c r="BH24" s="19" t="str">
        <f t="shared" si="67"/>
        <v/>
      </c>
      <c r="BI24" s="19" t="str">
        <f t="shared" si="68"/>
        <v/>
      </c>
      <c r="BJ24" s="19" t="str">
        <f t="shared" si="69"/>
        <v/>
      </c>
    </row>
    <row r="25" spans="1:62">
      <c r="A25" s="12">
        <f t="shared" si="70"/>
        <v>11</v>
      </c>
      <c r="B25" s="19" t="str">
        <f t="shared" si="9"/>
        <v/>
      </c>
      <c r="C25" s="19" t="str">
        <f t="shared" si="10"/>
        <v/>
      </c>
      <c r="D25" s="19" t="str">
        <f t="shared" si="11"/>
        <v/>
      </c>
      <c r="E25" s="19" t="str">
        <f t="shared" si="12"/>
        <v/>
      </c>
      <c r="F25" s="19" t="str">
        <f t="shared" si="13"/>
        <v/>
      </c>
      <c r="G25" s="19" t="str">
        <f t="shared" si="14"/>
        <v/>
      </c>
      <c r="H25" s="19" t="str">
        <f t="shared" si="15"/>
        <v/>
      </c>
      <c r="I25" s="19" t="str">
        <f t="shared" si="16"/>
        <v/>
      </c>
      <c r="J25" s="19" t="str">
        <f t="shared" si="17"/>
        <v/>
      </c>
      <c r="K25" s="19" t="str">
        <f t="shared" si="18"/>
        <v/>
      </c>
      <c r="L25" s="19" t="str">
        <f t="shared" si="19"/>
        <v/>
      </c>
      <c r="M25" s="19">
        <f t="shared" si="20"/>
        <v>7.5567618049874321E-3</v>
      </c>
      <c r="N25" s="19">
        <f t="shared" si="21"/>
        <v>9.8366549220426699E-3</v>
      </c>
      <c r="O25" s="19">
        <f t="shared" si="22"/>
        <v>1.0526139019499803E-2</v>
      </c>
      <c r="P25" s="19">
        <f t="shared" si="23"/>
        <v>1.3216563951066556E-2</v>
      </c>
      <c r="Q25" s="19">
        <f t="shared" si="24"/>
        <v>1.4844397822433098E-2</v>
      </c>
      <c r="R25" s="19">
        <f t="shared" si="25"/>
        <v>1.8438737257916591E-2</v>
      </c>
      <c r="S25" s="19">
        <f t="shared" si="26"/>
        <v>2.1963452341801411E-2</v>
      </c>
      <c r="T25" s="19">
        <f t="shared" si="27"/>
        <v>2.6118740794122599E-2</v>
      </c>
      <c r="U25" s="19">
        <f t="shared" si="28"/>
        <v>3.003972719216268E-2</v>
      </c>
      <c r="V25" s="19">
        <f t="shared" si="29"/>
        <v>3.4595458964664393E-2</v>
      </c>
      <c r="W25" s="19">
        <f t="shared" si="30"/>
        <v>3.9421431246467208E-2</v>
      </c>
      <c r="X25" s="19">
        <f t="shared" si="31"/>
        <v>4.5548750370337114E-2</v>
      </c>
      <c r="Y25" s="19">
        <f t="shared" si="32"/>
        <v>5.175807929143058E-2</v>
      </c>
      <c r="Z25" s="19">
        <f t="shared" si="33"/>
        <v>5.8908349967329313E-2</v>
      </c>
      <c r="AA25" s="19">
        <f t="shared" si="34"/>
        <v>6.6756120491866522E-2</v>
      </c>
      <c r="AB25" s="19">
        <f t="shared" si="35"/>
        <v>7.5570730715111056E-2</v>
      </c>
      <c r="AC25" s="19">
        <f t="shared" si="36"/>
        <v>8.5150523727214489E-2</v>
      </c>
      <c r="AD25" s="19">
        <f t="shared" si="37"/>
        <v>9.5556838750492312E-2</v>
      </c>
      <c r="AE25" s="19">
        <f t="shared" si="38"/>
        <v>0.10724968453934153</v>
      </c>
      <c r="AF25" s="19">
        <f t="shared" si="39"/>
        <v>0.12023384185108765</v>
      </c>
      <c r="AG25" s="19">
        <f t="shared" si="40"/>
        <v>0.13369752066522203</v>
      </c>
      <c r="AH25" s="19">
        <f t="shared" si="41"/>
        <v>0.1489151847907012</v>
      </c>
      <c r="AI25" s="19">
        <f t="shared" si="42"/>
        <v>0.16190977446621865</v>
      </c>
      <c r="AJ25" s="19">
        <f t="shared" si="43"/>
        <v>0.17596083793638115</v>
      </c>
      <c r="AK25" s="19">
        <f t="shared" si="44"/>
        <v>0.18821976297785703</v>
      </c>
      <c r="AL25" s="19">
        <f t="shared" si="45"/>
        <v>0.20504371687420353</v>
      </c>
      <c r="AM25" s="19">
        <f t="shared" si="46"/>
        <v>0.21472146387025351</v>
      </c>
      <c r="AN25" s="19">
        <f t="shared" si="47"/>
        <v>0.22288231599135525</v>
      </c>
      <c r="AO25" s="19">
        <f t="shared" si="48"/>
        <v>0.23006157464911561</v>
      </c>
      <c r="AP25" s="19" t="str">
        <f t="shared" si="49"/>
        <v/>
      </c>
      <c r="AQ25" s="19" t="str">
        <f t="shared" si="50"/>
        <v/>
      </c>
      <c r="AR25" s="19" t="str">
        <f t="shared" si="51"/>
        <v/>
      </c>
      <c r="AS25" s="19" t="str">
        <f t="shared" si="52"/>
        <v/>
      </c>
      <c r="AT25" s="19" t="str">
        <f t="shared" si="53"/>
        <v/>
      </c>
      <c r="AU25" s="19" t="str">
        <f t="shared" si="54"/>
        <v/>
      </c>
      <c r="AV25" s="19" t="str">
        <f t="shared" si="55"/>
        <v/>
      </c>
      <c r="AW25" s="19" t="str">
        <f t="shared" si="56"/>
        <v/>
      </c>
      <c r="AX25" s="19" t="str">
        <f t="shared" si="57"/>
        <v/>
      </c>
      <c r="AY25" s="19" t="str">
        <f t="shared" si="58"/>
        <v/>
      </c>
      <c r="AZ25" s="19" t="str">
        <f t="shared" si="59"/>
        <v/>
      </c>
      <c r="BA25" s="19" t="str">
        <f t="shared" si="60"/>
        <v/>
      </c>
      <c r="BB25" s="19" t="str">
        <f t="shared" si="61"/>
        <v/>
      </c>
      <c r="BC25" s="19" t="str">
        <f t="shared" si="62"/>
        <v/>
      </c>
      <c r="BD25" s="19" t="str">
        <f t="shared" si="63"/>
        <v/>
      </c>
      <c r="BE25" s="19" t="str">
        <f t="shared" si="64"/>
        <v/>
      </c>
      <c r="BF25" s="19" t="str">
        <f t="shared" si="65"/>
        <v/>
      </c>
      <c r="BG25" s="19" t="str">
        <f t="shared" si="66"/>
        <v/>
      </c>
      <c r="BH25" s="19" t="str">
        <f t="shared" si="67"/>
        <v/>
      </c>
      <c r="BI25" s="19" t="str">
        <f t="shared" si="68"/>
        <v/>
      </c>
      <c r="BJ25" s="19" t="str">
        <f t="shared" si="69"/>
        <v/>
      </c>
    </row>
    <row r="26" spans="1:62">
      <c r="A26" s="12">
        <f t="shared" si="70"/>
        <v>12</v>
      </c>
      <c r="B26" s="19" t="str">
        <f t="shared" si="9"/>
        <v/>
      </c>
      <c r="C26" s="19" t="str">
        <f t="shared" si="10"/>
        <v/>
      </c>
      <c r="D26" s="19" t="str">
        <f t="shared" si="11"/>
        <v/>
      </c>
      <c r="E26" s="19" t="str">
        <f t="shared" si="12"/>
        <v/>
      </c>
      <c r="F26" s="19" t="str">
        <f t="shared" si="13"/>
        <v/>
      </c>
      <c r="G26" s="19" t="str">
        <f t="shared" si="14"/>
        <v/>
      </c>
      <c r="H26" s="19" t="str">
        <f t="shared" si="15"/>
        <v/>
      </c>
      <c r="I26" s="19" t="str">
        <f t="shared" si="16"/>
        <v/>
      </c>
      <c r="J26" s="19" t="str">
        <f t="shared" si="17"/>
        <v/>
      </c>
      <c r="K26" s="19" t="str">
        <f t="shared" si="18"/>
        <v/>
      </c>
      <c r="L26" s="19" t="str">
        <f t="shared" si="19"/>
        <v/>
      </c>
      <c r="M26" s="19" t="str">
        <f t="shared" si="20"/>
        <v/>
      </c>
      <c r="N26" s="19">
        <f t="shared" si="21"/>
        <v>7.4960878981104543E-3</v>
      </c>
      <c r="O26" s="19">
        <f t="shared" si="22"/>
        <v>7.8956400318793175E-3</v>
      </c>
      <c r="P26" s="19">
        <f t="shared" si="23"/>
        <v>1.0053412734631997E-2</v>
      </c>
      <c r="Q26" s="19">
        <f t="shared" si="24"/>
        <v>1.1198077066124294E-2</v>
      </c>
      <c r="R26" s="19">
        <f t="shared" si="25"/>
        <v>1.4117979821505431E-2</v>
      </c>
      <c r="S26" s="19">
        <f t="shared" si="26"/>
        <v>1.6939762148449267E-2</v>
      </c>
      <c r="T26" s="19">
        <f t="shared" si="27"/>
        <v>2.0340573393745398E-2</v>
      </c>
      <c r="U26" s="19">
        <f t="shared" si="28"/>
        <v>2.3411946307238661E-2</v>
      </c>
      <c r="V26" s="19">
        <f t="shared" si="29"/>
        <v>2.7031354002798377E-2</v>
      </c>
      <c r="W26" s="19">
        <f t="shared" si="30"/>
        <v>3.0742380437566396E-2</v>
      </c>
      <c r="X26" s="19">
        <f t="shared" si="31"/>
        <v>3.5857759245687008E-2</v>
      </c>
      <c r="Y26" s="19">
        <f t="shared" si="32"/>
        <v>4.0691998285801653E-2</v>
      </c>
      <c r="Z26" s="19">
        <f t="shared" si="33"/>
        <v>4.6489640107491743E-2</v>
      </c>
      <c r="AA26" s="19">
        <f t="shared" si="34"/>
        <v>5.2920704533229682E-2</v>
      </c>
      <c r="AB26" s="19">
        <f t="shared" si="35"/>
        <v>5.9900319836231689E-2</v>
      </c>
      <c r="AC26" s="19">
        <f t="shared" si="36"/>
        <v>6.7716684478034903E-2</v>
      </c>
      <c r="AD26" s="19">
        <f t="shared" si="37"/>
        <v>7.6279004582448559E-2</v>
      </c>
      <c r="AE26" s="19">
        <f t="shared" si="38"/>
        <v>8.5786285465905276E-2</v>
      </c>
      <c r="AF26" s="19">
        <f t="shared" si="39"/>
        <v>9.632256814171182E-2</v>
      </c>
      <c r="AG26" s="19">
        <f t="shared" si="40"/>
        <v>0.10750834802671715</v>
      </c>
      <c r="AH26" s="19">
        <f t="shared" si="41"/>
        <v>0.12001114566264708</v>
      </c>
      <c r="AI26" s="19">
        <f t="shared" si="42"/>
        <v>0.13145970946134825</v>
      </c>
      <c r="AJ26" s="19">
        <f t="shared" si="43"/>
        <v>0.14371482318060394</v>
      </c>
      <c r="AK26" s="19">
        <f t="shared" si="44"/>
        <v>0.15494313348525837</v>
      </c>
      <c r="AL26" s="19">
        <f t="shared" si="45"/>
        <v>0.16934897727808929</v>
      </c>
      <c r="AM26" s="19">
        <f t="shared" si="46"/>
        <v>0.17897186827394151</v>
      </c>
      <c r="AN26" s="19">
        <f t="shared" si="47"/>
        <v>0.18745127835602185</v>
      </c>
      <c r="AO26" s="19">
        <f t="shared" si="48"/>
        <v>0.1951535029133632</v>
      </c>
      <c r="AP26" s="19" t="str">
        <f t="shared" si="49"/>
        <v/>
      </c>
      <c r="AQ26" s="19" t="str">
        <f t="shared" si="50"/>
        <v/>
      </c>
      <c r="AR26" s="19" t="str">
        <f t="shared" si="51"/>
        <v/>
      </c>
      <c r="AS26" s="19" t="str">
        <f t="shared" si="52"/>
        <v/>
      </c>
      <c r="AT26" s="19" t="str">
        <f t="shared" si="53"/>
        <v/>
      </c>
      <c r="AU26" s="19" t="str">
        <f t="shared" si="54"/>
        <v/>
      </c>
      <c r="AV26" s="19" t="str">
        <f t="shared" si="55"/>
        <v/>
      </c>
      <c r="AW26" s="19" t="str">
        <f t="shared" si="56"/>
        <v/>
      </c>
      <c r="AX26" s="19" t="str">
        <f t="shared" si="57"/>
        <v/>
      </c>
      <c r="AY26" s="19" t="str">
        <f t="shared" si="58"/>
        <v/>
      </c>
      <c r="AZ26" s="19" t="str">
        <f t="shared" si="59"/>
        <v/>
      </c>
      <c r="BA26" s="19" t="str">
        <f t="shared" si="60"/>
        <v/>
      </c>
      <c r="BB26" s="19" t="str">
        <f t="shared" si="61"/>
        <v/>
      </c>
      <c r="BC26" s="19" t="str">
        <f t="shared" si="62"/>
        <v/>
      </c>
      <c r="BD26" s="19" t="str">
        <f t="shared" si="63"/>
        <v/>
      </c>
      <c r="BE26" s="19" t="str">
        <f t="shared" si="64"/>
        <v/>
      </c>
      <c r="BF26" s="19" t="str">
        <f t="shared" si="65"/>
        <v/>
      </c>
      <c r="BG26" s="19" t="str">
        <f t="shared" si="66"/>
        <v/>
      </c>
      <c r="BH26" s="19" t="str">
        <f t="shared" si="67"/>
        <v/>
      </c>
      <c r="BI26" s="19" t="str">
        <f t="shared" si="68"/>
        <v/>
      </c>
      <c r="BJ26" s="19" t="str">
        <f t="shared" si="69"/>
        <v/>
      </c>
    </row>
    <row r="27" spans="1:62">
      <c r="A27" s="12">
        <f t="shared" si="70"/>
        <v>13</v>
      </c>
      <c r="B27" s="19" t="str">
        <f t="shared" si="9"/>
        <v/>
      </c>
      <c r="C27" s="19" t="str">
        <f t="shared" si="10"/>
        <v/>
      </c>
      <c r="D27" s="19" t="str">
        <f t="shared" si="11"/>
        <v/>
      </c>
      <c r="E27" s="19" t="str">
        <f t="shared" si="12"/>
        <v/>
      </c>
      <c r="F27" s="19" t="str">
        <f t="shared" si="13"/>
        <v/>
      </c>
      <c r="G27" s="19" t="str">
        <f t="shared" si="14"/>
        <v/>
      </c>
      <c r="H27" s="19" t="str">
        <f t="shared" si="15"/>
        <v/>
      </c>
      <c r="I27" s="19" t="str">
        <f t="shared" si="16"/>
        <v/>
      </c>
      <c r="J27" s="19" t="str">
        <f t="shared" si="17"/>
        <v/>
      </c>
      <c r="K27" s="19" t="str">
        <f t="shared" si="18"/>
        <v/>
      </c>
      <c r="L27" s="19" t="str">
        <f t="shared" si="19"/>
        <v/>
      </c>
      <c r="M27" s="19" t="str">
        <f t="shared" si="20"/>
        <v/>
      </c>
      <c r="N27" s="19" t="str">
        <f t="shared" si="21"/>
        <v/>
      </c>
      <c r="O27" s="19">
        <f t="shared" si="22"/>
        <v>5.9225069512693594E-3</v>
      </c>
      <c r="P27" s="19">
        <f t="shared" si="23"/>
        <v>7.6473059099982279E-3</v>
      </c>
      <c r="Q27" s="19">
        <f t="shared" si="24"/>
        <v>8.4474245084807005E-3</v>
      </c>
      <c r="R27" s="19">
        <f t="shared" si="25"/>
        <v>1.0809707381391233E-2</v>
      </c>
      <c r="S27" s="19">
        <f t="shared" si="26"/>
        <v>1.3065138266077293E-2</v>
      </c>
      <c r="T27" s="19">
        <f t="shared" si="27"/>
        <v>1.5840691909597925E-2</v>
      </c>
      <c r="U27" s="19">
        <f t="shared" si="28"/>
        <v>1.8246478284797123E-2</v>
      </c>
      <c r="V27" s="19">
        <f t="shared" si="29"/>
        <v>2.1121098580334795E-2</v>
      </c>
      <c r="W27" s="19">
        <f t="shared" si="30"/>
        <v>2.3974115730583997E-2</v>
      </c>
      <c r="X27" s="19">
        <f t="shared" si="31"/>
        <v>2.8228631689509419E-2</v>
      </c>
      <c r="Y27" s="19">
        <f t="shared" si="32"/>
        <v>3.199188894101479E-2</v>
      </c>
      <c r="Z27" s="19">
        <f t="shared" si="33"/>
        <v>3.6688969195755081E-2</v>
      </c>
      <c r="AA27" s="19">
        <f t="shared" si="34"/>
        <v>4.195272205242391E-2</v>
      </c>
      <c r="AB27" s="19">
        <f t="shared" si="35"/>
        <v>4.7479338661011367E-2</v>
      </c>
      <c r="AC27" s="19">
        <f t="shared" si="36"/>
        <v>5.3852274254799097E-2</v>
      </c>
      <c r="AD27" s="19">
        <f t="shared" si="37"/>
        <v>6.0890320527260337E-2</v>
      </c>
      <c r="AE27" s="19">
        <f t="shared" si="38"/>
        <v>6.8618260330064129E-2</v>
      </c>
      <c r="AF27" s="19">
        <f t="shared" si="39"/>
        <v>7.7166602934519699E-2</v>
      </c>
      <c r="AG27" s="19">
        <f t="shared" si="40"/>
        <v>8.6449208915212628E-2</v>
      </c>
      <c r="AH27" s="19">
        <f t="shared" si="41"/>
        <v>9.6717303232063997E-2</v>
      </c>
      <c r="AI27" s="19">
        <f t="shared" si="42"/>
        <v>0.10673633058063328</v>
      </c>
      <c r="AJ27" s="19">
        <f t="shared" si="43"/>
        <v>0.11737810892500816</v>
      </c>
      <c r="AK27" s="19">
        <f t="shared" si="44"/>
        <v>0.12754970165941035</v>
      </c>
      <c r="AL27" s="19">
        <f t="shared" si="45"/>
        <v>0.13986810492091165</v>
      </c>
      <c r="AM27" s="19">
        <f t="shared" si="46"/>
        <v>0.14917432592029978</v>
      </c>
      <c r="AN27" s="19">
        <f t="shared" si="47"/>
        <v>0.15765262309401729</v>
      </c>
      <c r="AO27" s="19">
        <f t="shared" si="48"/>
        <v>0.16554215869139477</v>
      </c>
      <c r="AP27" s="19" t="str">
        <f t="shared" si="49"/>
        <v/>
      </c>
      <c r="AQ27" s="19" t="str">
        <f t="shared" si="50"/>
        <v/>
      </c>
      <c r="AR27" s="19" t="str">
        <f t="shared" si="51"/>
        <v/>
      </c>
      <c r="AS27" s="19" t="str">
        <f t="shared" si="52"/>
        <v/>
      </c>
      <c r="AT27" s="19" t="str">
        <f t="shared" si="53"/>
        <v/>
      </c>
      <c r="AU27" s="19" t="str">
        <f t="shared" si="54"/>
        <v/>
      </c>
      <c r="AV27" s="19" t="str">
        <f t="shared" si="55"/>
        <v/>
      </c>
      <c r="AW27" s="19" t="str">
        <f t="shared" si="56"/>
        <v/>
      </c>
      <c r="AX27" s="19" t="str">
        <f t="shared" si="57"/>
        <v/>
      </c>
      <c r="AY27" s="19" t="str">
        <f t="shared" si="58"/>
        <v/>
      </c>
      <c r="AZ27" s="19" t="str">
        <f t="shared" si="59"/>
        <v/>
      </c>
      <c r="BA27" s="19" t="str">
        <f t="shared" si="60"/>
        <v/>
      </c>
      <c r="BB27" s="19" t="str">
        <f t="shared" si="61"/>
        <v/>
      </c>
      <c r="BC27" s="19" t="str">
        <f t="shared" si="62"/>
        <v/>
      </c>
      <c r="BD27" s="19" t="str">
        <f t="shared" si="63"/>
        <v/>
      </c>
      <c r="BE27" s="19" t="str">
        <f t="shared" si="64"/>
        <v/>
      </c>
      <c r="BF27" s="19" t="str">
        <f t="shared" si="65"/>
        <v/>
      </c>
      <c r="BG27" s="19" t="str">
        <f t="shared" si="66"/>
        <v/>
      </c>
      <c r="BH27" s="19" t="str">
        <f t="shared" si="67"/>
        <v/>
      </c>
      <c r="BI27" s="19" t="str">
        <f t="shared" si="68"/>
        <v/>
      </c>
      <c r="BJ27" s="19" t="str">
        <f t="shared" si="69"/>
        <v/>
      </c>
    </row>
    <row r="28" spans="1:62">
      <c r="A28" s="12">
        <f t="shared" si="70"/>
        <v>14</v>
      </c>
      <c r="B28" s="19" t="str">
        <f t="shared" si="9"/>
        <v/>
      </c>
      <c r="C28" s="19" t="str">
        <f t="shared" si="10"/>
        <v/>
      </c>
      <c r="D28" s="19" t="str">
        <f t="shared" si="11"/>
        <v/>
      </c>
      <c r="E28" s="19" t="str">
        <f t="shared" si="12"/>
        <v/>
      </c>
      <c r="F28" s="19" t="str">
        <f t="shared" si="13"/>
        <v/>
      </c>
      <c r="G28" s="19" t="str">
        <f t="shared" si="14"/>
        <v/>
      </c>
      <c r="H28" s="19" t="str">
        <f t="shared" si="15"/>
        <v/>
      </c>
      <c r="I28" s="19" t="str">
        <f t="shared" si="16"/>
        <v/>
      </c>
      <c r="J28" s="19" t="str">
        <f t="shared" si="17"/>
        <v/>
      </c>
      <c r="K28" s="19" t="str">
        <f t="shared" si="18"/>
        <v/>
      </c>
      <c r="L28" s="19" t="str">
        <f t="shared" si="19"/>
        <v/>
      </c>
      <c r="M28" s="19" t="str">
        <f t="shared" si="20"/>
        <v/>
      </c>
      <c r="N28" s="19" t="str">
        <f t="shared" si="21"/>
        <v/>
      </c>
      <c r="O28" s="19" t="str">
        <f t="shared" si="22"/>
        <v/>
      </c>
      <c r="P28" s="19">
        <f t="shared" si="23"/>
        <v>5.8170582691425251E-3</v>
      </c>
      <c r="Q28" s="19">
        <f t="shared" si="24"/>
        <v>6.3724316599276694E-3</v>
      </c>
      <c r="R28" s="19">
        <f t="shared" si="25"/>
        <v>8.2766638817057155E-3</v>
      </c>
      <c r="S28" s="19">
        <f t="shared" si="26"/>
        <v>1.0076755294190687E-2</v>
      </c>
      <c r="T28" s="19">
        <f t="shared" si="27"/>
        <v>1.2336305143293544E-2</v>
      </c>
      <c r="U28" s="19">
        <f t="shared" si="28"/>
        <v>1.4220687397298286E-2</v>
      </c>
      <c r="V28" s="19">
        <f t="shared" si="29"/>
        <v>1.6503087680847902E-2</v>
      </c>
      <c r="W28" s="19">
        <f t="shared" si="30"/>
        <v>1.8695957075630206E-2</v>
      </c>
      <c r="X28" s="19">
        <f t="shared" si="31"/>
        <v>2.2222683843743572E-2</v>
      </c>
      <c r="Y28" s="19">
        <f t="shared" si="32"/>
        <v>2.5151897206565542E-2</v>
      </c>
      <c r="Z28" s="19">
        <f t="shared" si="33"/>
        <v>2.8954417748442544E-2</v>
      </c>
      <c r="AA28" s="19">
        <f t="shared" si="34"/>
        <v>3.3257888441428185E-2</v>
      </c>
      <c r="AB28" s="19">
        <f t="shared" si="35"/>
        <v>3.7633982687409057E-2</v>
      </c>
      <c r="AC28" s="19">
        <f t="shared" si="36"/>
        <v>4.2826483085638752E-2</v>
      </c>
      <c r="AD28" s="19">
        <f t="shared" si="37"/>
        <v>4.8606181402183771E-2</v>
      </c>
      <c r="AE28" s="19">
        <f t="shared" si="38"/>
        <v>5.4885995181546535E-2</v>
      </c>
      <c r="AF28" s="19">
        <f t="shared" si="39"/>
        <v>6.1820243410590593E-2</v>
      </c>
      <c r="AG28" s="19">
        <f t="shared" si="40"/>
        <v>6.9515213090325143E-2</v>
      </c>
      <c r="AH28" s="19">
        <f t="shared" si="41"/>
        <v>7.7944733323169008E-2</v>
      </c>
      <c r="AI28" s="19">
        <f t="shared" si="42"/>
        <v>8.6662630797673362E-2</v>
      </c>
      <c r="AJ28" s="19">
        <f t="shared" si="43"/>
        <v>9.5867775848681822E-2</v>
      </c>
      <c r="AK28" s="19">
        <f t="shared" si="44"/>
        <v>0.10499933767605422</v>
      </c>
      <c r="AL28" s="19">
        <f t="shared" si="45"/>
        <v>0.11551936769031944</v>
      </c>
      <c r="AM28" s="19">
        <f t="shared" si="46"/>
        <v>0.12433786230422829</v>
      </c>
      <c r="AN28" s="19">
        <f t="shared" si="47"/>
        <v>0.13259098463558613</v>
      </c>
      <c r="AO28" s="19">
        <f t="shared" si="48"/>
        <v>0.14042385043107733</v>
      </c>
      <c r="AP28" s="19" t="str">
        <f t="shared" si="49"/>
        <v/>
      </c>
      <c r="AQ28" s="19" t="str">
        <f t="shared" si="50"/>
        <v/>
      </c>
      <c r="AR28" s="19" t="str">
        <f t="shared" si="51"/>
        <v/>
      </c>
      <c r="AS28" s="19" t="str">
        <f t="shared" si="52"/>
        <v/>
      </c>
      <c r="AT28" s="19" t="str">
        <f t="shared" si="53"/>
        <v/>
      </c>
      <c r="AU28" s="19" t="str">
        <f t="shared" si="54"/>
        <v/>
      </c>
      <c r="AV28" s="19" t="str">
        <f t="shared" si="55"/>
        <v/>
      </c>
      <c r="AW28" s="19" t="str">
        <f t="shared" si="56"/>
        <v/>
      </c>
      <c r="AX28" s="19" t="str">
        <f t="shared" si="57"/>
        <v/>
      </c>
      <c r="AY28" s="19" t="str">
        <f t="shared" si="58"/>
        <v/>
      </c>
      <c r="AZ28" s="19" t="str">
        <f t="shared" si="59"/>
        <v/>
      </c>
      <c r="BA28" s="19" t="str">
        <f t="shared" si="60"/>
        <v/>
      </c>
      <c r="BB28" s="19" t="str">
        <f t="shared" si="61"/>
        <v/>
      </c>
      <c r="BC28" s="19" t="str">
        <f t="shared" si="62"/>
        <v/>
      </c>
      <c r="BD28" s="19" t="str">
        <f t="shared" si="63"/>
        <v/>
      </c>
      <c r="BE28" s="19" t="str">
        <f t="shared" si="64"/>
        <v/>
      </c>
      <c r="BF28" s="19" t="str">
        <f t="shared" si="65"/>
        <v/>
      </c>
      <c r="BG28" s="19" t="str">
        <f t="shared" si="66"/>
        <v/>
      </c>
      <c r="BH28" s="19" t="str">
        <f t="shared" si="67"/>
        <v/>
      </c>
      <c r="BI28" s="19" t="str">
        <f t="shared" si="68"/>
        <v/>
      </c>
      <c r="BJ28" s="19" t="str">
        <f t="shared" si="69"/>
        <v/>
      </c>
    </row>
    <row r="29" spans="1:62">
      <c r="A29" s="12">
        <f t="shared" si="70"/>
        <v>15</v>
      </c>
      <c r="B29" s="19" t="str">
        <f t="shared" si="9"/>
        <v/>
      </c>
      <c r="C29" s="19" t="str">
        <f t="shared" si="10"/>
        <v/>
      </c>
      <c r="D29" s="19" t="str">
        <f t="shared" si="11"/>
        <v/>
      </c>
      <c r="E29" s="19" t="str">
        <f t="shared" si="12"/>
        <v/>
      </c>
      <c r="F29" s="19" t="str">
        <f t="shared" si="13"/>
        <v/>
      </c>
      <c r="G29" s="19"/>
      <c r="H29" s="19" t="str">
        <f t="shared" si="15"/>
        <v/>
      </c>
      <c r="I29" s="19" t="str">
        <f t="shared" si="16"/>
        <v/>
      </c>
      <c r="J29" s="19" t="str">
        <f t="shared" si="17"/>
        <v/>
      </c>
      <c r="K29" s="19" t="str">
        <f t="shared" si="18"/>
        <v/>
      </c>
      <c r="L29" s="19" t="str">
        <f t="shared" si="19"/>
        <v/>
      </c>
      <c r="M29" s="19" t="str">
        <f t="shared" si="20"/>
        <v/>
      </c>
      <c r="N29" s="19" t="str">
        <f t="shared" si="21"/>
        <v/>
      </c>
      <c r="O29" s="19" t="str">
        <f t="shared" si="22"/>
        <v/>
      </c>
      <c r="P29" s="19" t="str">
        <f t="shared" si="23"/>
        <v/>
      </c>
      <c r="Q29" s="19">
        <f t="shared" si="24"/>
        <v>4.807132069624377E-3</v>
      </c>
      <c r="R29" s="19">
        <f t="shared" si="25"/>
        <v>6.3371895828243426E-3</v>
      </c>
      <c r="S29" s="19">
        <f t="shared" si="26"/>
        <v>7.7719037633642244E-3</v>
      </c>
      <c r="T29" s="19">
        <f t="shared" si="27"/>
        <v>9.6071829094941073E-3</v>
      </c>
      <c r="U29" s="19">
        <f t="shared" si="28"/>
        <v>1.1083122282296723E-2</v>
      </c>
      <c r="V29" s="19">
        <f t="shared" si="29"/>
        <v>1.2894779216424485E-2</v>
      </c>
      <c r="W29" s="19">
        <f t="shared" si="30"/>
        <v>1.4579841646793143E-2</v>
      </c>
      <c r="X29" s="19">
        <f t="shared" si="31"/>
        <v>1.7494566603542098E-2</v>
      </c>
      <c r="Y29" s="19">
        <f t="shared" si="32"/>
        <v>1.977432261833717E-2</v>
      </c>
      <c r="Z29" s="19">
        <f t="shared" si="33"/>
        <v>2.285041868247208E-2</v>
      </c>
      <c r="AA29" s="19">
        <f t="shared" si="34"/>
        <v>2.6365086446603431E-2</v>
      </c>
      <c r="AB29" s="19">
        <f t="shared" si="35"/>
        <v>2.9830168086971316E-2</v>
      </c>
      <c r="AC29" s="19">
        <f t="shared" si="36"/>
        <v>3.4058128070998853E-2</v>
      </c>
      <c r="AD29" s="19">
        <f t="shared" si="37"/>
        <v>3.8800269895841441E-2</v>
      </c>
      <c r="AE29" s="19">
        <f t="shared" si="38"/>
        <v>4.3901906760362402E-2</v>
      </c>
      <c r="AF29" s="19">
        <f t="shared" si="39"/>
        <v>4.9525861577548493E-2</v>
      </c>
      <c r="AG29" s="19">
        <f t="shared" si="40"/>
        <v>5.5898311987247713E-2</v>
      </c>
      <c r="AH29" s="19">
        <f t="shared" si="41"/>
        <v>6.2815869030618351E-2</v>
      </c>
      <c r="AI29" s="19">
        <f t="shared" si="42"/>
        <v>7.0364153760187134E-2</v>
      </c>
      <c r="AJ29" s="19">
        <f t="shared" si="43"/>
        <v>7.829935692732036E-2</v>
      </c>
      <c r="AK29" s="19">
        <f t="shared" si="44"/>
        <v>8.6435803212219192E-2</v>
      </c>
      <c r="AL29" s="19">
        <f t="shared" si="45"/>
        <v>9.5409345247917582E-2</v>
      </c>
      <c r="AM29" s="19">
        <f t="shared" si="46"/>
        <v>0.10363649312312016</v>
      </c>
      <c r="AN29" s="19">
        <f t="shared" si="47"/>
        <v>0.11151333140933568</v>
      </c>
      <c r="AO29" s="19">
        <f t="shared" si="48"/>
        <v>0.1191168335955414</v>
      </c>
      <c r="AP29" s="19" t="str">
        <f t="shared" si="49"/>
        <v/>
      </c>
      <c r="AQ29" s="19" t="str">
        <f t="shared" si="50"/>
        <v/>
      </c>
      <c r="AR29" s="19" t="str">
        <f t="shared" si="51"/>
        <v/>
      </c>
      <c r="AS29" s="19" t="str">
        <f t="shared" si="52"/>
        <v/>
      </c>
      <c r="AT29" s="19" t="str">
        <f t="shared" si="53"/>
        <v/>
      </c>
      <c r="AU29" s="19" t="str">
        <f t="shared" si="54"/>
        <v/>
      </c>
      <c r="AV29" s="19" t="str">
        <f t="shared" si="55"/>
        <v/>
      </c>
      <c r="AW29" s="19" t="str">
        <f t="shared" si="56"/>
        <v/>
      </c>
      <c r="AX29" s="19" t="str">
        <f t="shared" si="57"/>
        <v/>
      </c>
      <c r="AY29" s="19" t="str">
        <f t="shared" si="58"/>
        <v/>
      </c>
      <c r="AZ29" s="19" t="str">
        <f t="shared" si="59"/>
        <v/>
      </c>
      <c r="BA29" s="19" t="str">
        <f t="shared" si="60"/>
        <v/>
      </c>
      <c r="BB29" s="19" t="str">
        <f t="shared" si="61"/>
        <v/>
      </c>
      <c r="BC29" s="19" t="str">
        <f t="shared" si="62"/>
        <v/>
      </c>
      <c r="BD29" s="19" t="str">
        <f t="shared" si="63"/>
        <v/>
      </c>
      <c r="BE29" s="19" t="str">
        <f t="shared" si="64"/>
        <v/>
      </c>
      <c r="BF29" s="19" t="str">
        <f t="shared" si="65"/>
        <v/>
      </c>
      <c r="BG29" s="19" t="str">
        <f t="shared" si="66"/>
        <v/>
      </c>
      <c r="BH29" s="19" t="str">
        <f t="shared" si="67"/>
        <v/>
      </c>
      <c r="BI29" s="19" t="str">
        <f t="shared" si="68"/>
        <v/>
      </c>
      <c r="BJ29" s="19" t="str">
        <f t="shared" si="69"/>
        <v/>
      </c>
    </row>
    <row r="30" spans="1:62">
      <c r="A30" s="12">
        <f t="shared" si="70"/>
        <v>16</v>
      </c>
      <c r="B30" s="19" t="str">
        <f t="shared" si="9"/>
        <v/>
      </c>
      <c r="C30" s="19" t="str">
        <f t="shared" si="10"/>
        <v/>
      </c>
      <c r="D30" s="19" t="str">
        <f t="shared" si="11"/>
        <v/>
      </c>
      <c r="E30" s="19" t="str">
        <f t="shared" si="12"/>
        <v/>
      </c>
      <c r="F30" s="19" t="str">
        <f t="shared" si="13"/>
        <v/>
      </c>
      <c r="G30" s="19" t="str">
        <f t="shared" si="14"/>
        <v/>
      </c>
      <c r="H30" s="19" t="str">
        <f t="shared" si="15"/>
        <v/>
      </c>
      <c r="I30" s="19" t="str">
        <f t="shared" si="16"/>
        <v/>
      </c>
      <c r="J30" s="19" t="str">
        <f t="shared" si="17"/>
        <v/>
      </c>
      <c r="K30" s="19" t="str">
        <f t="shared" si="18"/>
        <v/>
      </c>
      <c r="L30" s="19" t="str">
        <f t="shared" si="19"/>
        <v/>
      </c>
      <c r="M30" s="19" t="str">
        <f t="shared" si="20"/>
        <v/>
      </c>
      <c r="N30" s="19" t="str">
        <f t="shared" si="21"/>
        <v/>
      </c>
      <c r="O30" s="19" t="str">
        <f t="shared" si="22"/>
        <v/>
      </c>
      <c r="P30" s="19" t="str">
        <f t="shared" si="23"/>
        <v/>
      </c>
      <c r="Q30" s="19" t="str">
        <f t="shared" si="24"/>
        <v/>
      </c>
      <c r="R30" s="19">
        <f t="shared" si="25"/>
        <v>4.8521931520530597E-3</v>
      </c>
      <c r="S30" s="19">
        <f t="shared" si="26"/>
        <v>5.9942398464133996E-3</v>
      </c>
      <c r="T30" s="19">
        <f t="shared" si="27"/>
        <v>7.4818158585070443E-3</v>
      </c>
      <c r="U30" s="19">
        <f t="shared" si="28"/>
        <v>8.6378102613857491E-3</v>
      </c>
      <c r="V30" s="19">
        <f t="shared" si="29"/>
        <v>1.0075407357454571E-2</v>
      </c>
      <c r="W30" s="19">
        <f t="shared" si="30"/>
        <v>1.1369933167136264E-2</v>
      </c>
      <c r="X30" s="19">
        <f t="shared" si="31"/>
        <v>1.3772407635270234E-2</v>
      </c>
      <c r="Y30" s="19">
        <f t="shared" si="32"/>
        <v>1.5546494636277768E-2</v>
      </c>
      <c r="Z30" s="19">
        <f t="shared" si="33"/>
        <v>1.8033228590561282E-2</v>
      </c>
      <c r="AA30" s="19">
        <f t="shared" si="34"/>
        <v>2.0900839347064139E-2</v>
      </c>
      <c r="AB30" s="19">
        <f t="shared" si="35"/>
        <v>2.3644559107337561E-2</v>
      </c>
      <c r="AC30" s="19">
        <f t="shared" si="36"/>
        <v>2.7085018524192914E-2</v>
      </c>
      <c r="AD30" s="19">
        <f t="shared" si="37"/>
        <v>3.0972623245867702E-2</v>
      </c>
      <c r="AE30" s="19">
        <f t="shared" si="38"/>
        <v>3.5116014765157542E-2</v>
      </c>
      <c r="AF30" s="19">
        <f t="shared" si="39"/>
        <v>3.9676501250693816E-2</v>
      </c>
      <c r="AG30" s="19">
        <f t="shared" si="40"/>
        <v>4.4948740629819836E-2</v>
      </c>
      <c r="AH30" s="19">
        <f t="shared" si="41"/>
        <v>5.0623476838542243E-2</v>
      </c>
      <c r="AI30" s="19">
        <f t="shared" si="42"/>
        <v>5.7130900467888636E-2</v>
      </c>
      <c r="AJ30" s="19">
        <f t="shared" si="43"/>
        <v>6.3950469706408747E-2</v>
      </c>
      <c r="AK30" s="19">
        <f t="shared" si="44"/>
        <v>7.1154240039033353E-2</v>
      </c>
      <c r="AL30" s="19">
        <f t="shared" si="45"/>
        <v>7.8800147045811453E-2</v>
      </c>
      <c r="AM30" s="19">
        <f t="shared" si="46"/>
        <v>8.6381754582355294E-2</v>
      </c>
      <c r="AN30" s="19">
        <f t="shared" si="47"/>
        <v>9.3786339366778021E-2</v>
      </c>
      <c r="AO30" s="19">
        <f t="shared" si="48"/>
        <v>0.10104280720312565</v>
      </c>
      <c r="AP30" s="19" t="str">
        <f t="shared" si="49"/>
        <v/>
      </c>
      <c r="AQ30" s="19" t="str">
        <f t="shared" si="50"/>
        <v/>
      </c>
      <c r="AR30" s="19" t="str">
        <f t="shared" si="51"/>
        <v/>
      </c>
      <c r="AS30" s="19" t="str">
        <f t="shared" si="52"/>
        <v/>
      </c>
      <c r="AT30" s="19" t="str">
        <f t="shared" si="53"/>
        <v/>
      </c>
      <c r="AU30" s="19" t="str">
        <f t="shared" si="54"/>
        <v/>
      </c>
      <c r="AV30" s="19" t="str">
        <f t="shared" si="55"/>
        <v/>
      </c>
      <c r="AW30" s="19" t="str">
        <f t="shared" si="56"/>
        <v/>
      </c>
      <c r="AX30" s="19" t="str">
        <f t="shared" si="57"/>
        <v/>
      </c>
      <c r="AY30" s="19" t="str">
        <f t="shared" si="58"/>
        <v/>
      </c>
      <c r="AZ30" s="19" t="str">
        <f t="shared" si="59"/>
        <v/>
      </c>
      <c r="BA30" s="19" t="str">
        <f t="shared" si="60"/>
        <v/>
      </c>
      <c r="BB30" s="19" t="str">
        <f t="shared" si="61"/>
        <v/>
      </c>
      <c r="BC30" s="19" t="str">
        <f t="shared" si="62"/>
        <v/>
      </c>
      <c r="BD30" s="19" t="str">
        <f t="shared" si="63"/>
        <v/>
      </c>
      <c r="BE30" s="19" t="str">
        <f t="shared" si="64"/>
        <v/>
      </c>
      <c r="BF30" s="19" t="str">
        <f t="shared" si="65"/>
        <v/>
      </c>
      <c r="BG30" s="19" t="str">
        <f t="shared" si="66"/>
        <v/>
      </c>
      <c r="BH30" s="19" t="str">
        <f t="shared" si="67"/>
        <v/>
      </c>
      <c r="BI30" s="19" t="str">
        <f t="shared" si="68"/>
        <v/>
      </c>
      <c r="BJ30" s="19" t="str">
        <f t="shared" si="69"/>
        <v/>
      </c>
    </row>
    <row r="31" spans="1:62">
      <c r="A31" s="12">
        <f t="shared" si="70"/>
        <v>17</v>
      </c>
      <c r="B31" s="19" t="str">
        <f t="shared" si="9"/>
        <v/>
      </c>
      <c r="C31" s="19" t="str">
        <f t="shared" si="10"/>
        <v/>
      </c>
      <c r="D31" s="19" t="str">
        <f t="shared" si="11"/>
        <v/>
      </c>
      <c r="E31" s="19" t="str">
        <f t="shared" si="12"/>
        <v/>
      </c>
      <c r="F31" s="19" t="str">
        <f t="shared" si="13"/>
        <v/>
      </c>
      <c r="G31" s="19" t="str">
        <f t="shared" si="14"/>
        <v/>
      </c>
      <c r="H31" s="19" t="str">
        <f t="shared" si="15"/>
        <v/>
      </c>
      <c r="I31" s="19" t="str">
        <f t="shared" si="16"/>
        <v/>
      </c>
      <c r="J31" s="19" t="str">
        <f t="shared" si="17"/>
        <v/>
      </c>
      <c r="K31" s="19" t="str">
        <f t="shared" si="18"/>
        <v/>
      </c>
      <c r="L31" s="19" t="str">
        <f t="shared" si="19"/>
        <v/>
      </c>
      <c r="M31" s="19" t="str">
        <f t="shared" si="20"/>
        <v/>
      </c>
      <c r="N31" s="19" t="str">
        <f t="shared" si="21"/>
        <v/>
      </c>
      <c r="O31" s="19" t="str">
        <f t="shared" si="22"/>
        <v/>
      </c>
      <c r="P31" s="19" t="str">
        <f t="shared" si="23"/>
        <v/>
      </c>
      <c r="Q31" s="19" t="str">
        <f t="shared" si="24"/>
        <v/>
      </c>
      <c r="R31" s="19" t="str">
        <f t="shared" si="25"/>
        <v/>
      </c>
      <c r="S31" s="19">
        <f t="shared" si="26"/>
        <v>4.6231801667056052E-3</v>
      </c>
      <c r="T31" s="19">
        <f t="shared" si="27"/>
        <v>5.8266371180763906E-3</v>
      </c>
      <c r="U31" s="19">
        <f t="shared" si="28"/>
        <v>6.7320168641358128E-3</v>
      </c>
      <c r="V31" s="19">
        <f t="shared" si="29"/>
        <v>7.8724754968544433E-3</v>
      </c>
      <c r="W31" s="19">
        <f t="shared" si="30"/>
        <v>8.8667204594488555E-3</v>
      </c>
      <c r="X31" s="19">
        <f t="shared" si="31"/>
        <v>1.0842178395756645E-2</v>
      </c>
      <c r="Y31" s="19">
        <f t="shared" si="32"/>
        <v>1.2222592912066966E-2</v>
      </c>
      <c r="Z31" s="19">
        <f t="shared" si="33"/>
        <v>1.4231570017090613E-2</v>
      </c>
      <c r="AA31" s="19">
        <f t="shared" si="34"/>
        <v>1.6569074647129121E-2</v>
      </c>
      <c r="AB31" s="19">
        <f t="shared" si="35"/>
        <v>1.8741603257158918E-2</v>
      </c>
      <c r="AC31" s="19">
        <f t="shared" si="36"/>
        <v>2.153959333662105E-2</v>
      </c>
      <c r="AD31" s="19">
        <f t="shared" si="37"/>
        <v>2.4724142211012847E-2</v>
      </c>
      <c r="AE31" s="19">
        <f t="shared" si="38"/>
        <v>2.8088403989325571E-2</v>
      </c>
      <c r="AF31" s="19">
        <f t="shared" si="39"/>
        <v>3.1785913487468731E-2</v>
      </c>
      <c r="AG31" s="19">
        <f t="shared" si="40"/>
        <v>3.6144012446524952E-2</v>
      </c>
      <c r="AH31" s="19">
        <f t="shared" si="41"/>
        <v>4.079759536516589E-2</v>
      </c>
      <c r="AI31" s="19">
        <f t="shared" si="42"/>
        <v>4.6386400089395707E-2</v>
      </c>
      <c r="AJ31" s="19">
        <f t="shared" si="43"/>
        <v>5.2231113206541932E-2</v>
      </c>
      <c r="AK31" s="19">
        <f t="shared" si="44"/>
        <v>5.8574406523437567E-2</v>
      </c>
      <c r="AL31" s="19">
        <f t="shared" si="45"/>
        <v>6.5082337147440356E-2</v>
      </c>
      <c r="AM31" s="19">
        <f t="shared" si="46"/>
        <v>7.1999807209431832E-2</v>
      </c>
      <c r="AN31" s="19">
        <f t="shared" si="47"/>
        <v>7.8877362380405783E-2</v>
      </c>
      <c r="AO31" s="19">
        <f t="shared" si="48"/>
        <v>8.5711217963992059E-2</v>
      </c>
      <c r="AP31" s="19" t="str">
        <f t="shared" si="49"/>
        <v/>
      </c>
      <c r="AQ31" s="19" t="str">
        <f t="shared" si="50"/>
        <v/>
      </c>
      <c r="AR31" s="19" t="str">
        <f t="shared" si="51"/>
        <v/>
      </c>
      <c r="AS31" s="19" t="str">
        <f t="shared" si="52"/>
        <v/>
      </c>
      <c r="AT31" s="19" t="str">
        <f t="shared" si="53"/>
        <v/>
      </c>
      <c r="AU31" s="19" t="str">
        <f t="shared" si="54"/>
        <v/>
      </c>
      <c r="AV31" s="19" t="str">
        <f t="shared" si="55"/>
        <v/>
      </c>
      <c r="AW31" s="19" t="str">
        <f t="shared" si="56"/>
        <v/>
      </c>
      <c r="AX31" s="19" t="str">
        <f t="shared" si="57"/>
        <v/>
      </c>
      <c r="AY31" s="19" t="str">
        <f t="shared" si="58"/>
        <v/>
      </c>
      <c r="AZ31" s="19" t="str">
        <f t="shared" si="59"/>
        <v/>
      </c>
      <c r="BA31" s="19" t="str">
        <f t="shared" si="60"/>
        <v/>
      </c>
      <c r="BB31" s="19" t="str">
        <f t="shared" si="61"/>
        <v/>
      </c>
      <c r="BC31" s="19" t="str">
        <f t="shared" si="62"/>
        <v/>
      </c>
      <c r="BD31" s="19" t="str">
        <f t="shared" si="63"/>
        <v/>
      </c>
      <c r="BE31" s="19" t="str">
        <f t="shared" si="64"/>
        <v/>
      </c>
      <c r="BF31" s="19" t="str">
        <f t="shared" si="65"/>
        <v/>
      </c>
      <c r="BG31" s="19" t="str">
        <f t="shared" si="66"/>
        <v/>
      </c>
      <c r="BH31" s="19" t="str">
        <f t="shared" si="67"/>
        <v/>
      </c>
      <c r="BI31" s="19" t="str">
        <f t="shared" si="68"/>
        <v/>
      </c>
      <c r="BJ31" s="19" t="str">
        <f t="shared" si="69"/>
        <v/>
      </c>
    </row>
    <row r="32" spans="1:62">
      <c r="A32" s="12">
        <f t="shared" si="70"/>
        <v>18</v>
      </c>
      <c r="B32" s="19" t="str">
        <f t="shared" si="9"/>
        <v/>
      </c>
      <c r="C32" s="19" t="str">
        <f t="shared" si="10"/>
        <v/>
      </c>
      <c r="D32" s="19" t="str">
        <f t="shared" si="11"/>
        <v/>
      </c>
      <c r="E32" s="19" t="str">
        <f t="shared" si="12"/>
        <v/>
      </c>
      <c r="F32" s="19" t="str">
        <f t="shared" si="13"/>
        <v/>
      </c>
      <c r="G32" s="19" t="str">
        <f t="shared" si="14"/>
        <v/>
      </c>
      <c r="H32" s="19" t="str">
        <f t="shared" si="15"/>
        <v/>
      </c>
      <c r="I32" s="19" t="str">
        <f t="shared" si="16"/>
        <v/>
      </c>
      <c r="J32" s="19" t="str">
        <f t="shared" si="17"/>
        <v/>
      </c>
      <c r="K32" s="19" t="str">
        <f t="shared" si="18"/>
        <v/>
      </c>
      <c r="L32" s="19" t="str">
        <f t="shared" si="19"/>
        <v/>
      </c>
      <c r="M32" s="19" t="str">
        <f t="shared" si="20"/>
        <v/>
      </c>
      <c r="N32" s="19" t="str">
        <f t="shared" si="21"/>
        <v/>
      </c>
      <c r="O32" s="19" t="str">
        <f t="shared" si="22"/>
        <v/>
      </c>
      <c r="P32" s="19" t="str">
        <f t="shared" si="23"/>
        <v/>
      </c>
      <c r="Q32" s="19" t="str">
        <f t="shared" si="24"/>
        <v/>
      </c>
      <c r="R32" s="19" t="str">
        <f t="shared" si="25"/>
        <v/>
      </c>
      <c r="S32" s="19" t="str">
        <f t="shared" si="26"/>
        <v/>
      </c>
      <c r="T32" s="19">
        <f t="shared" si="27"/>
        <v>4.5376283976761795E-3</v>
      </c>
      <c r="U32" s="19">
        <f t="shared" si="28"/>
        <v>5.2467060154824888E-3</v>
      </c>
      <c r="V32" s="19">
        <f t="shared" si="29"/>
        <v>6.1512024526451572E-3</v>
      </c>
      <c r="W32" s="19">
        <f t="shared" si="30"/>
        <v>6.9146168715616615E-3</v>
      </c>
      <c r="X32" s="19">
        <f t="shared" si="31"/>
        <v>8.5353872379123497E-3</v>
      </c>
      <c r="Y32" s="19">
        <f t="shared" si="32"/>
        <v>9.6093544550874977E-3</v>
      </c>
      <c r="Z32" s="19">
        <f t="shared" si="33"/>
        <v>1.1231354614855938E-2</v>
      </c>
      <c r="AA32" s="19">
        <f t="shared" si="34"/>
        <v>1.3135081807166743E-2</v>
      </c>
      <c r="AB32" s="19">
        <f t="shared" si="35"/>
        <v>1.4855328494568878E-2</v>
      </c>
      <c r="AC32" s="19">
        <f t="shared" si="36"/>
        <v>1.7129546383459045E-2</v>
      </c>
      <c r="AD32" s="19">
        <f t="shared" si="37"/>
        <v>1.9736242655905591E-2</v>
      </c>
      <c r="AE32" s="19">
        <f t="shared" si="38"/>
        <v>2.2467197486497614E-2</v>
      </c>
      <c r="AF32" s="19">
        <f t="shared" si="39"/>
        <v>2.5464551167176792E-2</v>
      </c>
      <c r="AG32" s="19">
        <f t="shared" si="40"/>
        <v>2.9063987498414302E-2</v>
      </c>
      <c r="AH32" s="19">
        <f t="shared" si="41"/>
        <v>3.2878891208684806E-2</v>
      </c>
      <c r="AI32" s="19">
        <f t="shared" si="42"/>
        <v>3.7662597572094766E-2</v>
      </c>
      <c r="AJ32" s="19">
        <f t="shared" si="43"/>
        <v>4.2659408121926673E-2</v>
      </c>
      <c r="AK32" s="19">
        <f t="shared" si="44"/>
        <v>4.8218645827582306E-2</v>
      </c>
      <c r="AL32" s="19">
        <f t="shared" si="45"/>
        <v>5.375257239190951E-2</v>
      </c>
      <c r="AM32" s="19">
        <f t="shared" si="46"/>
        <v>6.001235172009637E-2</v>
      </c>
      <c r="AN32" s="19">
        <f t="shared" si="47"/>
        <v>6.6338427729419905E-2</v>
      </c>
      <c r="AO32" s="19">
        <f t="shared" si="48"/>
        <v>7.2705946006651548E-2</v>
      </c>
      <c r="AP32" s="19" t="str">
        <f t="shared" si="49"/>
        <v/>
      </c>
      <c r="AQ32" s="19" t="str">
        <f t="shared" si="50"/>
        <v/>
      </c>
      <c r="AR32" s="19" t="str">
        <f t="shared" si="51"/>
        <v/>
      </c>
      <c r="AS32" s="19" t="str">
        <f t="shared" si="52"/>
        <v/>
      </c>
      <c r="AT32" s="19" t="str">
        <f t="shared" si="53"/>
        <v/>
      </c>
      <c r="AU32" s="19" t="str">
        <f t="shared" si="54"/>
        <v/>
      </c>
      <c r="AV32" s="19" t="str">
        <f t="shared" si="55"/>
        <v/>
      </c>
      <c r="AW32" s="19" t="str">
        <f t="shared" si="56"/>
        <v/>
      </c>
      <c r="AX32" s="19" t="str">
        <f t="shared" si="57"/>
        <v/>
      </c>
      <c r="AY32" s="19" t="str">
        <f t="shared" si="58"/>
        <v/>
      </c>
      <c r="AZ32" s="19" t="str">
        <f t="shared" si="59"/>
        <v/>
      </c>
      <c r="BA32" s="19" t="str">
        <f t="shared" si="60"/>
        <v/>
      </c>
      <c r="BB32" s="19" t="str">
        <f t="shared" si="61"/>
        <v/>
      </c>
      <c r="BC32" s="19" t="str">
        <f t="shared" si="62"/>
        <v/>
      </c>
      <c r="BD32" s="19" t="str">
        <f t="shared" si="63"/>
        <v/>
      </c>
      <c r="BE32" s="19" t="str">
        <f t="shared" si="64"/>
        <v/>
      </c>
      <c r="BF32" s="19" t="str">
        <f t="shared" si="65"/>
        <v/>
      </c>
      <c r="BG32" s="19" t="str">
        <f t="shared" si="66"/>
        <v/>
      </c>
      <c r="BH32" s="19" t="str">
        <f t="shared" si="67"/>
        <v/>
      </c>
      <c r="BI32" s="19" t="str">
        <f t="shared" si="68"/>
        <v/>
      </c>
      <c r="BJ32" s="19" t="str">
        <f t="shared" si="69"/>
        <v/>
      </c>
    </row>
    <row r="33" spans="1:62">
      <c r="A33" s="12">
        <f t="shared" si="70"/>
        <v>19</v>
      </c>
      <c r="B33" s="19" t="str">
        <f t="shared" si="9"/>
        <v/>
      </c>
      <c r="C33" s="19" t="str">
        <f t="shared" si="10"/>
        <v/>
      </c>
      <c r="D33" s="19" t="str">
        <f t="shared" si="11"/>
        <v/>
      </c>
      <c r="E33" s="19" t="str">
        <f t="shared" si="12"/>
        <v/>
      </c>
      <c r="F33" s="19" t="str">
        <f t="shared" si="13"/>
        <v/>
      </c>
      <c r="G33" s="19" t="str">
        <f t="shared" si="14"/>
        <v/>
      </c>
      <c r="H33" s="19" t="str">
        <f t="shared" si="15"/>
        <v/>
      </c>
      <c r="I33" s="19" t="str">
        <f t="shared" si="16"/>
        <v/>
      </c>
      <c r="J33" s="19" t="str">
        <f t="shared" si="17"/>
        <v/>
      </c>
      <c r="K33" s="19" t="str">
        <f t="shared" si="18"/>
        <v/>
      </c>
      <c r="L33" s="19" t="str">
        <f t="shared" si="19"/>
        <v/>
      </c>
      <c r="M33" s="19" t="str">
        <f t="shared" si="20"/>
        <v/>
      </c>
      <c r="N33" s="19" t="str">
        <f t="shared" si="21"/>
        <v/>
      </c>
      <c r="O33" s="19" t="str">
        <f t="shared" si="22"/>
        <v/>
      </c>
      <c r="P33" s="19" t="str">
        <f t="shared" si="23"/>
        <v/>
      </c>
      <c r="Q33" s="19" t="str">
        <f t="shared" si="24"/>
        <v/>
      </c>
      <c r="R33" s="19" t="str">
        <f t="shared" si="25"/>
        <v/>
      </c>
      <c r="S33" s="19" t="str">
        <f t="shared" si="26"/>
        <v/>
      </c>
      <c r="T33" s="19" t="str">
        <f t="shared" si="27"/>
        <v/>
      </c>
      <c r="U33" s="19">
        <f t="shared" si="28"/>
        <v>4.0891050287696941E-3</v>
      </c>
      <c r="V33" s="19">
        <f t="shared" si="29"/>
        <v>4.8062761997222109E-3</v>
      </c>
      <c r="W33" s="19">
        <f t="shared" si="30"/>
        <v>5.3922898211518798E-3</v>
      </c>
      <c r="X33" s="19">
        <f t="shared" si="31"/>
        <v>6.7193909417345285E-3</v>
      </c>
      <c r="Y33" s="19">
        <f t="shared" si="32"/>
        <v>7.5548366625502175E-3</v>
      </c>
      <c r="Z33" s="19">
        <f t="shared" si="33"/>
        <v>8.8636268755422597E-3</v>
      </c>
      <c r="AA33" s="19">
        <f t="shared" si="34"/>
        <v>1.0412794785184738E-2</v>
      </c>
      <c r="AB33" s="19">
        <f t="shared" si="35"/>
        <v>1.1774914966106456E-2</v>
      </c>
      <c r="AC33" s="19">
        <f t="shared" si="36"/>
        <v>1.3622418711323001E-2</v>
      </c>
      <c r="AD33" s="19">
        <f t="shared" si="37"/>
        <v>1.5754612267166311E-2</v>
      </c>
      <c r="AE33" s="19">
        <f t="shared" si="38"/>
        <v>1.7970937867780392E-2</v>
      </c>
      <c r="AF33" s="19">
        <f t="shared" si="39"/>
        <v>2.0400337602422752E-2</v>
      </c>
      <c r="AG33" s="19">
        <f t="shared" si="40"/>
        <v>2.3370824436211635E-2</v>
      </c>
      <c r="AH33" s="19">
        <f t="shared" si="41"/>
        <v>2.6497186352201944E-2</v>
      </c>
      <c r="AI33" s="19">
        <f t="shared" si="42"/>
        <v>3.0579464091714074E-2</v>
      </c>
      <c r="AJ33" s="19">
        <f t="shared" si="43"/>
        <v>3.4841782791739745E-2</v>
      </c>
      <c r="AK33" s="19">
        <f t="shared" si="44"/>
        <v>3.9693749257459325E-2</v>
      </c>
      <c r="AL33" s="19">
        <f t="shared" si="45"/>
        <v>4.4395133386218727E-2</v>
      </c>
      <c r="AM33" s="19">
        <f t="shared" si="46"/>
        <v>5.0020722256944691E-2</v>
      </c>
      <c r="AN33" s="19">
        <f t="shared" si="47"/>
        <v>5.5792775782582252E-2</v>
      </c>
      <c r="AO33" s="19">
        <f t="shared" si="48"/>
        <v>6.1674010827181151E-2</v>
      </c>
      <c r="AP33" s="19" t="str">
        <f t="shared" si="49"/>
        <v/>
      </c>
      <c r="AQ33" s="19" t="str">
        <f t="shared" si="50"/>
        <v/>
      </c>
      <c r="AR33" s="19" t="str">
        <f t="shared" si="51"/>
        <v/>
      </c>
      <c r="AS33" s="19" t="str">
        <f t="shared" si="52"/>
        <v/>
      </c>
      <c r="AT33" s="19" t="str">
        <f t="shared" si="53"/>
        <v/>
      </c>
      <c r="AU33" s="19" t="str">
        <f t="shared" si="54"/>
        <v/>
      </c>
      <c r="AV33" s="19" t="str">
        <f t="shared" si="55"/>
        <v/>
      </c>
      <c r="AW33" s="19" t="str">
        <f t="shared" si="56"/>
        <v/>
      </c>
      <c r="AX33" s="19" t="str">
        <f t="shared" si="57"/>
        <v/>
      </c>
      <c r="AY33" s="19" t="str">
        <f t="shared" si="58"/>
        <v/>
      </c>
      <c r="AZ33" s="19" t="str">
        <f t="shared" si="59"/>
        <v/>
      </c>
      <c r="BA33" s="19" t="str">
        <f t="shared" si="60"/>
        <v/>
      </c>
      <c r="BB33" s="19" t="str">
        <f t="shared" si="61"/>
        <v/>
      </c>
      <c r="BC33" s="19" t="str">
        <f t="shared" si="62"/>
        <v/>
      </c>
      <c r="BD33" s="19" t="str">
        <f t="shared" si="63"/>
        <v/>
      </c>
      <c r="BE33" s="19" t="str">
        <f t="shared" si="64"/>
        <v/>
      </c>
      <c r="BF33" s="19" t="str">
        <f t="shared" si="65"/>
        <v/>
      </c>
      <c r="BG33" s="19" t="str">
        <f t="shared" si="66"/>
        <v/>
      </c>
      <c r="BH33" s="19" t="str">
        <f t="shared" si="67"/>
        <v/>
      </c>
      <c r="BI33" s="19" t="str">
        <f t="shared" si="68"/>
        <v/>
      </c>
      <c r="BJ33" s="19" t="str">
        <f t="shared" si="69"/>
        <v/>
      </c>
    </row>
    <row r="34" spans="1:62">
      <c r="A34" s="12">
        <f t="shared" si="70"/>
        <v>20</v>
      </c>
      <c r="B34" s="19" t="str">
        <f t="shared" si="9"/>
        <v/>
      </c>
      <c r="C34" s="19" t="str">
        <f t="shared" si="10"/>
        <v/>
      </c>
      <c r="D34" s="19" t="str">
        <f t="shared" si="11"/>
        <v/>
      </c>
      <c r="E34" s="19" t="str">
        <f t="shared" si="12"/>
        <v/>
      </c>
      <c r="F34" s="19" t="str">
        <f t="shared" si="13"/>
        <v/>
      </c>
      <c r="G34" s="19" t="str">
        <f t="shared" si="14"/>
        <v/>
      </c>
      <c r="H34" s="19" t="str">
        <f t="shared" si="15"/>
        <v/>
      </c>
      <c r="I34" s="19" t="str">
        <f t="shared" si="16"/>
        <v/>
      </c>
      <c r="J34" s="19" t="str">
        <f t="shared" si="17"/>
        <v/>
      </c>
      <c r="K34" s="19" t="str">
        <f t="shared" si="18"/>
        <v/>
      </c>
      <c r="L34" s="19" t="str">
        <f t="shared" si="19"/>
        <v/>
      </c>
      <c r="M34" s="19" t="str">
        <f t="shared" si="20"/>
        <v/>
      </c>
      <c r="N34" s="19" t="str">
        <f t="shared" si="21"/>
        <v/>
      </c>
      <c r="O34" s="19" t="str">
        <f t="shared" si="22"/>
        <v/>
      </c>
      <c r="P34" s="19" t="str">
        <f t="shared" si="23"/>
        <v/>
      </c>
      <c r="Q34" s="19" t="str">
        <f t="shared" si="24"/>
        <v/>
      </c>
      <c r="R34" s="19" t="str">
        <f t="shared" si="25"/>
        <v/>
      </c>
      <c r="S34" s="19" t="str">
        <f t="shared" si="26"/>
        <v/>
      </c>
      <c r="T34" s="19" t="str">
        <f t="shared" si="27"/>
        <v/>
      </c>
      <c r="U34" s="19" t="str">
        <f t="shared" si="28"/>
        <v/>
      </c>
      <c r="V34" s="19">
        <f t="shared" si="29"/>
        <v>3.7554106023745854E-3</v>
      </c>
      <c r="W34" s="19">
        <f t="shared" si="30"/>
        <v>4.2051193949566145E-3</v>
      </c>
      <c r="X34" s="19">
        <f t="shared" si="31"/>
        <v>5.2897675722686039E-3</v>
      </c>
      <c r="Y34" s="19">
        <f t="shared" si="32"/>
        <v>5.9395828579926402E-3</v>
      </c>
      <c r="Z34" s="19">
        <f t="shared" si="33"/>
        <v>6.995049491618493E-3</v>
      </c>
      <c r="AA34" s="19">
        <f t="shared" si="34"/>
        <v>8.2547103116792989E-3</v>
      </c>
      <c r="AB34" s="19">
        <f t="shared" si="35"/>
        <v>9.333258602105491E-3</v>
      </c>
      <c r="AC34" s="19">
        <f t="shared" si="36"/>
        <v>1.0833345343330102E-2</v>
      </c>
      <c r="AD34" s="19">
        <f t="shared" si="37"/>
        <v>1.2576244223186881E-2</v>
      </c>
      <c r="AE34" s="19">
        <f t="shared" si="38"/>
        <v>1.4374494551076663E-2</v>
      </c>
      <c r="AF34" s="19">
        <f t="shared" si="39"/>
        <v>1.6343259755909695E-2</v>
      </c>
      <c r="AG34" s="19">
        <f t="shared" si="40"/>
        <v>1.8792859543379128E-2</v>
      </c>
      <c r="AH34" s="19">
        <f t="shared" si="41"/>
        <v>2.1354153341942999E-2</v>
      </c>
      <c r="AI34" s="19">
        <f t="shared" si="42"/>
        <v>2.4828442126075604E-2</v>
      </c>
      <c r="AJ34" s="19">
        <f t="shared" si="43"/>
        <v>2.8456790226369998E-2</v>
      </c>
      <c r="AK34" s="19">
        <f t="shared" si="44"/>
        <v>3.2676026111309257E-2</v>
      </c>
      <c r="AL34" s="19">
        <f t="shared" si="45"/>
        <v>3.6666670648060069E-2</v>
      </c>
      <c r="AM34" s="19">
        <f t="shared" si="46"/>
        <v>4.1692627990589669E-2</v>
      </c>
      <c r="AN34" s="19">
        <f t="shared" si="47"/>
        <v>4.6923539433615644E-2</v>
      </c>
      <c r="AO34" s="19">
        <f t="shared" si="48"/>
        <v>5.2315990925463997E-2</v>
      </c>
      <c r="AP34" s="19" t="str">
        <f t="shared" si="49"/>
        <v/>
      </c>
      <c r="AQ34" s="19" t="str">
        <f t="shared" si="50"/>
        <v/>
      </c>
      <c r="AR34" s="19" t="str">
        <f t="shared" si="51"/>
        <v/>
      </c>
      <c r="AS34" s="19" t="str">
        <f t="shared" si="52"/>
        <v/>
      </c>
      <c r="AT34" s="19" t="str">
        <f t="shared" si="53"/>
        <v/>
      </c>
      <c r="AU34" s="19" t="str">
        <f t="shared" si="54"/>
        <v/>
      </c>
      <c r="AV34" s="19" t="str">
        <f t="shared" si="55"/>
        <v/>
      </c>
      <c r="AW34" s="19" t="str">
        <f t="shared" si="56"/>
        <v/>
      </c>
      <c r="AX34" s="19" t="str">
        <f t="shared" si="57"/>
        <v/>
      </c>
      <c r="AY34" s="19" t="str">
        <f t="shared" si="58"/>
        <v/>
      </c>
      <c r="AZ34" s="19" t="str">
        <f t="shared" si="59"/>
        <v/>
      </c>
      <c r="BA34" s="19" t="str">
        <f t="shared" si="60"/>
        <v/>
      </c>
      <c r="BB34" s="19" t="str">
        <f t="shared" si="61"/>
        <v/>
      </c>
      <c r="BC34" s="19" t="str">
        <f t="shared" si="62"/>
        <v/>
      </c>
      <c r="BD34" s="19" t="str">
        <f t="shared" si="63"/>
        <v/>
      </c>
      <c r="BE34" s="19" t="str">
        <f t="shared" si="64"/>
        <v/>
      </c>
      <c r="BF34" s="19" t="str">
        <f t="shared" si="65"/>
        <v/>
      </c>
      <c r="BG34" s="19" t="str">
        <f t="shared" si="66"/>
        <v/>
      </c>
      <c r="BH34" s="19" t="str">
        <f t="shared" si="67"/>
        <v/>
      </c>
      <c r="BI34" s="19" t="str">
        <f t="shared" si="68"/>
        <v/>
      </c>
      <c r="BJ34" s="19" t="str">
        <f t="shared" si="69"/>
        <v/>
      </c>
    </row>
    <row r="35" spans="1:62">
      <c r="A35" s="12">
        <f t="shared" si="70"/>
        <v>21</v>
      </c>
      <c r="B35" s="19" t="str">
        <f t="shared" si="9"/>
        <v/>
      </c>
      <c r="C35" s="19" t="str">
        <f t="shared" si="10"/>
        <v/>
      </c>
      <c r="D35" s="19" t="str">
        <f t="shared" si="11"/>
        <v/>
      </c>
      <c r="E35" s="19" t="str">
        <f t="shared" si="12"/>
        <v/>
      </c>
      <c r="F35" s="19" t="str">
        <f t="shared" si="13"/>
        <v/>
      </c>
      <c r="G35" s="19" t="str">
        <f t="shared" si="14"/>
        <v/>
      </c>
      <c r="H35" s="19" t="str">
        <f t="shared" si="15"/>
        <v/>
      </c>
      <c r="I35" s="19" t="str">
        <f t="shared" si="16"/>
        <v/>
      </c>
      <c r="J35" s="19" t="str">
        <f t="shared" si="17"/>
        <v/>
      </c>
      <c r="K35" s="19" t="str">
        <f t="shared" si="18"/>
        <v/>
      </c>
      <c r="L35" s="19" t="str">
        <f t="shared" si="19"/>
        <v/>
      </c>
      <c r="M35" s="19" t="str">
        <f t="shared" si="20"/>
        <v/>
      </c>
      <c r="N35" s="19" t="str">
        <f t="shared" si="21"/>
        <v/>
      </c>
      <c r="O35" s="19" t="str">
        <f t="shared" si="22"/>
        <v/>
      </c>
      <c r="P35" s="19" t="str">
        <f t="shared" si="23"/>
        <v/>
      </c>
      <c r="Q35" s="19" t="str">
        <f t="shared" si="24"/>
        <v/>
      </c>
      <c r="R35" s="19" t="str">
        <f t="shared" si="25"/>
        <v/>
      </c>
      <c r="S35" s="19" t="str">
        <f t="shared" si="26"/>
        <v/>
      </c>
      <c r="T35" s="19" t="str">
        <f t="shared" si="27"/>
        <v/>
      </c>
      <c r="U35" s="19" t="str">
        <f t="shared" si="28"/>
        <v/>
      </c>
      <c r="V35" s="19" t="str">
        <f t="shared" si="29"/>
        <v/>
      </c>
      <c r="W35" s="19">
        <f t="shared" si="30"/>
        <v>3.279317268236688E-3</v>
      </c>
      <c r="X35" s="19">
        <f t="shared" si="31"/>
        <v>4.1643120948401556E-3</v>
      </c>
      <c r="Y35" s="19">
        <f t="shared" si="32"/>
        <v>4.6696766724075439E-3</v>
      </c>
      <c r="Z35" s="19">
        <f t="shared" si="33"/>
        <v>5.5203945379524617E-3</v>
      </c>
      <c r="AA35" s="19">
        <f t="shared" si="34"/>
        <v>6.5438956337345736E-3</v>
      </c>
      <c r="AB35" s="19">
        <f t="shared" si="35"/>
        <v>7.3979061746532702E-3</v>
      </c>
      <c r="AC35" s="19">
        <f t="shared" si="36"/>
        <v>8.6153108207062245E-3</v>
      </c>
      <c r="AD35" s="19">
        <f t="shared" si="37"/>
        <v>1.0039086718170885E-2</v>
      </c>
      <c r="AE35" s="19">
        <f t="shared" si="38"/>
        <v>1.1497791329487984E-2</v>
      </c>
      <c r="AF35" s="19">
        <f t="shared" si="39"/>
        <v>1.3093025451569793E-2</v>
      </c>
      <c r="AG35" s="19">
        <f t="shared" si="40"/>
        <v>1.5111643612792653E-2</v>
      </c>
      <c r="AH35" s="19">
        <f t="shared" si="41"/>
        <v>1.7209369285102277E-2</v>
      </c>
      <c r="AI35" s="19">
        <f t="shared" si="42"/>
        <v>2.0159003982510002E-2</v>
      </c>
      <c r="AJ35" s="19">
        <f t="shared" si="43"/>
        <v>2.3241890773155586E-2</v>
      </c>
      <c r="AK35" s="19">
        <f t="shared" si="44"/>
        <v>2.6899013129285484E-2</v>
      </c>
      <c r="AL35" s="19">
        <f t="shared" si="45"/>
        <v>3.0283606194336982E-2</v>
      </c>
      <c r="AM35" s="19">
        <f t="shared" si="46"/>
        <v>3.4751102149876804E-2</v>
      </c>
      <c r="AN35" s="19">
        <f t="shared" si="47"/>
        <v>3.9464223138104923E-2</v>
      </c>
      <c r="AO35" s="19">
        <f t="shared" si="48"/>
        <v>4.4377897104544872E-2</v>
      </c>
      <c r="AP35" s="19" t="str">
        <f t="shared" si="49"/>
        <v/>
      </c>
      <c r="AQ35" s="19" t="str">
        <f t="shared" si="50"/>
        <v/>
      </c>
      <c r="AR35" s="19" t="str">
        <f t="shared" si="51"/>
        <v/>
      </c>
      <c r="AS35" s="19" t="str">
        <f t="shared" si="52"/>
        <v/>
      </c>
      <c r="AT35" s="19" t="str">
        <f t="shared" si="53"/>
        <v/>
      </c>
      <c r="AU35" s="19" t="str">
        <f t="shared" si="54"/>
        <v/>
      </c>
      <c r="AV35" s="19" t="str">
        <f t="shared" si="55"/>
        <v/>
      </c>
      <c r="AW35" s="19" t="str">
        <f t="shared" si="56"/>
        <v/>
      </c>
      <c r="AX35" s="19" t="str">
        <f t="shared" si="57"/>
        <v/>
      </c>
      <c r="AY35" s="19" t="str">
        <f t="shared" si="58"/>
        <v/>
      </c>
      <c r="AZ35" s="19" t="str">
        <f t="shared" si="59"/>
        <v/>
      </c>
      <c r="BA35" s="19" t="str">
        <f t="shared" si="60"/>
        <v/>
      </c>
      <c r="BB35" s="19" t="str">
        <f t="shared" si="61"/>
        <v/>
      </c>
      <c r="BC35" s="19" t="str">
        <f t="shared" si="62"/>
        <v/>
      </c>
      <c r="BD35" s="19" t="str">
        <f t="shared" si="63"/>
        <v/>
      </c>
      <c r="BE35" s="19" t="str">
        <f t="shared" si="64"/>
        <v/>
      </c>
      <c r="BF35" s="19" t="str">
        <f t="shared" si="65"/>
        <v/>
      </c>
      <c r="BG35" s="19" t="str">
        <f t="shared" si="66"/>
        <v/>
      </c>
      <c r="BH35" s="19" t="str">
        <f t="shared" si="67"/>
        <v/>
      </c>
      <c r="BI35" s="19" t="str">
        <f t="shared" si="68"/>
        <v/>
      </c>
      <c r="BJ35" s="19" t="str">
        <f t="shared" si="69"/>
        <v/>
      </c>
    </row>
    <row r="36" spans="1:62">
      <c r="A36" s="12">
        <f t="shared" si="70"/>
        <v>22</v>
      </c>
      <c r="B36" s="19" t="str">
        <f t="shared" si="9"/>
        <v/>
      </c>
      <c r="C36" s="19" t="str">
        <f t="shared" si="10"/>
        <v/>
      </c>
      <c r="D36" s="19" t="str">
        <f t="shared" si="11"/>
        <v/>
      </c>
      <c r="E36" s="19" t="str">
        <f t="shared" si="12"/>
        <v/>
      </c>
      <c r="F36" s="19" t="str">
        <f t="shared" si="13"/>
        <v/>
      </c>
      <c r="G36" s="19" t="str">
        <f t="shared" si="14"/>
        <v/>
      </c>
      <c r="H36" s="19" t="str">
        <f t="shared" si="15"/>
        <v/>
      </c>
      <c r="I36" s="19" t="str">
        <f t="shared" si="16"/>
        <v/>
      </c>
      <c r="J36" s="19" t="str">
        <f t="shared" si="17"/>
        <v/>
      </c>
      <c r="K36" s="19" t="str">
        <f t="shared" si="18"/>
        <v/>
      </c>
      <c r="L36" s="19" t="str">
        <f t="shared" si="19"/>
        <v/>
      </c>
      <c r="M36" s="19" t="str">
        <f t="shared" si="20"/>
        <v/>
      </c>
      <c r="N36" s="19" t="str">
        <f t="shared" si="21"/>
        <v/>
      </c>
      <c r="O36" s="19" t="str">
        <f t="shared" si="22"/>
        <v/>
      </c>
      <c r="P36" s="19" t="str">
        <f t="shared" si="23"/>
        <v/>
      </c>
      <c r="Q36" s="19" t="str">
        <f t="shared" si="24"/>
        <v/>
      </c>
      <c r="R36" s="19" t="str">
        <f t="shared" si="25"/>
        <v/>
      </c>
      <c r="S36" s="19" t="str">
        <f t="shared" si="26"/>
        <v/>
      </c>
      <c r="T36" s="19" t="str">
        <f t="shared" si="27"/>
        <v/>
      </c>
      <c r="U36" s="19" t="str">
        <f t="shared" si="28"/>
        <v/>
      </c>
      <c r="V36" s="19" t="str">
        <f t="shared" si="29"/>
        <v/>
      </c>
      <c r="W36" s="19" t="str">
        <f t="shared" si="30"/>
        <v/>
      </c>
      <c r="X36" s="19">
        <f t="shared" si="31"/>
        <v>3.2783094883306598E-3</v>
      </c>
      <c r="Y36" s="19">
        <f t="shared" si="32"/>
        <v>3.6712814260152905E-3</v>
      </c>
      <c r="Z36" s="19">
        <f t="shared" si="33"/>
        <v>4.356617618098399E-3</v>
      </c>
      <c r="AA36" s="19">
        <f t="shared" si="34"/>
        <v>5.1876526792978151E-3</v>
      </c>
      <c r="AB36" s="19">
        <f t="shared" si="35"/>
        <v>5.8638700696267707E-3</v>
      </c>
      <c r="AC36" s="19">
        <f t="shared" si="36"/>
        <v>6.8513998386542626E-3</v>
      </c>
      <c r="AD36" s="19">
        <f t="shared" si="37"/>
        <v>8.0137806125886515E-3</v>
      </c>
      <c r="AE36" s="19">
        <f t="shared" si="38"/>
        <v>9.1967898409719886E-3</v>
      </c>
      <c r="AF36" s="19">
        <f t="shared" si="39"/>
        <v>1.0489175234057365E-2</v>
      </c>
      <c r="AG36" s="19">
        <f t="shared" si="40"/>
        <v>1.2151518088715275E-2</v>
      </c>
      <c r="AH36" s="19">
        <f t="shared" si="41"/>
        <v>1.3869076729411275E-2</v>
      </c>
      <c r="AI36" s="19">
        <f t="shared" si="42"/>
        <v>1.6367738237593871E-2</v>
      </c>
      <c r="AJ36" s="19">
        <f t="shared" si="43"/>
        <v>1.8982656948102396E-2</v>
      </c>
      <c r="AK36" s="19">
        <f t="shared" si="44"/>
        <v>2.2143356871631582E-2</v>
      </c>
      <c r="AL36" s="19">
        <f t="shared" si="45"/>
        <v>2.5011728305967866E-2</v>
      </c>
      <c r="AM36" s="19">
        <f t="shared" si="46"/>
        <v>2.8965290959920904E-2</v>
      </c>
      <c r="AN36" s="19">
        <f t="shared" si="47"/>
        <v>3.3190695473803267E-2</v>
      </c>
      <c r="AO36" s="19">
        <f t="shared" si="48"/>
        <v>3.7644278863558679E-2</v>
      </c>
      <c r="AP36" s="19" t="str">
        <f t="shared" si="49"/>
        <v/>
      </c>
      <c r="AQ36" s="19" t="str">
        <f t="shared" si="50"/>
        <v/>
      </c>
      <c r="AR36" s="19" t="str">
        <f t="shared" si="51"/>
        <v/>
      </c>
      <c r="AS36" s="19" t="str">
        <f t="shared" si="52"/>
        <v/>
      </c>
      <c r="AT36" s="19" t="str">
        <f t="shared" si="53"/>
        <v/>
      </c>
      <c r="AU36" s="19" t="str">
        <f t="shared" si="54"/>
        <v/>
      </c>
      <c r="AV36" s="19" t="str">
        <f t="shared" si="55"/>
        <v/>
      </c>
      <c r="AW36" s="19" t="str">
        <f t="shared" si="56"/>
        <v/>
      </c>
      <c r="AX36" s="19" t="str">
        <f t="shared" si="57"/>
        <v/>
      </c>
      <c r="AY36" s="19" t="str">
        <f t="shared" si="58"/>
        <v/>
      </c>
      <c r="AZ36" s="19" t="str">
        <f t="shared" si="59"/>
        <v/>
      </c>
      <c r="BA36" s="19" t="str">
        <f t="shared" si="60"/>
        <v/>
      </c>
      <c r="BB36" s="19" t="str">
        <f t="shared" si="61"/>
        <v/>
      </c>
      <c r="BC36" s="19" t="str">
        <f t="shared" si="62"/>
        <v/>
      </c>
      <c r="BD36" s="19" t="str">
        <f t="shared" si="63"/>
        <v/>
      </c>
      <c r="BE36" s="19" t="str">
        <f t="shared" si="64"/>
        <v/>
      </c>
      <c r="BF36" s="19" t="str">
        <f t="shared" si="65"/>
        <v/>
      </c>
      <c r="BG36" s="19" t="str">
        <f t="shared" si="66"/>
        <v/>
      </c>
      <c r="BH36" s="19" t="str">
        <f t="shared" si="67"/>
        <v/>
      </c>
      <c r="BI36" s="19" t="str">
        <f t="shared" si="68"/>
        <v/>
      </c>
      <c r="BJ36" s="19" t="str">
        <f t="shared" si="69"/>
        <v/>
      </c>
    </row>
    <row r="37" spans="1:62">
      <c r="A37" s="12">
        <f t="shared" si="70"/>
        <v>23</v>
      </c>
      <c r="B37" s="19" t="str">
        <f t="shared" si="9"/>
        <v/>
      </c>
      <c r="C37" s="19" t="str">
        <f t="shared" si="10"/>
        <v/>
      </c>
      <c r="D37" s="19" t="str">
        <f t="shared" si="11"/>
        <v/>
      </c>
      <c r="E37" s="19" t="str">
        <f t="shared" si="12"/>
        <v/>
      </c>
      <c r="F37" s="19" t="str">
        <f t="shared" si="13"/>
        <v/>
      </c>
      <c r="G37" s="19" t="str">
        <f t="shared" si="14"/>
        <v/>
      </c>
      <c r="H37" s="19" t="str">
        <f t="shared" si="15"/>
        <v/>
      </c>
      <c r="I37" s="19" t="str">
        <f t="shared" si="16"/>
        <v/>
      </c>
      <c r="J37" s="19" t="str">
        <f t="shared" si="17"/>
        <v/>
      </c>
      <c r="K37" s="19" t="str">
        <f t="shared" si="18"/>
        <v/>
      </c>
      <c r="L37" s="19" t="str">
        <f t="shared" si="19"/>
        <v/>
      </c>
      <c r="M37" s="19" t="str">
        <f t="shared" si="20"/>
        <v/>
      </c>
      <c r="N37" s="19" t="str">
        <f t="shared" si="21"/>
        <v/>
      </c>
      <c r="O37" s="19" t="str">
        <f t="shared" si="22"/>
        <v/>
      </c>
      <c r="P37" s="19" t="str">
        <f t="shared" si="23"/>
        <v/>
      </c>
      <c r="Q37" s="19" t="str">
        <f t="shared" si="24"/>
        <v/>
      </c>
      <c r="R37" s="19" t="str">
        <f t="shared" si="25"/>
        <v/>
      </c>
      <c r="S37" s="19" t="str">
        <f t="shared" si="26"/>
        <v/>
      </c>
      <c r="T37" s="19" t="str">
        <f t="shared" si="27"/>
        <v/>
      </c>
      <c r="U37" s="19" t="str">
        <f t="shared" si="28"/>
        <v/>
      </c>
      <c r="V37" s="19" t="str">
        <f t="shared" si="29"/>
        <v/>
      </c>
      <c r="W37" s="19" t="str">
        <f t="shared" si="30"/>
        <v/>
      </c>
      <c r="X37" s="19" t="str">
        <f t="shared" si="31"/>
        <v/>
      </c>
      <c r="Y37" s="19">
        <f t="shared" si="32"/>
        <v>2.8863470116991755E-3</v>
      </c>
      <c r="Z37" s="19">
        <f t="shared" si="33"/>
        <v>3.4381812640089261E-3</v>
      </c>
      <c r="AA37" s="19">
        <f t="shared" si="34"/>
        <v>4.1124953433383819E-3</v>
      </c>
      <c r="AB37" s="19">
        <f t="shared" si="35"/>
        <v>4.6479329936995641E-3</v>
      </c>
      <c r="AC37" s="19">
        <f t="shared" si="36"/>
        <v>5.448634498048637E-3</v>
      </c>
      <c r="AD37" s="19">
        <f t="shared" si="37"/>
        <v>6.3970639471080011E-3</v>
      </c>
      <c r="AE37" s="19">
        <f t="shared" si="38"/>
        <v>7.3562774758386667E-3</v>
      </c>
      <c r="AF37" s="19">
        <f t="shared" si="39"/>
        <v>8.4031607131391586E-3</v>
      </c>
      <c r="AG37" s="19">
        <f t="shared" si="40"/>
        <v>9.7712330732425776E-3</v>
      </c>
      <c r="AH37" s="19">
        <f t="shared" si="41"/>
        <v>1.1177126025926533E-2</v>
      </c>
      <c r="AI37" s="19">
        <f t="shared" si="42"/>
        <v>1.3289488669520858E-2</v>
      </c>
      <c r="AJ37" s="19">
        <f t="shared" si="43"/>
        <v>1.5503956555270227E-2</v>
      </c>
      <c r="AK37" s="19">
        <f t="shared" si="44"/>
        <v>1.8228484858821965E-2</v>
      </c>
      <c r="AL37" s="19">
        <f t="shared" si="45"/>
        <v>2.0657597673045244E-2</v>
      </c>
      <c r="AM37" s="19">
        <f t="shared" si="46"/>
        <v>2.4142776156406018E-2</v>
      </c>
      <c r="AN37" s="19">
        <f t="shared" si="47"/>
        <v>2.7914454623359012E-2</v>
      </c>
      <c r="AO37" s="19">
        <f t="shared" si="48"/>
        <v>3.1932376782500632E-2</v>
      </c>
      <c r="AP37" s="19" t="str">
        <f t="shared" si="49"/>
        <v/>
      </c>
      <c r="AQ37" s="19" t="str">
        <f t="shared" si="50"/>
        <v/>
      </c>
      <c r="AR37" s="19" t="str">
        <f t="shared" si="51"/>
        <v/>
      </c>
      <c r="AS37" s="19" t="str">
        <f t="shared" si="52"/>
        <v/>
      </c>
      <c r="AT37" s="19" t="str">
        <f t="shared" si="53"/>
        <v/>
      </c>
      <c r="AU37" s="19" t="str">
        <f t="shared" si="54"/>
        <v/>
      </c>
      <c r="AV37" s="19" t="str">
        <f t="shared" si="55"/>
        <v/>
      </c>
      <c r="AW37" s="19" t="str">
        <f t="shared" si="56"/>
        <v/>
      </c>
      <c r="AX37" s="19" t="str">
        <f t="shared" si="57"/>
        <v/>
      </c>
      <c r="AY37" s="19" t="str">
        <f t="shared" si="58"/>
        <v/>
      </c>
      <c r="AZ37" s="19" t="str">
        <f t="shared" si="59"/>
        <v/>
      </c>
      <c r="BA37" s="19" t="str">
        <f t="shared" si="60"/>
        <v/>
      </c>
      <c r="BB37" s="19" t="str">
        <f t="shared" si="61"/>
        <v/>
      </c>
      <c r="BC37" s="19" t="str">
        <f t="shared" si="62"/>
        <v/>
      </c>
      <c r="BD37" s="19" t="str">
        <f t="shared" si="63"/>
        <v/>
      </c>
      <c r="BE37" s="19" t="str">
        <f t="shared" si="64"/>
        <v/>
      </c>
      <c r="BF37" s="19" t="str">
        <f t="shared" si="65"/>
        <v/>
      </c>
      <c r="BG37" s="19" t="str">
        <f t="shared" si="66"/>
        <v/>
      </c>
      <c r="BH37" s="19" t="str">
        <f t="shared" si="67"/>
        <v/>
      </c>
      <c r="BI37" s="19" t="str">
        <f t="shared" si="68"/>
        <v/>
      </c>
      <c r="BJ37" s="19" t="str">
        <f t="shared" si="69"/>
        <v/>
      </c>
    </row>
    <row r="38" spans="1:62">
      <c r="A38" s="12">
        <f t="shared" si="70"/>
        <v>24</v>
      </c>
      <c r="B38" s="19" t="str">
        <f t="shared" si="9"/>
        <v/>
      </c>
      <c r="C38" s="19" t="str">
        <f t="shared" si="10"/>
        <v/>
      </c>
      <c r="D38" s="19" t="str">
        <f t="shared" si="11"/>
        <v/>
      </c>
      <c r="E38" s="19" t="str">
        <f t="shared" si="12"/>
        <v/>
      </c>
      <c r="F38" s="19" t="str">
        <f t="shared" si="13"/>
        <v/>
      </c>
      <c r="G38" s="19" t="str">
        <f t="shared" si="14"/>
        <v/>
      </c>
      <c r="H38" s="19" t="str">
        <f t="shared" si="15"/>
        <v/>
      </c>
      <c r="I38" s="19" t="str">
        <f t="shared" si="16"/>
        <v/>
      </c>
      <c r="J38" s="19" t="str">
        <f t="shared" si="17"/>
        <v/>
      </c>
      <c r="K38" s="19" t="str">
        <f t="shared" si="18"/>
        <v/>
      </c>
      <c r="L38" s="19" t="str">
        <f t="shared" si="19"/>
        <v/>
      </c>
      <c r="M38" s="19" t="str">
        <f t="shared" si="20"/>
        <v/>
      </c>
      <c r="N38" s="19" t="str">
        <f t="shared" si="21"/>
        <v/>
      </c>
      <c r="O38" s="19" t="str">
        <f t="shared" si="22"/>
        <v/>
      </c>
      <c r="P38" s="19" t="str">
        <f t="shared" si="23"/>
        <v/>
      </c>
      <c r="Q38" s="19" t="str">
        <f t="shared" si="24"/>
        <v/>
      </c>
      <c r="R38" s="19" t="str">
        <f t="shared" si="25"/>
        <v/>
      </c>
      <c r="S38" s="19" t="str">
        <f t="shared" si="26"/>
        <v/>
      </c>
      <c r="T38" s="19" t="str">
        <f t="shared" si="27"/>
        <v/>
      </c>
      <c r="U38" s="19" t="str">
        <f t="shared" si="28"/>
        <v/>
      </c>
      <c r="V38" s="19" t="str">
        <f t="shared" si="29"/>
        <v/>
      </c>
      <c r="W38" s="19" t="str">
        <f t="shared" si="30"/>
        <v/>
      </c>
      <c r="X38" s="19" t="str">
        <f t="shared" si="31"/>
        <v/>
      </c>
      <c r="Y38" s="19" t="str">
        <f t="shared" si="32"/>
        <v/>
      </c>
      <c r="Z38" s="19">
        <f t="shared" si="33"/>
        <v>2.7133642289546983E-3</v>
      </c>
      <c r="AA38" s="19">
        <f t="shared" si="34"/>
        <v>3.2601677472496315E-3</v>
      </c>
      <c r="AB38" s="19">
        <f t="shared" si="35"/>
        <v>3.6841336621389396E-3</v>
      </c>
      <c r="AC38" s="19">
        <f t="shared" si="36"/>
        <v>4.3330733269767692E-3</v>
      </c>
      <c r="AD38" s="19">
        <f t="shared" si="37"/>
        <v>5.1065070435176328E-3</v>
      </c>
      <c r="AE38" s="19">
        <f t="shared" si="38"/>
        <v>5.8840986080216911E-3</v>
      </c>
      <c r="AF38" s="19">
        <f t="shared" si="39"/>
        <v>6.73199831208571E-3</v>
      </c>
      <c r="AG38" s="19">
        <f t="shared" si="40"/>
        <v>7.8572072291359235E-3</v>
      </c>
      <c r="AH38" s="19">
        <f t="shared" si="41"/>
        <v>9.007675754977764E-3</v>
      </c>
      <c r="AI38" s="19">
        <f t="shared" si="42"/>
        <v>1.0790159674699549E-2</v>
      </c>
      <c r="AJ38" s="19">
        <f t="shared" si="43"/>
        <v>1.2662751559219192E-2</v>
      </c>
      <c r="AK38" s="19">
        <f t="shared" si="44"/>
        <v>1.5005749226486566E-2</v>
      </c>
      <c r="AL38" s="19">
        <f t="shared" si="45"/>
        <v>1.7061449588814854E-2</v>
      </c>
      <c r="AM38" s="19">
        <f t="shared" si="46"/>
        <v>2.0123175746614996E-2</v>
      </c>
      <c r="AN38" s="19">
        <f t="shared" si="47"/>
        <v>2.3476964426207614E-2</v>
      </c>
      <c r="AO38" s="19">
        <f t="shared" si="48"/>
        <v>2.7087162186726799E-2</v>
      </c>
      <c r="AP38" s="19" t="str">
        <f t="shared" si="49"/>
        <v/>
      </c>
      <c r="AQ38" s="19" t="str">
        <f t="shared" si="50"/>
        <v/>
      </c>
      <c r="AR38" s="19" t="str">
        <f t="shared" si="51"/>
        <v/>
      </c>
      <c r="AS38" s="19" t="str">
        <f t="shared" si="52"/>
        <v/>
      </c>
      <c r="AT38" s="19" t="str">
        <f t="shared" si="53"/>
        <v/>
      </c>
      <c r="AU38" s="19" t="str">
        <f t="shared" si="54"/>
        <v/>
      </c>
      <c r="AV38" s="19" t="str">
        <f t="shared" si="55"/>
        <v/>
      </c>
      <c r="AW38" s="19" t="str">
        <f t="shared" si="56"/>
        <v/>
      </c>
      <c r="AX38" s="19" t="str">
        <f t="shared" si="57"/>
        <v/>
      </c>
      <c r="AY38" s="19" t="str">
        <f t="shared" si="58"/>
        <v/>
      </c>
      <c r="AZ38" s="19" t="str">
        <f t="shared" si="59"/>
        <v/>
      </c>
      <c r="BA38" s="19" t="str">
        <f t="shared" si="60"/>
        <v/>
      </c>
      <c r="BB38" s="19" t="str">
        <f t="shared" si="61"/>
        <v/>
      </c>
      <c r="BC38" s="19" t="str">
        <f t="shared" si="62"/>
        <v/>
      </c>
      <c r="BD38" s="19" t="str">
        <f t="shared" si="63"/>
        <v/>
      </c>
      <c r="BE38" s="19" t="str">
        <f t="shared" si="64"/>
        <v/>
      </c>
      <c r="BF38" s="19" t="str">
        <f t="shared" si="65"/>
        <v/>
      </c>
      <c r="BG38" s="19" t="str">
        <f t="shared" si="66"/>
        <v/>
      </c>
      <c r="BH38" s="19" t="str">
        <f t="shared" si="67"/>
        <v/>
      </c>
      <c r="BI38" s="19" t="str">
        <f t="shared" si="68"/>
        <v/>
      </c>
      <c r="BJ38" s="19" t="str">
        <f t="shared" si="69"/>
        <v/>
      </c>
    </row>
    <row r="39" spans="1:62">
      <c r="A39" s="12">
        <f t="shared" si="70"/>
        <v>25</v>
      </c>
      <c r="B39" s="19" t="str">
        <f t="shared" si="9"/>
        <v/>
      </c>
      <c r="C39" s="19" t="str">
        <f t="shared" si="10"/>
        <v/>
      </c>
      <c r="D39" s="19" t="str">
        <f t="shared" si="11"/>
        <v/>
      </c>
      <c r="E39" s="19" t="str">
        <f t="shared" si="12"/>
        <v/>
      </c>
      <c r="F39" s="19" t="str">
        <f t="shared" si="13"/>
        <v/>
      </c>
      <c r="G39" s="19" t="str">
        <f t="shared" si="14"/>
        <v/>
      </c>
      <c r="H39" s="19" t="str">
        <f t="shared" si="15"/>
        <v/>
      </c>
      <c r="I39" s="19" t="str">
        <f t="shared" si="16"/>
        <v/>
      </c>
      <c r="J39" s="19" t="str">
        <f t="shared" si="17"/>
        <v/>
      </c>
      <c r="K39" s="19" t="str">
        <f t="shared" si="18"/>
        <v/>
      </c>
      <c r="L39" s="19" t="str">
        <f t="shared" si="19"/>
        <v/>
      </c>
      <c r="M39" s="19" t="str">
        <f t="shared" si="20"/>
        <v/>
      </c>
      <c r="N39" s="19" t="str">
        <f t="shared" si="21"/>
        <v/>
      </c>
      <c r="O39" s="19" t="str">
        <f t="shared" si="22"/>
        <v/>
      </c>
      <c r="P39" s="19" t="str">
        <f t="shared" si="23"/>
        <v/>
      </c>
      <c r="Q39" s="19" t="str">
        <f t="shared" si="24"/>
        <v/>
      </c>
      <c r="R39" s="19" t="str">
        <f t="shared" si="25"/>
        <v/>
      </c>
      <c r="S39" s="19" t="str">
        <f t="shared" si="26"/>
        <v/>
      </c>
      <c r="T39" s="19" t="str">
        <f t="shared" si="27"/>
        <v/>
      </c>
      <c r="U39" s="19" t="str">
        <f t="shared" si="28"/>
        <v/>
      </c>
      <c r="V39" s="19" t="str">
        <f t="shared" si="29"/>
        <v/>
      </c>
      <c r="W39" s="19" t="str">
        <f t="shared" si="30"/>
        <v/>
      </c>
      <c r="X39" s="19" t="str">
        <f t="shared" si="31"/>
        <v/>
      </c>
      <c r="Y39" s="19" t="str">
        <f t="shared" si="32"/>
        <v/>
      </c>
      <c r="Z39" s="19" t="str">
        <f t="shared" si="33"/>
        <v/>
      </c>
      <c r="AA39" s="19">
        <f t="shared" si="34"/>
        <v>2.5844877265146595E-3</v>
      </c>
      <c r="AB39" s="19">
        <f t="shared" si="35"/>
        <v>2.9201885782139578E-3</v>
      </c>
      <c r="AC39" s="19">
        <f t="shared" si="36"/>
        <v>3.445913735575722E-3</v>
      </c>
      <c r="AD39" s="19">
        <f t="shared" si="37"/>
        <v>4.0763097572729251E-3</v>
      </c>
      <c r="AE39" s="19">
        <f t="shared" si="38"/>
        <v>4.7065403042012878E-3</v>
      </c>
      <c r="AF39" s="19">
        <f t="shared" si="39"/>
        <v>5.3931851146275158E-3</v>
      </c>
      <c r="AG39" s="19">
        <f t="shared" si="40"/>
        <v>6.3181079582107294E-3</v>
      </c>
      <c r="AH39" s="19">
        <f t="shared" si="41"/>
        <v>7.2593099799184062E-3</v>
      </c>
      <c r="AI39" s="19">
        <f t="shared" si="42"/>
        <v>8.7608747560420606E-3</v>
      </c>
      <c r="AJ39" s="19">
        <f t="shared" si="43"/>
        <v>1.0342216612829856E-2</v>
      </c>
      <c r="AK39" s="19">
        <f t="shared" si="44"/>
        <v>1.2352782559392277E-2</v>
      </c>
      <c r="AL39" s="19">
        <f t="shared" si="45"/>
        <v>1.4091331754974536E-2</v>
      </c>
      <c r="AM39" s="19">
        <f t="shared" si="46"/>
        <v>1.6772810198205274E-2</v>
      </c>
      <c r="AN39" s="19">
        <f t="shared" si="47"/>
        <v>1.9744890813958322E-2</v>
      </c>
      <c r="AO39" s="19">
        <f t="shared" si="48"/>
        <v>2.2977129461034272E-2</v>
      </c>
      <c r="AP39" s="19" t="str">
        <f t="shared" si="49"/>
        <v/>
      </c>
      <c r="AQ39" s="19" t="str">
        <f t="shared" si="50"/>
        <v/>
      </c>
      <c r="AR39" s="19" t="str">
        <f t="shared" si="51"/>
        <v/>
      </c>
      <c r="AS39" s="19" t="str">
        <f t="shared" si="52"/>
        <v/>
      </c>
      <c r="AT39" s="19" t="str">
        <f t="shared" si="53"/>
        <v/>
      </c>
      <c r="AU39" s="19" t="str">
        <f t="shared" si="54"/>
        <v/>
      </c>
      <c r="AV39" s="19" t="str">
        <f t="shared" si="55"/>
        <v/>
      </c>
      <c r="AW39" s="19" t="str">
        <f t="shared" si="56"/>
        <v/>
      </c>
      <c r="AX39" s="19" t="str">
        <f t="shared" si="57"/>
        <v/>
      </c>
      <c r="AY39" s="19" t="str">
        <f t="shared" si="58"/>
        <v/>
      </c>
      <c r="AZ39" s="19" t="str">
        <f t="shared" si="59"/>
        <v/>
      </c>
      <c r="BA39" s="19" t="str">
        <f t="shared" si="60"/>
        <v/>
      </c>
      <c r="BB39" s="19" t="str">
        <f t="shared" si="61"/>
        <v/>
      </c>
      <c r="BC39" s="19" t="str">
        <f t="shared" si="62"/>
        <v/>
      </c>
      <c r="BD39" s="19" t="str">
        <f t="shared" si="63"/>
        <v/>
      </c>
      <c r="BE39" s="19" t="str">
        <f t="shared" si="64"/>
        <v/>
      </c>
      <c r="BF39" s="19" t="str">
        <f t="shared" si="65"/>
        <v/>
      </c>
      <c r="BG39" s="19" t="str">
        <f t="shared" si="66"/>
        <v/>
      </c>
      <c r="BH39" s="19" t="str">
        <f t="shared" si="67"/>
        <v/>
      </c>
      <c r="BI39" s="19" t="str">
        <f t="shared" si="68"/>
        <v/>
      </c>
      <c r="BJ39" s="19" t="str">
        <f t="shared" si="69"/>
        <v/>
      </c>
    </row>
    <row r="40" spans="1:62">
      <c r="A40" s="12">
        <f t="shared" si="70"/>
        <v>26</v>
      </c>
      <c r="B40" s="19" t="str">
        <f t="shared" si="9"/>
        <v/>
      </c>
      <c r="C40" s="19" t="str">
        <f t="shared" si="10"/>
        <v/>
      </c>
      <c r="D40" s="19" t="str">
        <f t="shared" si="11"/>
        <v/>
      </c>
      <c r="E40" s="19" t="str">
        <f t="shared" si="12"/>
        <v/>
      </c>
      <c r="F40" s="19" t="str">
        <f t="shared" si="13"/>
        <v/>
      </c>
      <c r="G40" s="19" t="str">
        <f t="shared" si="14"/>
        <v/>
      </c>
      <c r="H40" s="19" t="str">
        <f t="shared" si="15"/>
        <v/>
      </c>
      <c r="I40" s="19" t="str">
        <f t="shared" si="16"/>
        <v/>
      </c>
      <c r="J40" s="19" t="str">
        <f t="shared" si="17"/>
        <v/>
      </c>
      <c r="K40" s="19" t="str">
        <f t="shared" si="18"/>
        <v/>
      </c>
      <c r="L40" s="19" t="str">
        <f t="shared" si="19"/>
        <v/>
      </c>
      <c r="M40" s="19" t="str">
        <f t="shared" si="20"/>
        <v/>
      </c>
      <c r="N40" s="19" t="str">
        <f t="shared" si="21"/>
        <v/>
      </c>
      <c r="O40" s="19" t="str">
        <f t="shared" si="22"/>
        <v/>
      </c>
      <c r="P40" s="19" t="str">
        <f t="shared" si="23"/>
        <v/>
      </c>
      <c r="Q40" s="19" t="str">
        <f t="shared" si="24"/>
        <v/>
      </c>
      <c r="R40" s="19" t="str">
        <f t="shared" si="25"/>
        <v/>
      </c>
      <c r="S40" s="19" t="str">
        <f t="shared" si="26"/>
        <v/>
      </c>
      <c r="T40" s="19" t="str">
        <f t="shared" si="27"/>
        <v/>
      </c>
      <c r="U40" s="19" t="str">
        <f t="shared" si="28"/>
        <v/>
      </c>
      <c r="V40" s="19" t="str">
        <f t="shared" si="29"/>
        <v/>
      </c>
      <c r="W40" s="19" t="str">
        <f t="shared" si="30"/>
        <v/>
      </c>
      <c r="X40" s="19" t="str">
        <f t="shared" si="31"/>
        <v/>
      </c>
      <c r="Y40" s="19" t="str">
        <f t="shared" si="32"/>
        <v/>
      </c>
      <c r="Z40" s="19" t="str">
        <f t="shared" si="33"/>
        <v/>
      </c>
      <c r="AA40" s="19" t="str">
        <f t="shared" si="34"/>
        <v/>
      </c>
      <c r="AB40" s="19">
        <f t="shared" si="35"/>
        <v>2.3146557954632808E-3</v>
      </c>
      <c r="AC40" s="19">
        <f t="shared" si="36"/>
        <v>2.7403924598050282E-3</v>
      </c>
      <c r="AD40" s="19">
        <f t="shared" si="37"/>
        <v>3.2539466010003313E-3</v>
      </c>
      <c r="AE40" s="19">
        <f t="shared" si="38"/>
        <v>3.7646414702962932E-3</v>
      </c>
      <c r="AF40" s="19">
        <f t="shared" si="39"/>
        <v>4.3206258130549409E-3</v>
      </c>
      <c r="AG40" s="19">
        <f t="shared" si="40"/>
        <v>5.0804932347438781E-3</v>
      </c>
      <c r="AH40" s="19">
        <f t="shared" si="41"/>
        <v>5.8502973261911175E-3</v>
      </c>
      <c r="AI40" s="19">
        <f t="shared" si="42"/>
        <v>7.1132336133100105E-3</v>
      </c>
      <c r="AJ40" s="19">
        <f t="shared" si="43"/>
        <v>8.446935404716199E-3</v>
      </c>
      <c r="AK40" s="19">
        <f t="shared" si="44"/>
        <v>1.0168851595246445E-2</v>
      </c>
      <c r="AL40" s="19">
        <f t="shared" si="45"/>
        <v>1.1638262598679155E-2</v>
      </c>
      <c r="AM40" s="19">
        <f t="shared" si="46"/>
        <v>1.398025666959362E-2</v>
      </c>
      <c r="AN40" s="19">
        <f t="shared" si="47"/>
        <v>1.660609549759038E-2</v>
      </c>
      <c r="AO40" s="19">
        <f t="shared" si="48"/>
        <v>1.9490726811088148E-2</v>
      </c>
      <c r="AP40" s="19" t="str">
        <f t="shared" si="49"/>
        <v/>
      </c>
      <c r="AQ40" s="19" t="str">
        <f t="shared" si="50"/>
        <v/>
      </c>
      <c r="AR40" s="19" t="str">
        <f t="shared" si="51"/>
        <v/>
      </c>
      <c r="AS40" s="19" t="str">
        <f t="shared" si="52"/>
        <v/>
      </c>
      <c r="AT40" s="19" t="str">
        <f t="shared" si="53"/>
        <v/>
      </c>
      <c r="AU40" s="19" t="str">
        <f t="shared" si="54"/>
        <v/>
      </c>
      <c r="AV40" s="19" t="str">
        <f t="shared" si="55"/>
        <v/>
      </c>
      <c r="AW40" s="19" t="str">
        <f t="shared" si="56"/>
        <v/>
      </c>
      <c r="AX40" s="19" t="str">
        <f t="shared" si="57"/>
        <v/>
      </c>
      <c r="AY40" s="19" t="str">
        <f t="shared" si="58"/>
        <v/>
      </c>
      <c r="AZ40" s="19" t="str">
        <f t="shared" si="59"/>
        <v/>
      </c>
      <c r="BA40" s="19" t="str">
        <f t="shared" si="60"/>
        <v/>
      </c>
      <c r="BB40" s="19" t="str">
        <f t="shared" si="61"/>
        <v/>
      </c>
      <c r="BC40" s="19" t="str">
        <f t="shared" si="62"/>
        <v/>
      </c>
      <c r="BD40" s="19" t="str">
        <f t="shared" si="63"/>
        <v/>
      </c>
      <c r="BE40" s="19" t="str">
        <f t="shared" si="64"/>
        <v/>
      </c>
      <c r="BF40" s="19" t="str">
        <f t="shared" si="65"/>
        <v/>
      </c>
      <c r="BG40" s="19" t="str">
        <f t="shared" si="66"/>
        <v/>
      </c>
      <c r="BH40" s="19" t="str">
        <f t="shared" si="67"/>
        <v/>
      </c>
      <c r="BI40" s="19" t="str">
        <f t="shared" si="68"/>
        <v/>
      </c>
      <c r="BJ40" s="19" t="str">
        <f t="shared" si="69"/>
        <v/>
      </c>
    </row>
    <row r="41" spans="1:62">
      <c r="A41" s="12">
        <f t="shared" si="70"/>
        <v>27</v>
      </c>
      <c r="B41" s="19" t="str">
        <f t="shared" si="9"/>
        <v/>
      </c>
      <c r="C41" s="19" t="str">
        <f t="shared" si="10"/>
        <v/>
      </c>
      <c r="D41" s="19" t="str">
        <f t="shared" si="11"/>
        <v/>
      </c>
      <c r="E41" s="19" t="str">
        <f t="shared" si="12"/>
        <v/>
      </c>
      <c r="F41" s="19" t="str">
        <f t="shared" si="13"/>
        <v/>
      </c>
      <c r="G41" s="19" t="str">
        <f t="shared" si="14"/>
        <v/>
      </c>
      <c r="H41" s="19" t="str">
        <f t="shared" si="15"/>
        <v/>
      </c>
      <c r="I41" s="19" t="str">
        <f t="shared" si="16"/>
        <v/>
      </c>
      <c r="J41" s="19" t="str">
        <f t="shared" si="17"/>
        <v/>
      </c>
      <c r="K41" s="19" t="str">
        <f t="shared" si="18"/>
        <v/>
      </c>
      <c r="L41" s="19" t="str">
        <f t="shared" si="19"/>
        <v/>
      </c>
      <c r="M41" s="19" t="str">
        <f t="shared" si="20"/>
        <v/>
      </c>
      <c r="N41" s="19" t="str">
        <f t="shared" si="21"/>
        <v/>
      </c>
      <c r="O41" s="19" t="str">
        <f t="shared" si="22"/>
        <v/>
      </c>
      <c r="P41" s="19" t="str">
        <f t="shared" si="23"/>
        <v/>
      </c>
      <c r="Q41" s="19" t="str">
        <f t="shared" si="24"/>
        <v/>
      </c>
      <c r="R41" s="19" t="str">
        <f t="shared" si="25"/>
        <v/>
      </c>
      <c r="S41" s="19" t="str">
        <f t="shared" si="26"/>
        <v/>
      </c>
      <c r="T41" s="19" t="str">
        <f t="shared" si="27"/>
        <v/>
      </c>
      <c r="U41" s="19" t="str">
        <f t="shared" si="28"/>
        <v/>
      </c>
      <c r="V41" s="19" t="str">
        <f t="shared" si="29"/>
        <v/>
      </c>
      <c r="W41" s="19" t="str">
        <f t="shared" si="30"/>
        <v/>
      </c>
      <c r="X41" s="19" t="str">
        <f t="shared" si="31"/>
        <v/>
      </c>
      <c r="Y41" s="19" t="str">
        <f t="shared" si="32"/>
        <v/>
      </c>
      <c r="Z41" s="19" t="str">
        <f t="shared" si="33"/>
        <v/>
      </c>
      <c r="AA41" s="19" t="str">
        <f t="shared" si="34"/>
        <v/>
      </c>
      <c r="AB41" s="19" t="str">
        <f t="shared" si="35"/>
        <v/>
      </c>
      <c r="AC41" s="19">
        <f t="shared" si="36"/>
        <v>2.1793206127667529E-3</v>
      </c>
      <c r="AD41" s="19">
        <f t="shared" si="37"/>
        <v>2.5974886877206198E-3</v>
      </c>
      <c r="AE41" s="19">
        <f t="shared" si="38"/>
        <v>3.0112406319401002E-3</v>
      </c>
      <c r="AF41" s="19">
        <f t="shared" si="39"/>
        <v>3.4613696766694377E-3</v>
      </c>
      <c r="AG41" s="19">
        <f t="shared" si="40"/>
        <v>4.0853071329265533E-3</v>
      </c>
      <c r="AH41" s="19">
        <f t="shared" si="41"/>
        <v>4.7147702604681497E-3</v>
      </c>
      <c r="AI41" s="19">
        <f t="shared" si="42"/>
        <v>5.7754612235071277E-3</v>
      </c>
      <c r="AJ41" s="19">
        <f t="shared" si="43"/>
        <v>6.8989773084944996E-3</v>
      </c>
      <c r="AK41" s="19">
        <f t="shared" si="44"/>
        <v>8.3710323782493126E-3</v>
      </c>
      <c r="AL41" s="19">
        <f t="shared" si="45"/>
        <v>9.6122324469436801E-3</v>
      </c>
      <c r="AM41" s="19">
        <f t="shared" si="46"/>
        <v>1.1652643429341983E-2</v>
      </c>
      <c r="AN41" s="19">
        <f t="shared" si="47"/>
        <v>1.3966266528055238E-2</v>
      </c>
      <c r="AO41" s="19">
        <f t="shared" si="48"/>
        <v>1.6533328598278718E-2</v>
      </c>
      <c r="AP41" s="19" t="str">
        <f t="shared" si="49"/>
        <v/>
      </c>
      <c r="AQ41" s="19" t="str">
        <f t="shared" si="50"/>
        <v/>
      </c>
      <c r="AR41" s="19" t="str">
        <f t="shared" si="51"/>
        <v/>
      </c>
      <c r="AS41" s="19" t="str">
        <f t="shared" si="52"/>
        <v/>
      </c>
      <c r="AT41" s="19" t="str">
        <f t="shared" si="53"/>
        <v/>
      </c>
      <c r="AU41" s="19" t="str">
        <f t="shared" si="54"/>
        <v/>
      </c>
      <c r="AV41" s="19" t="str">
        <f t="shared" si="55"/>
        <v/>
      </c>
      <c r="AW41" s="19" t="str">
        <f t="shared" si="56"/>
        <v/>
      </c>
      <c r="AX41" s="19" t="str">
        <f t="shared" si="57"/>
        <v/>
      </c>
      <c r="AY41" s="19" t="str">
        <f t="shared" si="58"/>
        <v/>
      </c>
      <c r="AZ41" s="19" t="str">
        <f t="shared" si="59"/>
        <v/>
      </c>
      <c r="BA41" s="19" t="str">
        <f t="shared" si="60"/>
        <v/>
      </c>
      <c r="BB41" s="19" t="str">
        <f t="shared" si="61"/>
        <v/>
      </c>
      <c r="BC41" s="19" t="str">
        <f t="shared" si="62"/>
        <v/>
      </c>
      <c r="BD41" s="19" t="str">
        <f t="shared" si="63"/>
        <v/>
      </c>
      <c r="BE41" s="19" t="str">
        <f t="shared" si="64"/>
        <v/>
      </c>
      <c r="BF41" s="19" t="str">
        <f t="shared" si="65"/>
        <v/>
      </c>
      <c r="BG41" s="19" t="str">
        <f t="shared" si="66"/>
        <v/>
      </c>
      <c r="BH41" s="19" t="str">
        <f t="shared" si="67"/>
        <v/>
      </c>
      <c r="BI41" s="19" t="str">
        <f t="shared" si="68"/>
        <v/>
      </c>
      <c r="BJ41" s="19" t="str">
        <f t="shared" si="69"/>
        <v/>
      </c>
    </row>
    <row r="42" spans="1:62">
      <c r="A42" s="12">
        <f t="shared" si="70"/>
        <v>28</v>
      </c>
      <c r="B42" s="19" t="str">
        <f t="shared" si="9"/>
        <v/>
      </c>
      <c r="C42" s="19" t="str">
        <f t="shared" si="10"/>
        <v/>
      </c>
      <c r="D42" s="19" t="str">
        <f t="shared" si="11"/>
        <v/>
      </c>
      <c r="E42" s="19" t="str">
        <f t="shared" si="12"/>
        <v/>
      </c>
      <c r="F42" s="19" t="str">
        <f t="shared" si="13"/>
        <v/>
      </c>
      <c r="G42" s="19" t="str">
        <f t="shared" si="14"/>
        <v/>
      </c>
      <c r="H42" s="19" t="str">
        <f t="shared" si="15"/>
        <v/>
      </c>
      <c r="I42" s="19" t="str">
        <f t="shared" si="16"/>
        <v/>
      </c>
      <c r="J42" s="19" t="str">
        <f t="shared" si="17"/>
        <v/>
      </c>
      <c r="K42" s="19" t="str">
        <f t="shared" si="18"/>
        <v/>
      </c>
      <c r="L42" s="19" t="str">
        <f t="shared" si="19"/>
        <v/>
      </c>
      <c r="M42" s="19" t="str">
        <f t="shared" si="20"/>
        <v/>
      </c>
      <c r="N42" s="19" t="str">
        <f t="shared" si="21"/>
        <v/>
      </c>
      <c r="O42" s="19" t="str">
        <f t="shared" si="22"/>
        <v/>
      </c>
      <c r="P42" s="19" t="str">
        <f t="shared" si="23"/>
        <v/>
      </c>
      <c r="Q42" s="19" t="str">
        <f t="shared" si="24"/>
        <v/>
      </c>
      <c r="R42" s="19" t="str">
        <f t="shared" si="25"/>
        <v/>
      </c>
      <c r="S42" s="19" t="str">
        <f t="shared" si="26"/>
        <v/>
      </c>
      <c r="T42" s="19" t="str">
        <f t="shared" si="27"/>
        <v/>
      </c>
      <c r="U42" s="19" t="str">
        <f t="shared" si="28"/>
        <v/>
      </c>
      <c r="V42" s="19" t="str">
        <f t="shared" si="29"/>
        <v/>
      </c>
      <c r="W42" s="19" t="str">
        <f t="shared" si="30"/>
        <v/>
      </c>
      <c r="X42" s="19" t="str">
        <f t="shared" si="31"/>
        <v/>
      </c>
      <c r="Y42" s="19" t="str">
        <f t="shared" si="32"/>
        <v/>
      </c>
      <c r="Z42" s="19" t="str">
        <f t="shared" si="33"/>
        <v/>
      </c>
      <c r="AA42" s="19" t="str">
        <f t="shared" si="34"/>
        <v/>
      </c>
      <c r="AB42" s="19" t="str">
        <f t="shared" si="35"/>
        <v/>
      </c>
      <c r="AC42" s="19" t="str">
        <f t="shared" si="36"/>
        <v/>
      </c>
      <c r="AD42" s="19">
        <f t="shared" si="37"/>
        <v>2.0734659507818708E-3</v>
      </c>
      <c r="AE42" s="19">
        <f t="shared" si="38"/>
        <v>2.4086145294291085E-3</v>
      </c>
      <c r="AF42" s="19">
        <f t="shared" si="39"/>
        <v>2.7729964493489307E-3</v>
      </c>
      <c r="AG42" s="19">
        <f t="shared" si="40"/>
        <v>3.2850618235656308E-3</v>
      </c>
      <c r="AH42" s="19">
        <f t="shared" si="41"/>
        <v>3.7996459614929191E-3</v>
      </c>
      <c r="AI42" s="19">
        <f t="shared" si="42"/>
        <v>4.6892811564377794E-3</v>
      </c>
      <c r="AJ42" s="19">
        <f t="shared" si="43"/>
        <v>5.6346930126336325E-3</v>
      </c>
      <c r="AK42" s="19">
        <f t="shared" si="44"/>
        <v>6.8910616328057518E-3</v>
      </c>
      <c r="AL42" s="19">
        <f t="shared" si="45"/>
        <v>7.93890083083045E-3</v>
      </c>
      <c r="AM42" s="19">
        <f t="shared" si="46"/>
        <v>9.7125612283435903E-3</v>
      </c>
      <c r="AN42" s="19">
        <f t="shared" si="47"/>
        <v>1.1746084488131464E-2</v>
      </c>
      <c r="AO42" s="19">
        <f t="shared" si="48"/>
        <v>1.4024667073120811E-2</v>
      </c>
      <c r="AP42" s="19" t="str">
        <f t="shared" si="49"/>
        <v/>
      </c>
      <c r="AQ42" s="19" t="str">
        <f t="shared" si="50"/>
        <v/>
      </c>
      <c r="AR42" s="19" t="str">
        <f t="shared" si="51"/>
        <v/>
      </c>
      <c r="AS42" s="19" t="str">
        <f t="shared" si="52"/>
        <v/>
      </c>
      <c r="AT42" s="19" t="str">
        <f t="shared" si="53"/>
        <v/>
      </c>
      <c r="AU42" s="19" t="str">
        <f t="shared" si="54"/>
        <v/>
      </c>
      <c r="AV42" s="19" t="str">
        <f t="shared" si="55"/>
        <v/>
      </c>
      <c r="AW42" s="19" t="str">
        <f t="shared" si="56"/>
        <v/>
      </c>
      <c r="AX42" s="19" t="str">
        <f t="shared" si="57"/>
        <v/>
      </c>
      <c r="AY42" s="19" t="str">
        <f t="shared" si="58"/>
        <v/>
      </c>
      <c r="AZ42" s="19" t="str">
        <f t="shared" si="59"/>
        <v/>
      </c>
      <c r="BA42" s="19" t="str">
        <f t="shared" si="60"/>
        <v/>
      </c>
      <c r="BB42" s="19" t="str">
        <f t="shared" si="61"/>
        <v/>
      </c>
      <c r="BC42" s="19" t="str">
        <f t="shared" si="62"/>
        <v/>
      </c>
      <c r="BD42" s="19" t="str">
        <f t="shared" si="63"/>
        <v/>
      </c>
      <c r="BE42" s="19" t="str">
        <f t="shared" si="64"/>
        <v/>
      </c>
      <c r="BF42" s="19" t="str">
        <f t="shared" si="65"/>
        <v/>
      </c>
      <c r="BG42" s="19" t="str">
        <f t="shared" si="66"/>
        <v/>
      </c>
      <c r="BH42" s="19" t="str">
        <f t="shared" si="67"/>
        <v/>
      </c>
      <c r="BI42" s="19" t="str">
        <f t="shared" si="68"/>
        <v/>
      </c>
      <c r="BJ42" s="19" t="str">
        <f t="shared" si="69"/>
        <v/>
      </c>
    </row>
    <row r="43" spans="1:62">
      <c r="A43" s="12">
        <f t="shared" si="70"/>
        <v>29</v>
      </c>
      <c r="B43" s="19" t="str">
        <f t="shared" si="9"/>
        <v/>
      </c>
      <c r="C43" s="19" t="str">
        <f t="shared" si="10"/>
        <v/>
      </c>
      <c r="D43" s="19" t="str">
        <f t="shared" si="11"/>
        <v/>
      </c>
      <c r="E43" s="19" t="str">
        <f t="shared" si="12"/>
        <v/>
      </c>
      <c r="F43" s="19" t="str">
        <f t="shared" si="13"/>
        <v/>
      </c>
      <c r="G43" s="19" t="str">
        <f t="shared" si="14"/>
        <v/>
      </c>
      <c r="H43" s="19" t="str">
        <f t="shared" si="15"/>
        <v/>
      </c>
      <c r="I43" s="19" t="str">
        <f t="shared" si="16"/>
        <v/>
      </c>
      <c r="J43" s="19" t="str">
        <f t="shared" si="17"/>
        <v/>
      </c>
      <c r="K43" s="19" t="str">
        <f t="shared" si="18"/>
        <v/>
      </c>
      <c r="L43" s="19" t="str">
        <f t="shared" si="19"/>
        <v/>
      </c>
      <c r="M43" s="19" t="str">
        <f t="shared" si="20"/>
        <v/>
      </c>
      <c r="N43" s="19" t="str">
        <f t="shared" si="21"/>
        <v/>
      </c>
      <c r="O43" s="19" t="str">
        <f t="shared" si="22"/>
        <v/>
      </c>
      <c r="P43" s="19" t="str">
        <f t="shared" si="23"/>
        <v/>
      </c>
      <c r="Q43" s="19" t="str">
        <f t="shared" si="24"/>
        <v/>
      </c>
      <c r="R43" s="19" t="str">
        <f t="shared" si="25"/>
        <v/>
      </c>
      <c r="S43" s="19" t="str">
        <f t="shared" si="26"/>
        <v/>
      </c>
      <c r="T43" s="19" t="str">
        <f t="shared" si="27"/>
        <v/>
      </c>
      <c r="U43" s="19" t="str">
        <f t="shared" si="28"/>
        <v/>
      </c>
      <c r="V43" s="19" t="str">
        <f t="shared" si="29"/>
        <v/>
      </c>
      <c r="W43" s="19" t="str">
        <f t="shared" si="30"/>
        <v/>
      </c>
      <c r="X43" s="19" t="str">
        <f t="shared" si="31"/>
        <v/>
      </c>
      <c r="Y43" s="19" t="str">
        <f t="shared" si="32"/>
        <v/>
      </c>
      <c r="Z43" s="19" t="str">
        <f t="shared" si="33"/>
        <v/>
      </c>
      <c r="AA43" s="19" t="str">
        <f t="shared" si="34"/>
        <v/>
      </c>
      <c r="AB43" s="19" t="str">
        <f t="shared" si="35"/>
        <v/>
      </c>
      <c r="AC43" s="19" t="str">
        <f t="shared" si="36"/>
        <v/>
      </c>
      <c r="AD43" s="19" t="str">
        <f t="shared" si="37"/>
        <v/>
      </c>
      <c r="AE43" s="19">
        <f t="shared" si="38"/>
        <v>1.9265892900891251E-3</v>
      </c>
      <c r="AF43" s="19">
        <f t="shared" si="39"/>
        <v>2.2215221216997242E-3</v>
      </c>
      <c r="AG43" s="19">
        <f t="shared" si="40"/>
        <v>2.6415715718582089E-3</v>
      </c>
      <c r="AH43" s="19">
        <f t="shared" si="41"/>
        <v>3.0621448416568039E-3</v>
      </c>
      <c r="AI43" s="19">
        <f t="shared" si="42"/>
        <v>3.8073769198937639E-3</v>
      </c>
      <c r="AJ43" s="19">
        <f t="shared" si="43"/>
        <v>4.602097372827965E-3</v>
      </c>
      <c r="AK43" s="19">
        <f t="shared" si="44"/>
        <v>5.6727448039161302E-3</v>
      </c>
      <c r="AL43" s="19">
        <f t="shared" si="45"/>
        <v>6.556868734671548E-3</v>
      </c>
      <c r="AM43" s="19">
        <f t="shared" si="46"/>
        <v>8.095488906558786E-3</v>
      </c>
      <c r="AN43" s="19">
        <f t="shared" si="47"/>
        <v>9.8788391675878034E-3</v>
      </c>
      <c r="AO43" s="19">
        <f t="shared" si="48"/>
        <v>1.1896653800999064E-2</v>
      </c>
      <c r="AP43" s="19" t="str">
        <f t="shared" si="49"/>
        <v/>
      </c>
      <c r="AQ43" s="19" t="str">
        <f t="shared" si="50"/>
        <v/>
      </c>
      <c r="AR43" s="19" t="str">
        <f t="shared" si="51"/>
        <v/>
      </c>
      <c r="AS43" s="19" t="str">
        <f t="shared" si="52"/>
        <v/>
      </c>
      <c r="AT43" s="19" t="str">
        <f t="shared" si="53"/>
        <v/>
      </c>
      <c r="AU43" s="19" t="str">
        <f t="shared" si="54"/>
        <v/>
      </c>
      <c r="AV43" s="19" t="str">
        <f t="shared" si="55"/>
        <v/>
      </c>
      <c r="AW43" s="19" t="str">
        <f t="shared" si="56"/>
        <v/>
      </c>
      <c r="AX43" s="19" t="str">
        <f t="shared" si="57"/>
        <v/>
      </c>
      <c r="AY43" s="19" t="str">
        <f t="shared" si="58"/>
        <v/>
      </c>
      <c r="AZ43" s="19" t="str">
        <f t="shared" si="59"/>
        <v/>
      </c>
      <c r="BA43" s="19" t="str">
        <f t="shared" si="60"/>
        <v/>
      </c>
      <c r="BB43" s="19" t="str">
        <f t="shared" si="61"/>
        <v/>
      </c>
      <c r="BC43" s="19" t="str">
        <f t="shared" si="62"/>
        <v/>
      </c>
      <c r="BD43" s="19" t="str">
        <f t="shared" si="63"/>
        <v/>
      </c>
      <c r="BE43" s="19" t="str">
        <f t="shared" si="64"/>
        <v/>
      </c>
      <c r="BF43" s="19" t="str">
        <f t="shared" si="65"/>
        <v/>
      </c>
      <c r="BG43" s="19" t="str">
        <f t="shared" si="66"/>
        <v/>
      </c>
      <c r="BH43" s="19" t="str">
        <f t="shared" si="67"/>
        <v/>
      </c>
      <c r="BI43" s="19" t="str">
        <f t="shared" si="68"/>
        <v/>
      </c>
      <c r="BJ43" s="19" t="str">
        <f t="shared" si="69"/>
        <v/>
      </c>
    </row>
    <row r="44" spans="1:62">
      <c r="A44" s="12">
        <f t="shared" si="70"/>
        <v>30</v>
      </c>
      <c r="B44" s="19" t="str">
        <f t="shared" si="9"/>
        <v/>
      </c>
      <c r="C44" s="19" t="str">
        <f t="shared" si="10"/>
        <v/>
      </c>
      <c r="D44" s="19" t="str">
        <f t="shared" si="11"/>
        <v/>
      </c>
      <c r="E44" s="19" t="str">
        <f t="shared" si="12"/>
        <v/>
      </c>
      <c r="F44" s="19" t="str">
        <f t="shared" si="13"/>
        <v/>
      </c>
      <c r="G44" s="19" t="str">
        <f t="shared" si="14"/>
        <v/>
      </c>
      <c r="H44" s="19" t="str">
        <f t="shared" si="15"/>
        <v/>
      </c>
      <c r="I44" s="19" t="str">
        <f t="shared" si="16"/>
        <v/>
      </c>
      <c r="J44" s="19" t="str">
        <f t="shared" si="17"/>
        <v/>
      </c>
      <c r="K44" s="19" t="str">
        <f t="shared" si="18"/>
        <v/>
      </c>
      <c r="L44" s="19" t="str">
        <f t="shared" si="19"/>
        <v/>
      </c>
      <c r="M44" s="19" t="str">
        <f t="shared" si="20"/>
        <v/>
      </c>
      <c r="N44" s="19" t="str">
        <f t="shared" si="21"/>
        <v/>
      </c>
      <c r="O44" s="19" t="str">
        <f t="shared" si="22"/>
        <v/>
      </c>
      <c r="P44" s="19" t="str">
        <f t="shared" si="23"/>
        <v/>
      </c>
      <c r="Q44" s="19" t="str">
        <f t="shared" si="24"/>
        <v/>
      </c>
      <c r="R44" s="19" t="str">
        <f t="shared" si="25"/>
        <v/>
      </c>
      <c r="S44" s="19" t="str">
        <f t="shared" si="26"/>
        <v/>
      </c>
      <c r="T44" s="19" t="str">
        <f t="shared" si="27"/>
        <v/>
      </c>
      <c r="U44" s="19" t="str">
        <f t="shared" si="28"/>
        <v/>
      </c>
      <c r="V44" s="19" t="str">
        <f t="shared" si="29"/>
        <v/>
      </c>
      <c r="W44" s="19" t="str">
        <f t="shared" si="30"/>
        <v/>
      </c>
      <c r="X44" s="19" t="str">
        <f t="shared" si="31"/>
        <v/>
      </c>
      <c r="Y44" s="19" t="str">
        <f t="shared" si="32"/>
        <v/>
      </c>
      <c r="Z44" s="19" t="str">
        <f t="shared" si="33"/>
        <v/>
      </c>
      <c r="AA44" s="19" t="str">
        <f t="shared" si="34"/>
        <v/>
      </c>
      <c r="AB44" s="19" t="str">
        <f t="shared" si="35"/>
        <v/>
      </c>
      <c r="AC44" s="19" t="str">
        <f t="shared" si="36"/>
        <v/>
      </c>
      <c r="AD44" s="19" t="str">
        <f t="shared" si="37"/>
        <v/>
      </c>
      <c r="AE44" s="19" t="str">
        <f t="shared" si="38"/>
        <v/>
      </c>
      <c r="AF44" s="19">
        <f t="shared" si="39"/>
        <v>1.7797211887378959E-3</v>
      </c>
      <c r="AG44" s="19">
        <f t="shared" si="40"/>
        <v>2.1241306081952465E-3</v>
      </c>
      <c r="AH44" s="19">
        <f t="shared" si="41"/>
        <v>2.4677907169017295E-3</v>
      </c>
      <c r="AI44" s="19">
        <f t="shared" si="42"/>
        <v>3.0913307448495425E-3</v>
      </c>
      <c r="AJ44" s="19">
        <f t="shared" si="43"/>
        <v>3.7587318743902498E-3</v>
      </c>
      <c r="AK44" s="19">
        <f t="shared" si="44"/>
        <v>4.669822347424731E-3</v>
      </c>
      <c r="AL44" s="19">
        <f t="shared" si="45"/>
        <v>5.415425701849462E-3</v>
      </c>
      <c r="AM44" s="19">
        <f t="shared" si="46"/>
        <v>6.747647617907809E-3</v>
      </c>
      <c r="AN44" s="19">
        <f t="shared" si="47"/>
        <v>8.3084251094631342E-3</v>
      </c>
      <c r="AO44" s="19">
        <f t="shared" si="48"/>
        <v>1.0091531650835239E-2</v>
      </c>
      <c r="AP44" s="19" t="str">
        <f t="shared" si="49"/>
        <v/>
      </c>
      <c r="AQ44" s="19" t="str">
        <f t="shared" si="50"/>
        <v/>
      </c>
      <c r="AR44" s="19" t="str">
        <f t="shared" si="51"/>
        <v/>
      </c>
      <c r="AS44" s="19" t="str">
        <f t="shared" si="52"/>
        <v/>
      </c>
      <c r="AT44" s="19" t="str">
        <f t="shared" si="53"/>
        <v/>
      </c>
      <c r="AU44" s="19" t="str">
        <f t="shared" si="54"/>
        <v/>
      </c>
      <c r="AV44" s="19" t="str">
        <f t="shared" si="55"/>
        <v/>
      </c>
      <c r="AW44" s="19" t="str">
        <f t="shared" si="56"/>
        <v/>
      </c>
      <c r="AX44" s="19" t="str">
        <f t="shared" si="57"/>
        <v/>
      </c>
      <c r="AY44" s="19" t="str">
        <f t="shared" si="58"/>
        <v/>
      </c>
      <c r="AZ44" s="19" t="str">
        <f t="shared" si="59"/>
        <v/>
      </c>
      <c r="BA44" s="19" t="str">
        <f t="shared" si="60"/>
        <v/>
      </c>
      <c r="BB44" s="19" t="str">
        <f t="shared" si="61"/>
        <v/>
      </c>
      <c r="BC44" s="19" t="str">
        <f t="shared" si="62"/>
        <v/>
      </c>
      <c r="BD44" s="19" t="str">
        <f t="shared" si="63"/>
        <v/>
      </c>
      <c r="BE44" s="19" t="str">
        <f t="shared" si="64"/>
        <v/>
      </c>
      <c r="BF44" s="19" t="str">
        <f t="shared" si="65"/>
        <v/>
      </c>
      <c r="BG44" s="19" t="str">
        <f t="shared" si="66"/>
        <v/>
      </c>
      <c r="BH44" s="19" t="str">
        <f t="shared" si="67"/>
        <v/>
      </c>
      <c r="BI44" s="19" t="str">
        <f t="shared" si="68"/>
        <v/>
      </c>
      <c r="BJ44" s="19" t="str">
        <f t="shared" si="69"/>
        <v/>
      </c>
    </row>
    <row r="45" spans="1:62">
      <c r="A45" s="12">
        <f t="shared" si="70"/>
        <v>31</v>
      </c>
      <c r="B45" s="19" t="str">
        <f t="shared" si="9"/>
        <v/>
      </c>
      <c r="C45" s="19" t="str">
        <f t="shared" si="10"/>
        <v/>
      </c>
      <c r="D45" s="19" t="str">
        <f t="shared" si="11"/>
        <v/>
      </c>
      <c r="E45" s="19" t="str">
        <f t="shared" si="12"/>
        <v/>
      </c>
      <c r="F45" s="19" t="str">
        <f t="shared" si="13"/>
        <v/>
      </c>
      <c r="G45" s="19" t="str">
        <f t="shared" si="14"/>
        <v/>
      </c>
      <c r="H45" s="19" t="str">
        <f t="shared" si="15"/>
        <v/>
      </c>
      <c r="I45" s="19" t="str">
        <f t="shared" si="16"/>
        <v/>
      </c>
      <c r="J45" s="19" t="str">
        <f t="shared" si="17"/>
        <v/>
      </c>
      <c r="K45" s="19" t="str">
        <f t="shared" si="18"/>
        <v/>
      </c>
      <c r="L45" s="19" t="str">
        <f t="shared" si="19"/>
        <v/>
      </c>
      <c r="M45" s="19" t="str">
        <f t="shared" si="20"/>
        <v/>
      </c>
      <c r="N45" s="19" t="str">
        <f t="shared" si="21"/>
        <v/>
      </c>
      <c r="O45" s="19" t="str">
        <f t="shared" si="22"/>
        <v/>
      </c>
      <c r="P45" s="19" t="str">
        <f t="shared" si="23"/>
        <v/>
      </c>
      <c r="Q45" s="19" t="str">
        <f t="shared" si="24"/>
        <v/>
      </c>
      <c r="R45" s="19" t="str">
        <f t="shared" si="25"/>
        <v/>
      </c>
      <c r="S45" s="19" t="str">
        <f t="shared" si="26"/>
        <v/>
      </c>
      <c r="T45" s="19" t="str">
        <f t="shared" si="27"/>
        <v/>
      </c>
      <c r="U45" s="19" t="str">
        <f t="shared" si="28"/>
        <v/>
      </c>
      <c r="V45" s="19" t="str">
        <f t="shared" si="29"/>
        <v/>
      </c>
      <c r="W45" s="19" t="str">
        <f t="shared" si="30"/>
        <v/>
      </c>
      <c r="X45" s="19" t="str">
        <f t="shared" si="31"/>
        <v/>
      </c>
      <c r="Y45" s="19" t="str">
        <f t="shared" si="32"/>
        <v/>
      </c>
      <c r="Z45" s="19" t="str">
        <f t="shared" si="33"/>
        <v/>
      </c>
      <c r="AA45" s="19" t="str">
        <f t="shared" si="34"/>
        <v/>
      </c>
      <c r="AB45" s="19" t="str">
        <f t="shared" si="35"/>
        <v/>
      </c>
      <c r="AC45" s="19" t="str">
        <f t="shared" si="36"/>
        <v/>
      </c>
      <c r="AD45" s="19" t="str">
        <f t="shared" si="37"/>
        <v/>
      </c>
      <c r="AE45" s="19" t="str">
        <f t="shared" si="38"/>
        <v/>
      </c>
      <c r="AF45" s="19" t="str">
        <f t="shared" si="39"/>
        <v/>
      </c>
      <c r="AG45" s="19">
        <f t="shared" si="40"/>
        <v>1.708047924477775E-3</v>
      </c>
      <c r="AH45" s="19">
        <f t="shared" si="41"/>
        <v>1.9887991382965746E-3</v>
      </c>
      <c r="AI45" s="19">
        <f t="shared" si="42"/>
        <v>2.5099500194266751E-3</v>
      </c>
      <c r="AJ45" s="19">
        <f t="shared" si="43"/>
        <v>3.0699188128815317E-3</v>
      </c>
      <c r="AK45" s="19">
        <f t="shared" si="44"/>
        <v>3.8442132530715971E-3</v>
      </c>
      <c r="AL45" s="19">
        <f t="shared" si="45"/>
        <v>4.4726891324172284E-3</v>
      </c>
      <c r="AM45" s="19">
        <f t="shared" si="46"/>
        <v>5.6242123114477903E-3</v>
      </c>
      <c r="AN45" s="19">
        <f t="shared" si="47"/>
        <v>6.987655799280827E-3</v>
      </c>
      <c r="AO45" s="19">
        <f t="shared" si="48"/>
        <v>8.5603071891742454E-3</v>
      </c>
      <c r="AP45" s="19" t="str">
        <f t="shared" si="49"/>
        <v/>
      </c>
      <c r="AQ45" s="19" t="str">
        <f t="shared" si="50"/>
        <v/>
      </c>
      <c r="AR45" s="19" t="str">
        <f t="shared" si="51"/>
        <v/>
      </c>
      <c r="AS45" s="19" t="str">
        <f t="shared" si="52"/>
        <v/>
      </c>
      <c r="AT45" s="19" t="str">
        <f t="shared" si="53"/>
        <v/>
      </c>
      <c r="AU45" s="19" t="str">
        <f t="shared" si="54"/>
        <v/>
      </c>
      <c r="AV45" s="19" t="str">
        <f t="shared" si="55"/>
        <v/>
      </c>
      <c r="AW45" s="19" t="str">
        <f t="shared" si="56"/>
        <v/>
      </c>
      <c r="AX45" s="19" t="str">
        <f t="shared" si="57"/>
        <v/>
      </c>
      <c r="AY45" s="19" t="str">
        <f t="shared" si="58"/>
        <v/>
      </c>
      <c r="AZ45" s="19" t="str">
        <f t="shared" si="59"/>
        <v/>
      </c>
      <c r="BA45" s="19" t="str">
        <f t="shared" si="60"/>
        <v/>
      </c>
      <c r="BB45" s="19" t="str">
        <f t="shared" si="61"/>
        <v/>
      </c>
      <c r="BC45" s="19" t="str">
        <f t="shared" si="62"/>
        <v/>
      </c>
      <c r="BD45" s="19" t="str">
        <f t="shared" si="63"/>
        <v/>
      </c>
      <c r="BE45" s="19" t="str">
        <f t="shared" si="64"/>
        <v/>
      </c>
      <c r="BF45" s="19" t="str">
        <f t="shared" si="65"/>
        <v/>
      </c>
      <c r="BG45" s="19" t="str">
        <f t="shared" si="66"/>
        <v/>
      </c>
      <c r="BH45" s="19" t="str">
        <f t="shared" si="67"/>
        <v/>
      </c>
      <c r="BI45" s="19" t="str">
        <f t="shared" si="68"/>
        <v/>
      </c>
      <c r="BJ45" s="19" t="str">
        <f t="shared" si="69"/>
        <v/>
      </c>
    </row>
    <row r="46" spans="1:62">
      <c r="A46" s="12">
        <f t="shared" si="70"/>
        <v>32</v>
      </c>
      <c r="B46" s="19" t="str">
        <f t="shared" si="9"/>
        <v/>
      </c>
      <c r="C46" s="19" t="str">
        <f t="shared" si="10"/>
        <v/>
      </c>
      <c r="D46" s="19" t="str">
        <f t="shared" si="11"/>
        <v/>
      </c>
      <c r="E46" s="19" t="str">
        <f t="shared" si="12"/>
        <v/>
      </c>
      <c r="F46" s="19" t="str">
        <f t="shared" si="13"/>
        <v/>
      </c>
      <c r="G46" s="19" t="str">
        <f t="shared" si="14"/>
        <v/>
      </c>
      <c r="H46" s="19" t="str">
        <f t="shared" si="15"/>
        <v/>
      </c>
      <c r="I46" s="19" t="str">
        <f t="shared" si="16"/>
        <v/>
      </c>
      <c r="J46" s="19" t="str">
        <f t="shared" si="17"/>
        <v/>
      </c>
      <c r="K46" s="19" t="str">
        <f t="shared" si="18"/>
        <v/>
      </c>
      <c r="L46" s="19" t="str">
        <f t="shared" si="19"/>
        <v/>
      </c>
      <c r="M46" s="19" t="str">
        <f t="shared" si="20"/>
        <v/>
      </c>
      <c r="N46" s="19" t="str">
        <f t="shared" si="21"/>
        <v/>
      </c>
      <c r="O46" s="19" t="str">
        <f t="shared" si="22"/>
        <v/>
      </c>
      <c r="P46" s="19" t="str">
        <f t="shared" si="23"/>
        <v/>
      </c>
      <c r="Q46" s="19" t="str">
        <f t="shared" si="24"/>
        <v/>
      </c>
      <c r="R46" s="19" t="str">
        <f t="shared" si="25"/>
        <v/>
      </c>
      <c r="S46" s="19" t="str">
        <f t="shared" si="26"/>
        <v/>
      </c>
      <c r="T46" s="19" t="str">
        <f t="shared" si="27"/>
        <v/>
      </c>
      <c r="U46" s="19" t="str">
        <f t="shared" si="28"/>
        <v/>
      </c>
      <c r="V46" s="19" t="str">
        <f t="shared" si="29"/>
        <v/>
      </c>
      <c r="W46" s="19" t="str">
        <f t="shared" si="30"/>
        <v/>
      </c>
      <c r="X46" s="19" t="str">
        <f t="shared" si="31"/>
        <v/>
      </c>
      <c r="Y46" s="19" t="str">
        <f t="shared" si="32"/>
        <v/>
      </c>
      <c r="Z46" s="19" t="str">
        <f t="shared" si="33"/>
        <v/>
      </c>
      <c r="AA46" s="19" t="str">
        <f t="shared" si="34"/>
        <v/>
      </c>
      <c r="AB46" s="19" t="str">
        <f t="shared" si="35"/>
        <v/>
      </c>
      <c r="AC46" s="19" t="str">
        <f t="shared" si="36"/>
        <v/>
      </c>
      <c r="AD46" s="19" t="str">
        <f t="shared" si="37"/>
        <v/>
      </c>
      <c r="AE46" s="19" t="str">
        <f t="shared" si="38"/>
        <v/>
      </c>
      <c r="AF46" s="19" t="str">
        <f t="shared" si="39"/>
        <v/>
      </c>
      <c r="AG46" s="19" t="str">
        <f t="shared" si="40"/>
        <v/>
      </c>
      <c r="AH46" s="19">
        <f t="shared" si="41"/>
        <v>1.6027785441445532E-3</v>
      </c>
      <c r="AI46" s="19">
        <f t="shared" si="42"/>
        <v>2.0379084672567395E-3</v>
      </c>
      <c r="AJ46" s="19">
        <f t="shared" si="43"/>
        <v>2.5073354079593133E-3</v>
      </c>
      <c r="AK46" s="19">
        <f t="shared" si="44"/>
        <v>3.1645691068399907E-3</v>
      </c>
      <c r="AL46" s="19">
        <f t="shared" si="45"/>
        <v>3.6940674984075848E-3</v>
      </c>
      <c r="AM46" s="19">
        <f t="shared" si="46"/>
        <v>4.6878209882051771E-3</v>
      </c>
      <c r="AN46" s="19">
        <f t="shared" si="47"/>
        <v>5.876845843336735E-3</v>
      </c>
      <c r="AO46" s="19">
        <f t="shared" si="48"/>
        <v>7.2614209327642801E-3</v>
      </c>
      <c r="AP46" s="19" t="str">
        <f t="shared" si="49"/>
        <v/>
      </c>
      <c r="AQ46" s="19" t="str">
        <f t="shared" si="50"/>
        <v/>
      </c>
      <c r="AR46" s="19" t="str">
        <f t="shared" si="51"/>
        <v/>
      </c>
      <c r="AS46" s="19" t="str">
        <f t="shared" si="52"/>
        <v/>
      </c>
      <c r="AT46" s="19" t="str">
        <f t="shared" si="53"/>
        <v/>
      </c>
      <c r="AU46" s="19" t="str">
        <f t="shared" si="54"/>
        <v/>
      </c>
      <c r="AV46" s="19" t="str">
        <f t="shared" si="55"/>
        <v/>
      </c>
      <c r="AW46" s="19" t="str">
        <f t="shared" si="56"/>
        <v/>
      </c>
      <c r="AX46" s="19" t="str">
        <f t="shared" si="57"/>
        <v/>
      </c>
      <c r="AY46" s="19" t="str">
        <f t="shared" si="58"/>
        <v/>
      </c>
      <c r="AZ46" s="19" t="str">
        <f t="shared" si="59"/>
        <v/>
      </c>
      <c r="BA46" s="19" t="str">
        <f t="shared" si="60"/>
        <v/>
      </c>
      <c r="BB46" s="19" t="str">
        <f t="shared" si="61"/>
        <v/>
      </c>
      <c r="BC46" s="19" t="str">
        <f t="shared" si="62"/>
        <v/>
      </c>
      <c r="BD46" s="19" t="str">
        <f t="shared" si="63"/>
        <v/>
      </c>
      <c r="BE46" s="19" t="str">
        <f t="shared" si="64"/>
        <v/>
      </c>
      <c r="BF46" s="19" t="str">
        <f t="shared" si="65"/>
        <v/>
      </c>
      <c r="BG46" s="19" t="str">
        <f t="shared" si="66"/>
        <v/>
      </c>
      <c r="BH46" s="19" t="str">
        <f t="shared" si="67"/>
        <v/>
      </c>
      <c r="BI46" s="19" t="str">
        <f t="shared" si="68"/>
        <v/>
      </c>
      <c r="BJ46" s="19" t="str">
        <f t="shared" si="69"/>
        <v/>
      </c>
    </row>
    <row r="47" spans="1:62">
      <c r="A47" s="12">
        <f t="shared" si="70"/>
        <v>33</v>
      </c>
      <c r="B47" s="19" t="str">
        <f t="shared" ref="B47:B74" si="71">IF(B$12&gt;=T,"",IF($A47&gt;B$13,"",IF(T&gt;C$12*$Q$2,B46*EXP(-2*B$11*SQRT(h)),B46*EXP(-2*$O$3*SQRT(h)))))</f>
        <v/>
      </c>
      <c r="C47" s="19" t="str">
        <f t="shared" ref="C47:C74" si="72">IF(C$12&gt;=T,"",IF($A47&gt;C$13,"",IF(T&gt;D$12*$Q$2,C46*EXP(-2*C$11*SQRT(h)),C46*EXP(-2*$O$3*SQRT(h)))))</f>
        <v/>
      </c>
      <c r="D47" s="19" t="str">
        <f t="shared" ref="D47:D74" si="73">IF(D$12&gt;=T,"",IF($A47&gt;D$13,"",IF(T&gt;E$12*$Q$2,D46*EXP(-2*D$11*SQRT(h)),D46*EXP(-2*$O$3*SQRT(h)))))</f>
        <v/>
      </c>
      <c r="E47" s="19" t="str">
        <f t="shared" ref="E47:E74" si="74">IF(E$12&gt;=T,"",IF($A47&gt;E$13,"",IF(T&gt;F$12*$Q$2,E46*EXP(-2*E$11*SQRT(h)),E46*EXP(-2*$O$3*SQRT(h)))))</f>
        <v/>
      </c>
      <c r="F47" s="19" t="str">
        <f t="shared" ref="F47:F74" si="75">IF(F$12&gt;=T,"",IF($A47&gt;F$13,"",IF(T&gt;G$12*$Q$2,F46*EXP(-2*F$11*SQRT(h)),F46*EXP(-2*$O$3*SQRT(h)))))</f>
        <v/>
      </c>
      <c r="G47" s="19" t="str">
        <f t="shared" ref="G47:G74" si="76">IF(G$12&gt;=T,"",IF($A47&gt;G$13,"",IF(T&gt;H$12*$Q$2,G46*EXP(-2*G$11*SQRT(h)),G46*EXP(-2*$O$3*SQRT(h)))))</f>
        <v/>
      </c>
      <c r="H47" s="19" t="str">
        <f t="shared" ref="H47:H74" si="77">IF(H$12&gt;=T,"",IF($A47&gt;H$13,"",IF(T&gt;I$12*$Q$2,H46*EXP(-2*H$11*SQRT(h)),H46*EXP(-2*$O$3*SQRT(h)))))</f>
        <v/>
      </c>
      <c r="I47" s="19" t="str">
        <f t="shared" ref="I47:I74" si="78">IF(I$12&gt;=T,"",IF($A47&gt;I$13,"",IF(T&gt;J$12*$Q$2,I46*EXP(-2*I$11*SQRT(h)),I46*EXP(-2*$O$3*SQRT(h)))))</f>
        <v/>
      </c>
      <c r="J47" s="19" t="str">
        <f t="shared" ref="J47:J74" si="79">IF(J$12&gt;=T,"",IF($A47&gt;J$13,"",IF(T&gt;K$12*$Q$2,J46*EXP(-2*J$11*SQRT(h)),J46*EXP(-2*$O$3*SQRT(h)))))</f>
        <v/>
      </c>
      <c r="K47" s="19" t="str">
        <f t="shared" ref="K47:K74" si="80">IF(K$12&gt;=T,"",IF($A47&gt;K$13,"",IF(T&gt;L$12*$Q$2,K46*EXP(-2*K$11*SQRT(h)),K46*EXP(-2*$O$3*SQRT(h)))))</f>
        <v/>
      </c>
      <c r="L47" s="19" t="str">
        <f t="shared" ref="L47:L74" si="81">IF(L$12&gt;=T,"",IF($A47&gt;L$13,"",IF(T&gt;M$12*$Q$2,L46*EXP(-2*L$11*SQRT(h)),L46*EXP(-2*$O$3*SQRT(h)))))</f>
        <v/>
      </c>
      <c r="M47" s="19" t="str">
        <f t="shared" ref="M47:M74" si="82">IF(M$12&gt;=T,"",IF($A47&gt;M$13,"",IF(T&gt;N$12*$Q$2,M46*EXP(-2*M$11*SQRT(h)),M46*EXP(-2*$O$3*SQRT(h)))))</f>
        <v/>
      </c>
      <c r="N47" s="19" t="str">
        <f t="shared" ref="N47:N74" si="83">IF(N$12&gt;=T,"",IF($A47&gt;N$13,"",IF(T&gt;O$12*$Q$2,N46*EXP(-2*N$11*SQRT(h)),N46*EXP(-2*$O$3*SQRT(h)))))</f>
        <v/>
      </c>
      <c r="O47" s="19" t="str">
        <f t="shared" ref="O47:O74" si="84">IF(O$12&gt;=T,"",IF($A47&gt;O$13,"",IF(T&gt;P$12*$Q$2,O46*EXP(-2*O$11*SQRT(h)),O46*EXP(-2*$O$3*SQRT(h)))))</f>
        <v/>
      </c>
      <c r="P47" s="19" t="str">
        <f t="shared" ref="P47:P74" si="85">IF(P$12&gt;=T,"",IF($A47&gt;P$13,"",IF(T&gt;Q$12*$Q$2,P46*EXP(-2*P$11*SQRT(h)),P46*EXP(-2*$O$3*SQRT(h)))))</f>
        <v/>
      </c>
      <c r="Q47" s="19" t="str">
        <f t="shared" ref="Q47:Q74" si="86">IF(Q$12&gt;=T,"",IF($A47&gt;Q$13,"",IF(T&gt;R$12*$Q$2,Q46*EXP(-2*Q$11*SQRT(h)),Q46*EXP(-2*$O$3*SQRT(h)))))</f>
        <v/>
      </c>
      <c r="R47" s="19" t="str">
        <f t="shared" ref="R47:R74" si="87">IF(R$12&gt;=T,"",IF($A47&gt;R$13,"",IF(T&gt;S$12*$Q$2,R46*EXP(-2*R$11*SQRT(h)),R46*EXP(-2*$O$3*SQRT(h)))))</f>
        <v/>
      </c>
      <c r="S47" s="19" t="str">
        <f t="shared" ref="S47:S74" si="88">IF(S$12&gt;=T,"",IF($A47&gt;S$13,"",IF(T&gt;T$12*$Q$2,S46*EXP(-2*S$11*SQRT(h)),S46*EXP(-2*$O$3*SQRT(h)))))</f>
        <v/>
      </c>
      <c r="T47" s="19" t="str">
        <f t="shared" ref="T47:T74" si="89">IF(T$12&gt;=T,"",IF($A47&gt;T$13,"",IF(T&gt;U$12*$Q$2,T46*EXP(-2*T$11*SQRT(h)),T46*EXP(-2*$O$3*SQRT(h)))))</f>
        <v/>
      </c>
      <c r="U47" s="19" t="str">
        <f t="shared" ref="U47:U74" si="90">IF(U$12&gt;=T,"",IF($A47&gt;U$13,"",IF(T&gt;V$12*$Q$2,U46*EXP(-2*U$11*SQRT(h)),U46*EXP(-2*$O$3*SQRT(h)))))</f>
        <v/>
      </c>
      <c r="V47" s="19" t="str">
        <f t="shared" ref="V47:V74" si="91">IF(V$12&gt;=T,"",IF($A47&gt;V$13,"",IF(T&gt;W$12*$Q$2,V46*EXP(-2*V$11*SQRT(h)),V46*EXP(-2*$O$3*SQRT(h)))))</f>
        <v/>
      </c>
      <c r="W47" s="19" t="str">
        <f t="shared" ref="W47:W74" si="92">IF(W$12&gt;=T,"",IF($A47&gt;W$13,"",IF(T&gt;X$12*$Q$2,W46*EXP(-2*W$11*SQRT(h)),W46*EXP(-2*$O$3*SQRT(h)))))</f>
        <v/>
      </c>
      <c r="X47" s="19" t="str">
        <f t="shared" ref="X47:X74" si="93">IF(X$12&gt;=T,"",IF($A47&gt;X$13,"",IF(T&gt;Y$12*$Q$2,X46*EXP(-2*X$11*SQRT(h)),X46*EXP(-2*$O$3*SQRT(h)))))</f>
        <v/>
      </c>
      <c r="Y47" s="19" t="str">
        <f t="shared" ref="Y47:Y74" si="94">IF(Y$12&gt;=T,"",IF($A47&gt;Y$13,"",IF(T&gt;Z$12*$Q$2,Y46*EXP(-2*Y$11*SQRT(h)),Y46*EXP(-2*$O$3*SQRT(h)))))</f>
        <v/>
      </c>
      <c r="Z47" s="19" t="str">
        <f t="shared" ref="Z47:Z74" si="95">IF(Z$12&gt;=T,"",IF($A47&gt;Z$13,"",IF(T&gt;AA$12*$Q$2,Z46*EXP(-2*Z$11*SQRT(h)),Z46*EXP(-2*$O$3*SQRT(h)))))</f>
        <v/>
      </c>
      <c r="AA47" s="19" t="str">
        <f t="shared" ref="AA47:AA74" si="96">IF(AA$12&gt;=T,"",IF($A47&gt;AA$13,"",IF(T&gt;AB$12*$Q$2,AA46*EXP(-2*AA$11*SQRT(h)),AA46*EXP(-2*$O$3*SQRT(h)))))</f>
        <v/>
      </c>
      <c r="AB47" s="19" t="str">
        <f t="shared" ref="AB47:AB74" si="97">IF(AB$12&gt;=T,"",IF($A47&gt;AB$13,"",IF(T&gt;AC$12*$Q$2,AB46*EXP(-2*AB$11*SQRT(h)),AB46*EXP(-2*$O$3*SQRT(h)))))</f>
        <v/>
      </c>
      <c r="AC47" s="19" t="str">
        <f t="shared" ref="AC47:AC74" si="98">IF(AC$12&gt;=T,"",IF($A47&gt;AC$13,"",IF(T&gt;AD$12*$Q$2,AC46*EXP(-2*AC$11*SQRT(h)),AC46*EXP(-2*$O$3*SQRT(h)))))</f>
        <v/>
      </c>
      <c r="AD47" s="19" t="str">
        <f t="shared" ref="AD47:AD74" si="99">IF(AD$12&gt;=T,"",IF($A47&gt;AD$13,"",IF(T&gt;AE$12*$Q$2,AD46*EXP(-2*AD$11*SQRT(h)),AD46*EXP(-2*$O$3*SQRT(h)))))</f>
        <v/>
      </c>
      <c r="AE47" s="19" t="str">
        <f t="shared" ref="AE47:AE74" si="100">IF(AE$12&gt;=T,"",IF($A47&gt;AE$13,"",IF(T&gt;AF$12*$Q$2,AE46*EXP(-2*AE$11*SQRT(h)),AE46*EXP(-2*$O$3*SQRT(h)))))</f>
        <v/>
      </c>
      <c r="AF47" s="19" t="str">
        <f t="shared" ref="AF47:AF74" si="101">IF(AF$12&gt;=T,"",IF($A47&gt;AF$13,"",IF(T&gt;AG$12*$Q$2,AF46*EXP(-2*AF$11*SQRT(h)),AF46*EXP(-2*$O$3*SQRT(h)))))</f>
        <v/>
      </c>
      <c r="AG47" s="19" t="str">
        <f t="shared" ref="AG47:AG74" si="102">IF(AG$12&gt;=T,"",IF($A47&gt;AG$13,"",IF(T&gt;AH$12*$Q$2,AG46*EXP(-2*AG$11*SQRT(h)),AG46*EXP(-2*$O$3*SQRT(h)))))</f>
        <v/>
      </c>
      <c r="AH47" s="19" t="str">
        <f t="shared" ref="AH47:AH74" si="103">IF(AH$12&gt;=T,"",IF($A47&gt;AH$13,"",IF(T&gt;AI$12*$Q$2,AH46*EXP(-2*AH$11*SQRT(h)),AH46*EXP(-2*$O$3*SQRT(h)))))</f>
        <v/>
      </c>
      <c r="AI47" s="19">
        <f t="shared" ref="AI47:AI74" si="104">IF(AI$12&gt;=T,"",IF($A47&gt;AI$13,"",IF(T&gt;AJ$12*$Q$2,AI46*EXP(-2*AI$11*SQRT(h)),AI46*EXP(-2*$O$3*SQRT(h)))))</f>
        <v>1.6546428768591025E-3</v>
      </c>
      <c r="AJ47" s="19">
        <f t="shared" ref="AJ47:AJ74" si="105">IF(AJ$12&gt;=T,"",IF($A47&gt;AJ$13,"",IF(T&gt;AK$12*$Q$2,AJ46*EXP(-2*AJ$11*SQRT(h)),AJ46*EXP(-2*$O$3*SQRT(h)))))</f>
        <v>2.0478492205158851E-3</v>
      </c>
      <c r="AK47" s="19">
        <f t="shared" ref="AK47:AK74" si="106">IF(AK$12&gt;=T,"",IF($A47&gt;AK$13,"",IF(T&gt;AL$12*$Q$2,AK46*EXP(-2*AK$11*SQRT(h)),AK46*EXP(-2*$O$3*SQRT(h)))))</f>
        <v>2.6050837902825211E-3</v>
      </c>
      <c r="AL47" s="19">
        <f t="shared" ref="AL47:AL74" si="107">IF(AL$12&gt;=T,"",IF($A47&gt;AL$13,"",IF(T&gt;AM$12*$Q$2,AL46*EXP(-2*AL$11*SQRT(h)),AL46*EXP(-2*$O$3*SQRT(h)))))</f>
        <v>3.0509910880876108E-3</v>
      </c>
      <c r="AM47" s="19">
        <f t="shared" ref="AM47:AM74" si="108">IF(AM$12&gt;=T,"",IF($A47&gt;AM$13,"",IF(T&gt;AN$12*$Q$2,AM46*EXP(-2*AM$11*SQRT(h)),AM46*EXP(-2*$O$3*SQRT(h)))))</f>
        <v>3.9073321561361833E-3</v>
      </c>
      <c r="AN47" s="19">
        <f t="shared" ref="AN47:AN74" si="109">IF(AN$12&gt;=T,"",IF($A47&gt;AN$13,"",IF(T&gt;AO$12*$Q$2,AN46*EXP(-2*AN$11*SQRT(h)),AN46*EXP(-2*$O$3*SQRT(h)))))</f>
        <v>4.9426185345160904E-3</v>
      </c>
      <c r="AO47" s="19">
        <f t="shared" ref="AO47:AO74" si="110">IF(AO$12&gt;=T,"",IF($A47&gt;AO$13,"",IF(T&gt;AP$12*$Q$2,AO46*EXP(-2*AO$11*SQRT(h)),AO46*EXP(-2*$O$3*SQRT(h)))))</f>
        <v>6.1596193685046485E-3</v>
      </c>
      <c r="AP47" s="19" t="str">
        <f t="shared" ref="AP47:AP74" si="111">IF(AP$12&gt;=T,"",IF($A47&gt;AP$13,"",IF(T&gt;AQ$12*$Q$2,AP46*EXP(-2*AP$11*SQRT(h)),AP46*EXP(-2*$O$3*SQRT(h)))))</f>
        <v/>
      </c>
      <c r="AQ47" s="19" t="str">
        <f t="shared" ref="AQ47:AQ74" si="112">IF(AQ$12&gt;=T,"",IF($A47&gt;AQ$13,"",IF(T&gt;AR$12*$Q$2,AQ46*EXP(-2*AQ$11*SQRT(h)),AQ46*EXP(-2*$O$3*SQRT(h)))))</f>
        <v/>
      </c>
      <c r="AR47" s="19" t="str">
        <f t="shared" ref="AR47:AR74" si="113">IF(AR$12&gt;=T,"",IF($A47&gt;AR$13,"",IF(T&gt;AS$12*$Q$2,AR46*EXP(-2*AR$11*SQRT(h)),AR46*EXP(-2*$O$3*SQRT(h)))))</f>
        <v/>
      </c>
      <c r="AS47" s="19" t="str">
        <f t="shared" ref="AS47:AS74" si="114">IF(AS$12&gt;=T,"",IF($A47&gt;AS$13,"",IF(T&gt;AT$12*$Q$2,AS46*EXP(-2*AS$11*SQRT(h)),AS46*EXP(-2*$O$3*SQRT(h)))))</f>
        <v/>
      </c>
      <c r="AT47" s="19" t="str">
        <f t="shared" ref="AT47:AT74" si="115">IF(AT$12&gt;=T,"",IF($A47&gt;AT$13,"",IF(T&gt;AU$12*$Q$2,AT46*EXP(-2*AT$11*SQRT(h)),AT46*EXP(-2*$O$3*SQRT(h)))))</f>
        <v/>
      </c>
      <c r="AU47" s="19" t="str">
        <f t="shared" ref="AU47:AU74" si="116">IF(AU$12&gt;=T,"",IF($A47&gt;AU$13,"",IF(T&gt;AV$12*$Q$2,AU46*EXP(-2*AU$11*SQRT(h)),AU46*EXP(-2*$O$3*SQRT(h)))))</f>
        <v/>
      </c>
      <c r="AV47" s="19" t="str">
        <f t="shared" ref="AV47:AV74" si="117">IF(AV$12&gt;=T,"",IF($A47&gt;AV$13,"",IF(T&gt;AW$12*$Q$2,AV46*EXP(-2*AV$11*SQRT(h)),AV46*EXP(-2*$O$3*SQRT(h)))))</f>
        <v/>
      </c>
      <c r="AW47" s="19" t="str">
        <f t="shared" ref="AW47:AW74" si="118">IF(AW$12&gt;=T,"",IF($A47&gt;AW$13,"",IF(T&gt;AX$12*$Q$2,AW46*EXP(-2*AW$11*SQRT(h)),AW46*EXP(-2*$O$3*SQRT(h)))))</f>
        <v/>
      </c>
      <c r="AX47" s="19" t="str">
        <f t="shared" ref="AX47:AX74" si="119">IF(AX$12&gt;=T,"",IF($A47&gt;AX$13,"",IF(T&gt;AY$12*$Q$2,AX46*EXP(-2*AX$11*SQRT(h)),AX46*EXP(-2*$O$3*SQRT(h)))))</f>
        <v/>
      </c>
      <c r="AY47" s="19" t="str">
        <f t="shared" ref="AY47:AY74" si="120">IF(AY$12&gt;=T,"",IF($A47&gt;AY$13,"",IF(T&gt;AZ$12*$Q$2,AY46*EXP(-2*AY$11*SQRT(h)),AY46*EXP(-2*$O$3*SQRT(h)))))</f>
        <v/>
      </c>
      <c r="AZ47" s="19" t="str">
        <f t="shared" ref="AZ47:AZ74" si="121">IF(AZ$12&gt;=T,"",IF($A47&gt;AZ$13,"",IF(T&gt;BA$12*$Q$2,AZ46*EXP(-2*AZ$11*SQRT(h)),AZ46*EXP(-2*$O$3*SQRT(h)))))</f>
        <v/>
      </c>
      <c r="BA47" s="19" t="str">
        <f t="shared" ref="BA47:BA74" si="122">IF(BA$12&gt;=T,"",IF($A47&gt;BA$13,"",IF(T&gt;BB$12*$Q$2,BA46*EXP(-2*BA$11*SQRT(h)),BA46*EXP(-2*$O$3*SQRT(h)))))</f>
        <v/>
      </c>
      <c r="BB47" s="19" t="str">
        <f t="shared" ref="BB47:BB74" si="123">IF(BB$12&gt;=T,"",IF($A47&gt;BB$13,"",IF(T&gt;BC$12*$Q$2,BB46*EXP(-2*BB$11*SQRT(h)),BB46*EXP(-2*$O$3*SQRT(h)))))</f>
        <v/>
      </c>
      <c r="BC47" s="19" t="str">
        <f t="shared" ref="BC47:BC74" si="124">IF(BC$12&gt;=T,"",IF($A47&gt;BC$13,"",IF(T&gt;BD$12*$Q$2,BC46*EXP(-2*BC$11*SQRT(h)),BC46*EXP(-2*$O$3*SQRT(h)))))</f>
        <v/>
      </c>
      <c r="BD47" s="19" t="str">
        <f t="shared" ref="BD47:BD74" si="125">IF(BD$12&gt;=T,"",IF($A47&gt;BD$13,"",IF(T&gt;BE$12*$Q$2,BD46*EXP(-2*BD$11*SQRT(h)),BD46*EXP(-2*$O$3*SQRT(h)))))</f>
        <v/>
      </c>
      <c r="BE47" s="19" t="str">
        <f t="shared" ref="BE47:BE74" si="126">IF(BE$12&gt;=T,"",IF($A47&gt;BE$13,"",IF(T&gt;BF$12*$Q$2,BE46*EXP(-2*BE$11*SQRT(h)),BE46*EXP(-2*$O$3*SQRT(h)))))</f>
        <v/>
      </c>
      <c r="BF47" s="19" t="str">
        <f t="shared" ref="BF47:BF74" si="127">IF(BF$12&gt;=T,"",IF($A47&gt;BF$13,"",IF(T&gt;BG$12*$Q$2,BF46*EXP(-2*BF$11*SQRT(h)),BF46*EXP(-2*$O$3*SQRT(h)))))</f>
        <v/>
      </c>
      <c r="BG47" s="19" t="str">
        <f t="shared" ref="BG47:BG74" si="128">IF(BG$12&gt;=T,"",IF($A47&gt;BG$13,"",IF(T&gt;BH$12*$Q$2,BG46*EXP(-2*BG$11*SQRT(h)),BG46*EXP(-2*$O$3*SQRT(h)))))</f>
        <v/>
      </c>
      <c r="BH47" s="19" t="str">
        <f t="shared" ref="BH47:BH74" si="129">IF(BH$12&gt;=T,"",IF($A47&gt;BH$13,"",IF(T&gt;BI$12*$Q$2,BH46*EXP(-2*BH$11*SQRT(h)),BH46*EXP(-2*$O$3*SQRT(h)))))</f>
        <v/>
      </c>
      <c r="BI47" s="19" t="str">
        <f t="shared" ref="BI47:BI74" si="130">IF(BI$12&gt;=T,"",IF($A47&gt;BI$13,"",IF(T&gt;BJ$12*$Q$2,BI46*EXP(-2*BI$11*SQRT(h)),BI46*EXP(-2*$O$3*SQRT(h)))))</f>
        <v/>
      </c>
      <c r="BJ47" s="19" t="str">
        <f t="shared" ref="BJ47:BJ74" si="131">IF(BJ$12&gt;=T,"",IF($A47&gt;BJ$13,"",IF(T&gt;BK$12*$Q$2,BJ46*EXP(-2*BJ$11*SQRT(h)),BJ46*EXP(-2*$O$3*SQRT(h)))))</f>
        <v/>
      </c>
    </row>
    <row r="48" spans="1:62">
      <c r="A48" s="12">
        <f t="shared" si="70"/>
        <v>34</v>
      </c>
      <c r="B48" s="19" t="str">
        <f t="shared" si="71"/>
        <v/>
      </c>
      <c r="C48" s="19" t="str">
        <f t="shared" si="72"/>
        <v/>
      </c>
      <c r="D48" s="19" t="str">
        <f t="shared" si="73"/>
        <v/>
      </c>
      <c r="E48" s="19" t="str">
        <f t="shared" si="74"/>
        <v/>
      </c>
      <c r="F48" s="19" t="str">
        <f t="shared" si="75"/>
        <v/>
      </c>
      <c r="G48" s="19" t="str">
        <f t="shared" si="76"/>
        <v/>
      </c>
      <c r="H48" s="19" t="str">
        <f t="shared" si="77"/>
        <v/>
      </c>
      <c r="I48" s="19" t="str">
        <f t="shared" si="78"/>
        <v/>
      </c>
      <c r="J48" s="19" t="str">
        <f t="shared" si="79"/>
        <v/>
      </c>
      <c r="K48" s="19" t="str">
        <f t="shared" si="80"/>
        <v/>
      </c>
      <c r="L48" s="19" t="str">
        <f t="shared" si="81"/>
        <v/>
      </c>
      <c r="M48" s="19" t="str">
        <f t="shared" si="82"/>
        <v/>
      </c>
      <c r="N48" s="19" t="str">
        <f t="shared" si="83"/>
        <v/>
      </c>
      <c r="O48" s="19" t="str">
        <f t="shared" si="84"/>
        <v/>
      </c>
      <c r="P48" s="19" t="str">
        <f t="shared" si="85"/>
        <v/>
      </c>
      <c r="Q48" s="19" t="str">
        <f t="shared" si="86"/>
        <v/>
      </c>
      <c r="R48" s="19" t="str">
        <f t="shared" si="87"/>
        <v/>
      </c>
      <c r="S48" s="19" t="str">
        <f t="shared" si="88"/>
        <v/>
      </c>
      <c r="T48" s="19" t="str">
        <f t="shared" si="89"/>
        <v/>
      </c>
      <c r="U48" s="19" t="str">
        <f t="shared" si="90"/>
        <v/>
      </c>
      <c r="V48" s="19" t="str">
        <f t="shared" si="91"/>
        <v/>
      </c>
      <c r="W48" s="19" t="str">
        <f t="shared" si="92"/>
        <v/>
      </c>
      <c r="X48" s="19" t="str">
        <f t="shared" si="93"/>
        <v/>
      </c>
      <c r="Y48" s="19" t="str">
        <f t="shared" si="94"/>
        <v/>
      </c>
      <c r="Z48" s="19" t="str">
        <f t="shared" si="95"/>
        <v/>
      </c>
      <c r="AA48" s="19" t="str">
        <f t="shared" si="96"/>
        <v/>
      </c>
      <c r="AB48" s="19" t="str">
        <f t="shared" si="97"/>
        <v/>
      </c>
      <c r="AC48" s="19" t="str">
        <f t="shared" si="98"/>
        <v/>
      </c>
      <c r="AD48" s="19" t="str">
        <f t="shared" si="99"/>
        <v/>
      </c>
      <c r="AE48" s="19" t="str">
        <f t="shared" si="100"/>
        <v/>
      </c>
      <c r="AF48" s="19" t="str">
        <f t="shared" si="101"/>
        <v/>
      </c>
      <c r="AG48" s="19" t="str">
        <f t="shared" si="102"/>
        <v/>
      </c>
      <c r="AH48" s="19" t="str">
        <f t="shared" si="103"/>
        <v/>
      </c>
      <c r="AI48" s="19" t="str">
        <f t="shared" si="104"/>
        <v/>
      </c>
      <c r="AJ48" s="19">
        <f t="shared" si="105"/>
        <v>1.6725669875099413E-3</v>
      </c>
      <c r="AK48" s="19">
        <f t="shared" si="106"/>
        <v>2.1445136210564318E-3</v>
      </c>
      <c r="AL48" s="19">
        <f t="shared" si="107"/>
        <v>2.5198637067684044E-3</v>
      </c>
      <c r="AM48" s="19">
        <f t="shared" si="108"/>
        <v>3.2567891599933289E-3</v>
      </c>
      <c r="AN48" s="19">
        <f t="shared" si="109"/>
        <v>4.1569029763543191E-3</v>
      </c>
      <c r="AO48" s="19">
        <f t="shared" si="110"/>
        <v>5.2249981258715222E-3</v>
      </c>
      <c r="AP48" s="19" t="str">
        <f t="shared" si="111"/>
        <v/>
      </c>
      <c r="AQ48" s="19" t="str">
        <f t="shared" si="112"/>
        <v/>
      </c>
      <c r="AR48" s="19" t="str">
        <f t="shared" si="113"/>
        <v/>
      </c>
      <c r="AS48" s="19" t="str">
        <f t="shared" si="114"/>
        <v/>
      </c>
      <c r="AT48" s="19" t="str">
        <f t="shared" si="115"/>
        <v/>
      </c>
      <c r="AU48" s="19" t="str">
        <f t="shared" si="116"/>
        <v/>
      </c>
      <c r="AV48" s="19" t="str">
        <f t="shared" si="117"/>
        <v/>
      </c>
      <c r="AW48" s="19" t="str">
        <f t="shared" si="118"/>
        <v/>
      </c>
      <c r="AX48" s="19" t="str">
        <f t="shared" si="119"/>
        <v/>
      </c>
      <c r="AY48" s="19" t="str">
        <f t="shared" si="120"/>
        <v/>
      </c>
      <c r="AZ48" s="19" t="str">
        <f t="shared" si="121"/>
        <v/>
      </c>
      <c r="BA48" s="19" t="str">
        <f t="shared" si="122"/>
        <v/>
      </c>
      <c r="BB48" s="19" t="str">
        <f t="shared" si="123"/>
        <v/>
      </c>
      <c r="BC48" s="19" t="str">
        <f t="shared" si="124"/>
        <v/>
      </c>
      <c r="BD48" s="19" t="str">
        <f t="shared" si="125"/>
        <v/>
      </c>
      <c r="BE48" s="19" t="str">
        <f t="shared" si="126"/>
        <v/>
      </c>
      <c r="BF48" s="19" t="str">
        <f t="shared" si="127"/>
        <v/>
      </c>
      <c r="BG48" s="19" t="str">
        <f t="shared" si="128"/>
        <v/>
      </c>
      <c r="BH48" s="19" t="str">
        <f t="shared" si="129"/>
        <v/>
      </c>
      <c r="BI48" s="19" t="str">
        <f t="shared" si="130"/>
        <v/>
      </c>
      <c r="BJ48" s="19" t="str">
        <f t="shared" si="131"/>
        <v/>
      </c>
    </row>
    <row r="49" spans="1:62">
      <c r="A49" s="12">
        <f t="shared" si="70"/>
        <v>35</v>
      </c>
      <c r="B49" s="19" t="str">
        <f t="shared" si="71"/>
        <v/>
      </c>
      <c r="C49" s="19" t="str">
        <f t="shared" si="72"/>
        <v/>
      </c>
      <c r="D49" s="19" t="str">
        <f t="shared" si="73"/>
        <v/>
      </c>
      <c r="E49" s="19" t="str">
        <f t="shared" si="74"/>
        <v/>
      </c>
      <c r="F49" s="19" t="str">
        <f t="shared" si="75"/>
        <v/>
      </c>
      <c r="G49" s="19" t="str">
        <f t="shared" si="76"/>
        <v/>
      </c>
      <c r="H49" s="19" t="str">
        <f t="shared" si="77"/>
        <v/>
      </c>
      <c r="I49" s="19" t="str">
        <f t="shared" si="78"/>
        <v/>
      </c>
      <c r="J49" s="19" t="str">
        <f t="shared" si="79"/>
        <v/>
      </c>
      <c r="K49" s="19" t="str">
        <f t="shared" si="80"/>
        <v/>
      </c>
      <c r="L49" s="19" t="str">
        <f t="shared" si="81"/>
        <v/>
      </c>
      <c r="M49" s="19" t="str">
        <f t="shared" si="82"/>
        <v/>
      </c>
      <c r="N49" s="19" t="str">
        <f t="shared" si="83"/>
        <v/>
      </c>
      <c r="O49" s="19" t="str">
        <f t="shared" si="84"/>
        <v/>
      </c>
      <c r="P49" s="19" t="str">
        <f t="shared" si="85"/>
        <v/>
      </c>
      <c r="Q49" s="19" t="str">
        <f t="shared" si="86"/>
        <v/>
      </c>
      <c r="R49" s="19" t="str">
        <f t="shared" si="87"/>
        <v/>
      </c>
      <c r="S49" s="19" t="str">
        <f t="shared" si="88"/>
        <v/>
      </c>
      <c r="T49" s="19" t="str">
        <f t="shared" si="89"/>
        <v/>
      </c>
      <c r="U49" s="19" t="str">
        <f t="shared" si="90"/>
        <v/>
      </c>
      <c r="V49" s="19" t="str">
        <f t="shared" si="91"/>
        <v/>
      </c>
      <c r="W49" s="19" t="str">
        <f t="shared" si="92"/>
        <v/>
      </c>
      <c r="X49" s="19" t="str">
        <f t="shared" si="93"/>
        <v/>
      </c>
      <c r="Y49" s="19" t="str">
        <f t="shared" si="94"/>
        <v/>
      </c>
      <c r="Z49" s="19" t="str">
        <f t="shared" si="95"/>
        <v/>
      </c>
      <c r="AA49" s="19" t="str">
        <f t="shared" si="96"/>
        <v/>
      </c>
      <c r="AB49" s="19" t="str">
        <f t="shared" si="97"/>
        <v/>
      </c>
      <c r="AC49" s="19" t="str">
        <f t="shared" si="98"/>
        <v/>
      </c>
      <c r="AD49" s="19" t="str">
        <f t="shared" si="99"/>
        <v/>
      </c>
      <c r="AE49" s="19" t="str">
        <f t="shared" si="100"/>
        <v/>
      </c>
      <c r="AF49" s="19" t="str">
        <f t="shared" si="101"/>
        <v/>
      </c>
      <c r="AG49" s="19" t="str">
        <f t="shared" si="102"/>
        <v/>
      </c>
      <c r="AH49" s="19" t="str">
        <f t="shared" si="103"/>
        <v/>
      </c>
      <c r="AI49" s="19" t="str">
        <f t="shared" si="104"/>
        <v/>
      </c>
      <c r="AJ49" s="19" t="str">
        <f t="shared" si="105"/>
        <v/>
      </c>
      <c r="AK49" s="19">
        <f t="shared" si="106"/>
        <v>1.7653707293606147E-3</v>
      </c>
      <c r="AL49" s="19">
        <f t="shared" si="107"/>
        <v>2.0811968692667211E-3</v>
      </c>
      <c r="AM49" s="19">
        <f t="shared" si="108"/>
        <v>2.7145569428985027E-3</v>
      </c>
      <c r="AN49" s="19">
        <f t="shared" si="109"/>
        <v>3.4960906317475274E-3</v>
      </c>
      <c r="AO49" s="19">
        <f t="shared" si="110"/>
        <v>4.4321903322394095E-3</v>
      </c>
      <c r="AP49" s="19" t="str">
        <f t="shared" si="111"/>
        <v/>
      </c>
      <c r="AQ49" s="19" t="str">
        <f t="shared" si="112"/>
        <v/>
      </c>
      <c r="AR49" s="19" t="str">
        <f t="shared" si="113"/>
        <v/>
      </c>
      <c r="AS49" s="19" t="str">
        <f t="shared" si="114"/>
        <v/>
      </c>
      <c r="AT49" s="19" t="str">
        <f t="shared" si="115"/>
        <v/>
      </c>
      <c r="AU49" s="19" t="str">
        <f t="shared" si="116"/>
        <v/>
      </c>
      <c r="AV49" s="19" t="str">
        <f t="shared" si="117"/>
        <v/>
      </c>
      <c r="AW49" s="19" t="str">
        <f t="shared" si="118"/>
        <v/>
      </c>
      <c r="AX49" s="19" t="str">
        <f t="shared" si="119"/>
        <v/>
      </c>
      <c r="AY49" s="19" t="str">
        <f t="shared" si="120"/>
        <v/>
      </c>
      <c r="AZ49" s="19" t="str">
        <f t="shared" si="121"/>
        <v/>
      </c>
      <c r="BA49" s="19" t="str">
        <f t="shared" si="122"/>
        <v/>
      </c>
      <c r="BB49" s="19" t="str">
        <f t="shared" si="123"/>
        <v/>
      </c>
      <c r="BC49" s="19" t="str">
        <f t="shared" si="124"/>
        <v/>
      </c>
      <c r="BD49" s="19" t="str">
        <f t="shared" si="125"/>
        <v/>
      </c>
      <c r="BE49" s="19" t="str">
        <f t="shared" si="126"/>
        <v/>
      </c>
      <c r="BF49" s="19" t="str">
        <f t="shared" si="127"/>
        <v/>
      </c>
      <c r="BG49" s="19" t="str">
        <f t="shared" si="128"/>
        <v/>
      </c>
      <c r="BH49" s="19" t="str">
        <f t="shared" si="129"/>
        <v/>
      </c>
      <c r="BI49" s="19" t="str">
        <f t="shared" si="130"/>
        <v/>
      </c>
      <c r="BJ49" s="19" t="str">
        <f t="shared" si="131"/>
        <v/>
      </c>
    </row>
    <row r="50" spans="1:62">
      <c r="A50" s="12">
        <f t="shared" si="70"/>
        <v>36</v>
      </c>
      <c r="B50" s="19" t="str">
        <f t="shared" si="71"/>
        <v/>
      </c>
      <c r="C50" s="19" t="str">
        <f t="shared" si="72"/>
        <v/>
      </c>
      <c r="D50" s="19" t="str">
        <f t="shared" si="73"/>
        <v/>
      </c>
      <c r="E50" s="19" t="str">
        <f t="shared" si="74"/>
        <v/>
      </c>
      <c r="F50" s="19" t="str">
        <f t="shared" si="75"/>
        <v/>
      </c>
      <c r="G50" s="19" t="str">
        <f t="shared" si="76"/>
        <v/>
      </c>
      <c r="H50" s="19" t="str">
        <f t="shared" si="77"/>
        <v/>
      </c>
      <c r="I50" s="19" t="str">
        <f t="shared" si="78"/>
        <v/>
      </c>
      <c r="J50" s="19" t="str">
        <f t="shared" si="79"/>
        <v/>
      </c>
      <c r="K50" s="19" t="str">
        <f t="shared" si="80"/>
        <v/>
      </c>
      <c r="L50" s="19" t="str">
        <f t="shared" si="81"/>
        <v/>
      </c>
      <c r="M50" s="19" t="str">
        <f t="shared" si="82"/>
        <v/>
      </c>
      <c r="N50" s="19" t="str">
        <f t="shared" si="83"/>
        <v/>
      </c>
      <c r="O50" s="19" t="str">
        <f t="shared" si="84"/>
        <v/>
      </c>
      <c r="P50" s="19" t="str">
        <f t="shared" si="85"/>
        <v/>
      </c>
      <c r="Q50" s="19" t="str">
        <f t="shared" si="86"/>
        <v/>
      </c>
      <c r="R50" s="19" t="str">
        <f t="shared" si="87"/>
        <v/>
      </c>
      <c r="S50" s="19" t="str">
        <f t="shared" si="88"/>
        <v/>
      </c>
      <c r="T50" s="19" t="str">
        <f t="shared" si="89"/>
        <v/>
      </c>
      <c r="U50" s="19" t="str">
        <f t="shared" si="90"/>
        <v/>
      </c>
      <c r="V50" s="19" t="str">
        <f t="shared" si="91"/>
        <v/>
      </c>
      <c r="W50" s="19" t="str">
        <f t="shared" si="92"/>
        <v/>
      </c>
      <c r="X50" s="19" t="str">
        <f t="shared" si="93"/>
        <v/>
      </c>
      <c r="Y50" s="19" t="str">
        <f t="shared" si="94"/>
        <v/>
      </c>
      <c r="Z50" s="19" t="str">
        <f t="shared" si="95"/>
        <v/>
      </c>
      <c r="AA50" s="19" t="str">
        <f t="shared" si="96"/>
        <v/>
      </c>
      <c r="AB50" s="19" t="str">
        <f t="shared" si="97"/>
        <v/>
      </c>
      <c r="AC50" s="19" t="str">
        <f t="shared" si="98"/>
        <v/>
      </c>
      <c r="AD50" s="19" t="str">
        <f t="shared" si="99"/>
        <v/>
      </c>
      <c r="AE50" s="19" t="str">
        <f t="shared" si="100"/>
        <v/>
      </c>
      <c r="AF50" s="19" t="str">
        <f t="shared" si="101"/>
        <v/>
      </c>
      <c r="AG50" s="19" t="str">
        <f t="shared" si="102"/>
        <v/>
      </c>
      <c r="AH50" s="19" t="str">
        <f t="shared" si="103"/>
        <v/>
      </c>
      <c r="AI50" s="19" t="str">
        <f t="shared" si="104"/>
        <v/>
      </c>
      <c r="AJ50" s="19" t="str">
        <f t="shared" si="105"/>
        <v/>
      </c>
      <c r="AK50" s="19" t="str">
        <f t="shared" si="106"/>
        <v/>
      </c>
      <c r="AL50" s="19">
        <f t="shared" si="107"/>
        <v>1.7188947152226635E-3</v>
      </c>
      <c r="AM50" s="19">
        <f t="shared" si="108"/>
        <v>2.2626025309705829E-3</v>
      </c>
      <c r="AN50" s="19">
        <f t="shared" si="109"/>
        <v>2.9403259529796185E-3</v>
      </c>
      <c r="AO50" s="19">
        <f t="shared" si="110"/>
        <v>3.7596781219744156E-3</v>
      </c>
      <c r="AP50" s="19" t="str">
        <f t="shared" si="111"/>
        <v/>
      </c>
      <c r="AQ50" s="19" t="str">
        <f t="shared" si="112"/>
        <v/>
      </c>
      <c r="AR50" s="19" t="str">
        <f t="shared" si="113"/>
        <v/>
      </c>
      <c r="AS50" s="19" t="str">
        <f t="shared" si="114"/>
        <v/>
      </c>
      <c r="AT50" s="19" t="str">
        <f t="shared" si="115"/>
        <v/>
      </c>
      <c r="AU50" s="19" t="str">
        <f t="shared" si="116"/>
        <v/>
      </c>
      <c r="AV50" s="19" t="str">
        <f t="shared" si="117"/>
        <v/>
      </c>
      <c r="AW50" s="19" t="str">
        <f t="shared" si="118"/>
        <v/>
      </c>
      <c r="AX50" s="19" t="str">
        <f t="shared" si="119"/>
        <v/>
      </c>
      <c r="AY50" s="19" t="str">
        <f t="shared" si="120"/>
        <v/>
      </c>
      <c r="AZ50" s="19" t="str">
        <f t="shared" si="121"/>
        <v/>
      </c>
      <c r="BA50" s="19" t="str">
        <f t="shared" si="122"/>
        <v/>
      </c>
      <c r="BB50" s="19" t="str">
        <f t="shared" si="123"/>
        <v/>
      </c>
      <c r="BC50" s="19" t="str">
        <f t="shared" si="124"/>
        <v/>
      </c>
      <c r="BD50" s="19" t="str">
        <f t="shared" si="125"/>
        <v/>
      </c>
      <c r="BE50" s="19" t="str">
        <f t="shared" si="126"/>
        <v/>
      </c>
      <c r="BF50" s="19" t="str">
        <f t="shared" si="127"/>
        <v/>
      </c>
      <c r="BG50" s="19" t="str">
        <f t="shared" si="128"/>
        <v/>
      </c>
      <c r="BH50" s="19" t="str">
        <f t="shared" si="129"/>
        <v/>
      </c>
      <c r="BI50" s="19" t="str">
        <f t="shared" si="130"/>
        <v/>
      </c>
      <c r="BJ50" s="19" t="str">
        <f t="shared" si="131"/>
        <v/>
      </c>
    </row>
    <row r="51" spans="1:62">
      <c r="A51" s="12">
        <f t="shared" si="70"/>
        <v>37</v>
      </c>
      <c r="B51" s="19" t="str">
        <f t="shared" si="71"/>
        <v/>
      </c>
      <c r="C51" s="19" t="str">
        <f t="shared" si="72"/>
        <v/>
      </c>
      <c r="D51" s="19" t="str">
        <f t="shared" si="73"/>
        <v/>
      </c>
      <c r="E51" s="19" t="str">
        <f t="shared" si="74"/>
        <v/>
      </c>
      <c r="F51" s="19" t="str">
        <f t="shared" si="75"/>
        <v/>
      </c>
      <c r="G51" s="19" t="str">
        <f t="shared" si="76"/>
        <v/>
      </c>
      <c r="H51" s="19" t="str">
        <f t="shared" si="77"/>
        <v/>
      </c>
      <c r="I51" s="19" t="str">
        <f t="shared" si="78"/>
        <v/>
      </c>
      <c r="J51" s="19" t="str">
        <f t="shared" si="79"/>
        <v/>
      </c>
      <c r="K51" s="19" t="str">
        <f t="shared" si="80"/>
        <v/>
      </c>
      <c r="L51" s="19" t="str">
        <f t="shared" si="81"/>
        <v/>
      </c>
      <c r="M51" s="19" t="str">
        <f t="shared" si="82"/>
        <v/>
      </c>
      <c r="N51" s="19" t="str">
        <f t="shared" si="83"/>
        <v/>
      </c>
      <c r="O51" s="19" t="str">
        <f t="shared" si="84"/>
        <v/>
      </c>
      <c r="P51" s="19" t="str">
        <f t="shared" si="85"/>
        <v/>
      </c>
      <c r="Q51" s="19" t="str">
        <f t="shared" si="86"/>
        <v/>
      </c>
      <c r="R51" s="19" t="str">
        <f t="shared" si="87"/>
        <v/>
      </c>
      <c r="S51" s="19" t="str">
        <f t="shared" si="88"/>
        <v/>
      </c>
      <c r="T51" s="19" t="str">
        <f t="shared" si="89"/>
        <v/>
      </c>
      <c r="U51" s="19" t="str">
        <f t="shared" si="90"/>
        <v/>
      </c>
      <c r="V51" s="19" t="str">
        <f t="shared" si="91"/>
        <v/>
      </c>
      <c r="W51" s="19" t="str">
        <f t="shared" si="92"/>
        <v/>
      </c>
      <c r="X51" s="19" t="str">
        <f t="shared" si="93"/>
        <v/>
      </c>
      <c r="Y51" s="19" t="str">
        <f t="shared" si="94"/>
        <v/>
      </c>
      <c r="Z51" s="19" t="str">
        <f t="shared" si="95"/>
        <v/>
      </c>
      <c r="AA51" s="19" t="str">
        <f t="shared" si="96"/>
        <v/>
      </c>
      <c r="AB51" s="19" t="str">
        <f t="shared" si="97"/>
        <v/>
      </c>
      <c r="AC51" s="19" t="str">
        <f t="shared" si="98"/>
        <v/>
      </c>
      <c r="AD51" s="19" t="str">
        <f t="shared" si="99"/>
        <v/>
      </c>
      <c r="AE51" s="19" t="str">
        <f t="shared" si="100"/>
        <v/>
      </c>
      <c r="AF51" s="19" t="str">
        <f t="shared" si="101"/>
        <v/>
      </c>
      <c r="AG51" s="19" t="str">
        <f t="shared" si="102"/>
        <v/>
      </c>
      <c r="AH51" s="19" t="str">
        <f t="shared" si="103"/>
        <v/>
      </c>
      <c r="AI51" s="19" t="str">
        <f t="shared" si="104"/>
        <v/>
      </c>
      <c r="AJ51" s="19" t="str">
        <f t="shared" si="105"/>
        <v/>
      </c>
      <c r="AK51" s="19" t="str">
        <f t="shared" si="106"/>
        <v/>
      </c>
      <c r="AL51" s="19" t="str">
        <f t="shared" si="107"/>
        <v/>
      </c>
      <c r="AM51" s="19">
        <f t="shared" si="108"/>
        <v>1.8858953121418832E-3</v>
      </c>
      <c r="AN51" s="19">
        <f t="shared" si="109"/>
        <v>2.4729097784985123E-3</v>
      </c>
      <c r="AO51" s="19">
        <f t="shared" si="110"/>
        <v>3.1892086127337238E-3</v>
      </c>
      <c r="AP51" s="19" t="str">
        <f t="shared" si="111"/>
        <v/>
      </c>
      <c r="AQ51" s="19" t="str">
        <f t="shared" si="112"/>
        <v/>
      </c>
      <c r="AR51" s="19" t="str">
        <f t="shared" si="113"/>
        <v/>
      </c>
      <c r="AS51" s="19" t="str">
        <f t="shared" si="114"/>
        <v/>
      </c>
      <c r="AT51" s="19" t="str">
        <f t="shared" si="115"/>
        <v/>
      </c>
      <c r="AU51" s="19" t="str">
        <f t="shared" si="116"/>
        <v/>
      </c>
      <c r="AV51" s="19" t="str">
        <f t="shared" si="117"/>
        <v/>
      </c>
      <c r="AW51" s="19" t="str">
        <f t="shared" si="118"/>
        <v/>
      </c>
      <c r="AX51" s="19" t="str">
        <f t="shared" si="119"/>
        <v/>
      </c>
      <c r="AY51" s="19" t="str">
        <f t="shared" si="120"/>
        <v/>
      </c>
      <c r="AZ51" s="19" t="str">
        <f t="shared" si="121"/>
        <v/>
      </c>
      <c r="BA51" s="19" t="str">
        <f t="shared" si="122"/>
        <v/>
      </c>
      <c r="BB51" s="19" t="str">
        <f t="shared" si="123"/>
        <v/>
      </c>
      <c r="BC51" s="19" t="str">
        <f t="shared" si="124"/>
        <v/>
      </c>
      <c r="BD51" s="19" t="str">
        <f t="shared" si="125"/>
        <v/>
      </c>
      <c r="BE51" s="19" t="str">
        <f t="shared" si="126"/>
        <v/>
      </c>
      <c r="BF51" s="19" t="str">
        <f t="shared" si="127"/>
        <v/>
      </c>
      <c r="BG51" s="19" t="str">
        <f t="shared" si="128"/>
        <v/>
      </c>
      <c r="BH51" s="19" t="str">
        <f t="shared" si="129"/>
        <v/>
      </c>
      <c r="BI51" s="19" t="str">
        <f t="shared" si="130"/>
        <v/>
      </c>
      <c r="BJ51" s="19" t="str">
        <f t="shared" si="131"/>
        <v/>
      </c>
    </row>
    <row r="52" spans="1:62">
      <c r="A52" s="12">
        <f t="shared" si="70"/>
        <v>38</v>
      </c>
      <c r="B52" s="19" t="str">
        <f t="shared" si="71"/>
        <v/>
      </c>
      <c r="C52" s="19" t="str">
        <f t="shared" si="72"/>
        <v/>
      </c>
      <c r="D52" s="19" t="str">
        <f t="shared" si="73"/>
        <v/>
      </c>
      <c r="E52" s="19" t="str">
        <f t="shared" si="74"/>
        <v/>
      </c>
      <c r="F52" s="19" t="str">
        <f t="shared" si="75"/>
        <v/>
      </c>
      <c r="G52" s="19" t="str">
        <f t="shared" si="76"/>
        <v/>
      </c>
      <c r="H52" s="19" t="str">
        <f t="shared" si="77"/>
        <v/>
      </c>
      <c r="I52" s="19" t="str">
        <f t="shared" si="78"/>
        <v/>
      </c>
      <c r="J52" s="19" t="str">
        <f t="shared" si="79"/>
        <v/>
      </c>
      <c r="K52" s="19" t="str">
        <f t="shared" si="80"/>
        <v/>
      </c>
      <c r="L52" s="19" t="str">
        <f t="shared" si="81"/>
        <v/>
      </c>
      <c r="M52" s="19" t="str">
        <f t="shared" si="82"/>
        <v/>
      </c>
      <c r="N52" s="19" t="str">
        <f t="shared" si="83"/>
        <v/>
      </c>
      <c r="O52" s="19" t="str">
        <f t="shared" si="84"/>
        <v/>
      </c>
      <c r="P52" s="19" t="str">
        <f t="shared" si="85"/>
        <v/>
      </c>
      <c r="Q52" s="19" t="str">
        <f t="shared" si="86"/>
        <v/>
      </c>
      <c r="R52" s="19" t="str">
        <f t="shared" si="87"/>
        <v/>
      </c>
      <c r="S52" s="19" t="str">
        <f t="shared" si="88"/>
        <v/>
      </c>
      <c r="T52" s="19" t="str">
        <f t="shared" si="89"/>
        <v/>
      </c>
      <c r="U52" s="19" t="str">
        <f t="shared" si="90"/>
        <v/>
      </c>
      <c r="V52" s="19" t="str">
        <f t="shared" si="91"/>
        <v/>
      </c>
      <c r="W52" s="19" t="str">
        <f t="shared" si="92"/>
        <v/>
      </c>
      <c r="X52" s="19" t="str">
        <f t="shared" si="93"/>
        <v/>
      </c>
      <c r="Y52" s="19" t="str">
        <f t="shared" si="94"/>
        <v/>
      </c>
      <c r="Z52" s="19" t="str">
        <f t="shared" si="95"/>
        <v/>
      </c>
      <c r="AA52" s="19" t="str">
        <f t="shared" si="96"/>
        <v/>
      </c>
      <c r="AB52" s="19" t="str">
        <f t="shared" si="97"/>
        <v/>
      </c>
      <c r="AC52" s="19" t="str">
        <f t="shared" si="98"/>
        <v/>
      </c>
      <c r="AD52" s="19" t="str">
        <f t="shared" si="99"/>
        <v/>
      </c>
      <c r="AE52" s="19" t="str">
        <f t="shared" si="100"/>
        <v/>
      </c>
      <c r="AF52" s="19" t="str">
        <f t="shared" si="101"/>
        <v/>
      </c>
      <c r="AG52" s="19" t="str">
        <f t="shared" si="102"/>
        <v/>
      </c>
      <c r="AH52" s="19" t="str">
        <f t="shared" si="103"/>
        <v/>
      </c>
      <c r="AI52" s="19" t="str">
        <f t="shared" si="104"/>
        <v/>
      </c>
      <c r="AJ52" s="19" t="str">
        <f t="shared" si="105"/>
        <v/>
      </c>
      <c r="AK52" s="19" t="str">
        <f t="shared" si="106"/>
        <v/>
      </c>
      <c r="AL52" s="19" t="str">
        <f t="shared" si="107"/>
        <v/>
      </c>
      <c r="AM52" s="19" t="str">
        <f t="shared" si="108"/>
        <v/>
      </c>
      <c r="AN52" s="19">
        <f t="shared" si="109"/>
        <v>2.0797975701967865E-3</v>
      </c>
      <c r="AO52" s="19">
        <f t="shared" si="110"/>
        <v>2.7052984977856505E-3</v>
      </c>
      <c r="AP52" s="19" t="str">
        <f t="shared" si="111"/>
        <v/>
      </c>
      <c r="AQ52" s="19" t="str">
        <f t="shared" si="112"/>
        <v/>
      </c>
      <c r="AR52" s="19" t="str">
        <f t="shared" si="113"/>
        <v/>
      </c>
      <c r="AS52" s="19" t="str">
        <f t="shared" si="114"/>
        <v/>
      </c>
      <c r="AT52" s="19" t="str">
        <f t="shared" si="115"/>
        <v/>
      </c>
      <c r="AU52" s="19" t="str">
        <f t="shared" si="116"/>
        <v/>
      </c>
      <c r="AV52" s="19" t="str">
        <f t="shared" si="117"/>
        <v/>
      </c>
      <c r="AW52" s="19" t="str">
        <f t="shared" si="118"/>
        <v/>
      </c>
      <c r="AX52" s="19" t="str">
        <f t="shared" si="119"/>
        <v/>
      </c>
      <c r="AY52" s="19" t="str">
        <f t="shared" si="120"/>
        <v/>
      </c>
      <c r="AZ52" s="19" t="str">
        <f t="shared" si="121"/>
        <v/>
      </c>
      <c r="BA52" s="19" t="str">
        <f t="shared" si="122"/>
        <v/>
      </c>
      <c r="BB52" s="19" t="str">
        <f t="shared" si="123"/>
        <v/>
      </c>
      <c r="BC52" s="19" t="str">
        <f t="shared" si="124"/>
        <v/>
      </c>
      <c r="BD52" s="19" t="str">
        <f t="shared" si="125"/>
        <v/>
      </c>
      <c r="BE52" s="19" t="str">
        <f t="shared" si="126"/>
        <v/>
      </c>
      <c r="BF52" s="19" t="str">
        <f t="shared" si="127"/>
        <v/>
      </c>
      <c r="BG52" s="19" t="str">
        <f t="shared" si="128"/>
        <v/>
      </c>
      <c r="BH52" s="19" t="str">
        <f t="shared" si="129"/>
        <v/>
      </c>
      <c r="BI52" s="19" t="str">
        <f t="shared" si="130"/>
        <v/>
      </c>
      <c r="BJ52" s="19" t="str">
        <f t="shared" si="131"/>
        <v/>
      </c>
    </row>
    <row r="53" spans="1:62">
      <c r="A53" s="12">
        <f t="shared" si="70"/>
        <v>39</v>
      </c>
      <c r="B53" s="19" t="str">
        <f t="shared" si="71"/>
        <v/>
      </c>
      <c r="C53" s="19" t="str">
        <f t="shared" si="72"/>
        <v/>
      </c>
      <c r="D53" s="19" t="str">
        <f t="shared" si="73"/>
        <v/>
      </c>
      <c r="E53" s="19" t="str">
        <f t="shared" si="74"/>
        <v/>
      </c>
      <c r="F53" s="19" t="str">
        <f t="shared" si="75"/>
        <v/>
      </c>
      <c r="G53" s="19" t="str">
        <f t="shared" si="76"/>
        <v/>
      </c>
      <c r="H53" s="19" t="str">
        <f t="shared" si="77"/>
        <v/>
      </c>
      <c r="I53" s="19" t="str">
        <f t="shared" si="78"/>
        <v/>
      </c>
      <c r="J53" s="19" t="str">
        <f t="shared" si="79"/>
        <v/>
      </c>
      <c r="K53" s="19" t="str">
        <f t="shared" si="80"/>
        <v/>
      </c>
      <c r="L53" s="19" t="str">
        <f t="shared" si="81"/>
        <v/>
      </c>
      <c r="M53" s="19" t="str">
        <f t="shared" si="82"/>
        <v/>
      </c>
      <c r="N53" s="19" t="str">
        <f t="shared" si="83"/>
        <v/>
      </c>
      <c r="O53" s="19" t="str">
        <f t="shared" si="84"/>
        <v/>
      </c>
      <c r="P53" s="19" t="str">
        <f t="shared" si="85"/>
        <v/>
      </c>
      <c r="Q53" s="19" t="str">
        <f t="shared" si="86"/>
        <v/>
      </c>
      <c r="R53" s="19" t="str">
        <f t="shared" si="87"/>
        <v/>
      </c>
      <c r="S53" s="19" t="str">
        <f t="shared" si="88"/>
        <v/>
      </c>
      <c r="T53" s="19" t="str">
        <f t="shared" si="89"/>
        <v/>
      </c>
      <c r="U53" s="19" t="str">
        <f t="shared" si="90"/>
        <v/>
      </c>
      <c r="V53" s="19" t="str">
        <f t="shared" si="91"/>
        <v/>
      </c>
      <c r="W53" s="19" t="str">
        <f t="shared" si="92"/>
        <v/>
      </c>
      <c r="X53" s="19" t="str">
        <f t="shared" si="93"/>
        <v/>
      </c>
      <c r="Y53" s="19" t="str">
        <f t="shared" si="94"/>
        <v/>
      </c>
      <c r="Z53" s="19" t="str">
        <f t="shared" si="95"/>
        <v/>
      </c>
      <c r="AA53" s="19" t="str">
        <f t="shared" si="96"/>
        <v/>
      </c>
      <c r="AB53" s="19" t="str">
        <f t="shared" si="97"/>
        <v/>
      </c>
      <c r="AC53" s="19" t="str">
        <f t="shared" si="98"/>
        <v/>
      </c>
      <c r="AD53" s="19" t="str">
        <f t="shared" si="99"/>
        <v/>
      </c>
      <c r="AE53" s="19" t="str">
        <f t="shared" si="100"/>
        <v/>
      </c>
      <c r="AF53" s="19" t="str">
        <f t="shared" si="101"/>
        <v/>
      </c>
      <c r="AG53" s="19" t="str">
        <f t="shared" si="102"/>
        <v/>
      </c>
      <c r="AH53" s="19" t="str">
        <f t="shared" si="103"/>
        <v/>
      </c>
      <c r="AI53" s="19" t="str">
        <f t="shared" si="104"/>
        <v/>
      </c>
      <c r="AJ53" s="19" t="str">
        <f t="shared" si="105"/>
        <v/>
      </c>
      <c r="AK53" s="19" t="str">
        <f t="shared" si="106"/>
        <v/>
      </c>
      <c r="AL53" s="19" t="str">
        <f t="shared" si="107"/>
        <v/>
      </c>
      <c r="AM53" s="19" t="str">
        <f t="shared" si="108"/>
        <v/>
      </c>
      <c r="AN53" s="19" t="str">
        <f t="shared" si="109"/>
        <v/>
      </c>
      <c r="AO53" s="19">
        <f t="shared" si="110"/>
        <v>2.2948138083221563E-3</v>
      </c>
      <c r="AP53" s="19" t="str">
        <f t="shared" si="111"/>
        <v/>
      </c>
      <c r="AQ53" s="19" t="str">
        <f t="shared" si="112"/>
        <v/>
      </c>
      <c r="AR53" s="19" t="str">
        <f t="shared" si="113"/>
        <v/>
      </c>
      <c r="AS53" s="19" t="str">
        <f t="shared" si="114"/>
        <v/>
      </c>
      <c r="AT53" s="19" t="str">
        <f t="shared" si="115"/>
        <v/>
      </c>
      <c r="AU53" s="19" t="str">
        <f t="shared" si="116"/>
        <v/>
      </c>
      <c r="AV53" s="19" t="str">
        <f t="shared" si="117"/>
        <v/>
      </c>
      <c r="AW53" s="19" t="str">
        <f t="shared" si="118"/>
        <v/>
      </c>
      <c r="AX53" s="19" t="str">
        <f t="shared" si="119"/>
        <v/>
      </c>
      <c r="AY53" s="19" t="str">
        <f t="shared" si="120"/>
        <v/>
      </c>
      <c r="AZ53" s="19" t="str">
        <f t="shared" si="121"/>
        <v/>
      </c>
      <c r="BA53" s="19" t="str">
        <f t="shared" si="122"/>
        <v/>
      </c>
      <c r="BB53" s="19" t="str">
        <f t="shared" si="123"/>
        <v/>
      </c>
      <c r="BC53" s="19" t="str">
        <f t="shared" si="124"/>
        <v/>
      </c>
      <c r="BD53" s="19" t="str">
        <f t="shared" si="125"/>
        <v/>
      </c>
      <c r="BE53" s="19" t="str">
        <f t="shared" si="126"/>
        <v/>
      </c>
      <c r="BF53" s="19" t="str">
        <f t="shared" si="127"/>
        <v/>
      </c>
      <c r="BG53" s="19" t="str">
        <f t="shared" si="128"/>
        <v/>
      </c>
      <c r="BH53" s="19" t="str">
        <f t="shared" si="129"/>
        <v/>
      </c>
      <c r="BI53" s="19" t="str">
        <f t="shared" si="130"/>
        <v/>
      </c>
      <c r="BJ53" s="19" t="str">
        <f t="shared" si="131"/>
        <v/>
      </c>
    </row>
    <row r="54" spans="1:62">
      <c r="A54" s="12">
        <f t="shared" si="70"/>
        <v>40</v>
      </c>
      <c r="B54" s="19" t="str">
        <f t="shared" si="71"/>
        <v/>
      </c>
      <c r="C54" s="19" t="str">
        <f t="shared" si="72"/>
        <v/>
      </c>
      <c r="D54" s="19" t="str">
        <f t="shared" si="73"/>
        <v/>
      </c>
      <c r="E54" s="19" t="str">
        <f t="shared" si="74"/>
        <v/>
      </c>
      <c r="F54" s="19" t="str">
        <f t="shared" si="75"/>
        <v/>
      </c>
      <c r="G54" s="19" t="str">
        <f t="shared" si="76"/>
        <v/>
      </c>
      <c r="H54" s="19" t="str">
        <f t="shared" si="77"/>
        <v/>
      </c>
      <c r="I54" s="19" t="str">
        <f t="shared" si="78"/>
        <v/>
      </c>
      <c r="J54" s="19" t="str">
        <f t="shared" si="79"/>
        <v/>
      </c>
      <c r="K54" s="19" t="str">
        <f t="shared" si="80"/>
        <v/>
      </c>
      <c r="L54" s="19" t="str">
        <f t="shared" si="81"/>
        <v/>
      </c>
      <c r="M54" s="19" t="str">
        <f t="shared" si="82"/>
        <v/>
      </c>
      <c r="N54" s="19" t="str">
        <f t="shared" si="83"/>
        <v/>
      </c>
      <c r="O54" s="19" t="str">
        <f t="shared" si="84"/>
        <v/>
      </c>
      <c r="P54" s="19" t="str">
        <f t="shared" si="85"/>
        <v/>
      </c>
      <c r="Q54" s="19" t="str">
        <f t="shared" si="86"/>
        <v/>
      </c>
      <c r="R54" s="19" t="str">
        <f t="shared" si="87"/>
        <v/>
      </c>
      <c r="S54" s="19" t="str">
        <f t="shared" si="88"/>
        <v/>
      </c>
      <c r="T54" s="19" t="str">
        <f t="shared" si="89"/>
        <v/>
      </c>
      <c r="U54" s="19" t="str">
        <f t="shared" si="90"/>
        <v/>
      </c>
      <c r="V54" s="19" t="str">
        <f t="shared" si="91"/>
        <v/>
      </c>
      <c r="W54" s="19" t="str">
        <f t="shared" si="92"/>
        <v/>
      </c>
      <c r="X54" s="19" t="str">
        <f t="shared" si="93"/>
        <v/>
      </c>
      <c r="Y54" s="19" t="str">
        <f t="shared" si="94"/>
        <v/>
      </c>
      <c r="Z54" s="19" t="str">
        <f t="shared" si="95"/>
        <v/>
      </c>
      <c r="AA54" s="19" t="str">
        <f t="shared" si="96"/>
        <v/>
      </c>
      <c r="AB54" s="19" t="str">
        <f t="shared" si="97"/>
        <v/>
      </c>
      <c r="AC54" s="19" t="str">
        <f t="shared" si="98"/>
        <v/>
      </c>
      <c r="AD54" s="19" t="str">
        <f t="shared" si="99"/>
        <v/>
      </c>
      <c r="AE54" s="19" t="str">
        <f t="shared" si="100"/>
        <v/>
      </c>
      <c r="AF54" s="19" t="str">
        <f t="shared" si="101"/>
        <v/>
      </c>
      <c r="AG54" s="19" t="str">
        <f t="shared" si="102"/>
        <v/>
      </c>
      <c r="AH54" s="19" t="str">
        <f t="shared" si="103"/>
        <v/>
      </c>
      <c r="AI54" s="19" t="str">
        <f t="shared" si="104"/>
        <v/>
      </c>
      <c r="AJ54" s="19" t="str">
        <f t="shared" si="105"/>
        <v/>
      </c>
      <c r="AK54" s="19" t="str">
        <f t="shared" si="106"/>
        <v/>
      </c>
      <c r="AL54" s="19" t="str">
        <f t="shared" si="107"/>
        <v/>
      </c>
      <c r="AM54" s="19" t="str">
        <f t="shared" si="108"/>
        <v/>
      </c>
      <c r="AN54" s="19" t="str">
        <f t="shared" si="109"/>
        <v/>
      </c>
      <c r="AO54" s="19" t="str">
        <f t="shared" si="110"/>
        <v/>
      </c>
      <c r="AP54" s="19" t="str">
        <f t="shared" si="111"/>
        <v/>
      </c>
      <c r="AQ54" s="19" t="str">
        <f t="shared" si="112"/>
        <v/>
      </c>
      <c r="AR54" s="19" t="str">
        <f t="shared" si="113"/>
        <v/>
      </c>
      <c r="AS54" s="19" t="str">
        <f t="shared" si="114"/>
        <v/>
      </c>
      <c r="AT54" s="19" t="str">
        <f t="shared" si="115"/>
        <v/>
      </c>
      <c r="AU54" s="19" t="str">
        <f t="shared" si="116"/>
        <v/>
      </c>
      <c r="AV54" s="19" t="str">
        <f t="shared" si="117"/>
        <v/>
      </c>
      <c r="AW54" s="19" t="str">
        <f t="shared" si="118"/>
        <v/>
      </c>
      <c r="AX54" s="19" t="str">
        <f t="shared" si="119"/>
        <v/>
      </c>
      <c r="AY54" s="19" t="str">
        <f t="shared" si="120"/>
        <v/>
      </c>
      <c r="AZ54" s="19" t="str">
        <f t="shared" si="121"/>
        <v/>
      </c>
      <c r="BA54" s="19" t="str">
        <f t="shared" si="122"/>
        <v/>
      </c>
      <c r="BB54" s="19" t="str">
        <f t="shared" si="123"/>
        <v/>
      </c>
      <c r="BC54" s="19" t="str">
        <f t="shared" si="124"/>
        <v/>
      </c>
      <c r="BD54" s="19" t="str">
        <f t="shared" si="125"/>
        <v/>
      </c>
      <c r="BE54" s="19" t="str">
        <f t="shared" si="126"/>
        <v/>
      </c>
      <c r="BF54" s="19" t="str">
        <f t="shared" si="127"/>
        <v/>
      </c>
      <c r="BG54" s="19" t="str">
        <f t="shared" si="128"/>
        <v/>
      </c>
      <c r="BH54" s="19" t="str">
        <f t="shared" si="129"/>
        <v/>
      </c>
      <c r="BI54" s="19" t="str">
        <f t="shared" si="130"/>
        <v/>
      </c>
      <c r="BJ54" s="19" t="str">
        <f t="shared" si="131"/>
        <v/>
      </c>
    </row>
    <row r="55" spans="1:62">
      <c r="A55" s="12">
        <f t="shared" si="70"/>
        <v>41</v>
      </c>
      <c r="B55" s="19" t="str">
        <f t="shared" si="71"/>
        <v/>
      </c>
      <c r="C55" s="19" t="str">
        <f t="shared" si="72"/>
        <v/>
      </c>
      <c r="D55" s="19" t="str">
        <f t="shared" si="73"/>
        <v/>
      </c>
      <c r="E55" s="19" t="str">
        <f t="shared" si="74"/>
        <v/>
      </c>
      <c r="F55" s="19" t="str">
        <f t="shared" si="75"/>
        <v/>
      </c>
      <c r="G55" s="19" t="str">
        <f t="shared" si="76"/>
        <v/>
      </c>
      <c r="H55" s="19" t="str">
        <f t="shared" si="77"/>
        <v/>
      </c>
      <c r="I55" s="19" t="str">
        <f t="shared" si="78"/>
        <v/>
      </c>
      <c r="J55" s="19" t="str">
        <f t="shared" si="79"/>
        <v/>
      </c>
      <c r="K55" s="19" t="str">
        <f t="shared" si="80"/>
        <v/>
      </c>
      <c r="L55" s="19" t="str">
        <f t="shared" si="81"/>
        <v/>
      </c>
      <c r="M55" s="19" t="str">
        <f t="shared" si="82"/>
        <v/>
      </c>
      <c r="N55" s="19" t="str">
        <f t="shared" si="83"/>
        <v/>
      </c>
      <c r="O55" s="19" t="str">
        <f t="shared" si="84"/>
        <v/>
      </c>
      <c r="P55" s="19" t="str">
        <f t="shared" si="85"/>
        <v/>
      </c>
      <c r="Q55" s="19" t="str">
        <f t="shared" si="86"/>
        <v/>
      </c>
      <c r="R55" s="19" t="str">
        <f t="shared" si="87"/>
        <v/>
      </c>
      <c r="S55" s="19" t="str">
        <f t="shared" si="88"/>
        <v/>
      </c>
      <c r="T55" s="19" t="str">
        <f t="shared" si="89"/>
        <v/>
      </c>
      <c r="U55" s="19" t="str">
        <f t="shared" si="90"/>
        <v/>
      </c>
      <c r="V55" s="19" t="str">
        <f t="shared" si="91"/>
        <v/>
      </c>
      <c r="W55" s="19" t="str">
        <f t="shared" si="92"/>
        <v/>
      </c>
      <c r="X55" s="19" t="str">
        <f t="shared" si="93"/>
        <v/>
      </c>
      <c r="Y55" s="19" t="str">
        <f t="shared" si="94"/>
        <v/>
      </c>
      <c r="Z55" s="19" t="str">
        <f t="shared" si="95"/>
        <v/>
      </c>
      <c r="AA55" s="19" t="str">
        <f t="shared" si="96"/>
        <v/>
      </c>
      <c r="AB55" s="19" t="str">
        <f t="shared" si="97"/>
        <v/>
      </c>
      <c r="AC55" s="19" t="str">
        <f t="shared" si="98"/>
        <v/>
      </c>
      <c r="AD55" s="19" t="str">
        <f t="shared" si="99"/>
        <v/>
      </c>
      <c r="AE55" s="19" t="str">
        <f t="shared" si="100"/>
        <v/>
      </c>
      <c r="AF55" s="19" t="str">
        <f t="shared" si="101"/>
        <v/>
      </c>
      <c r="AG55" s="19" t="str">
        <f t="shared" si="102"/>
        <v/>
      </c>
      <c r="AH55" s="19" t="str">
        <f t="shared" si="103"/>
        <v/>
      </c>
      <c r="AI55" s="19" t="str">
        <f t="shared" si="104"/>
        <v/>
      </c>
      <c r="AJ55" s="19" t="str">
        <f t="shared" si="105"/>
        <v/>
      </c>
      <c r="AK55" s="19" t="str">
        <f t="shared" si="106"/>
        <v/>
      </c>
      <c r="AL55" s="19" t="str">
        <f t="shared" si="107"/>
        <v/>
      </c>
      <c r="AM55" s="19" t="str">
        <f t="shared" si="108"/>
        <v/>
      </c>
      <c r="AN55" s="19" t="str">
        <f t="shared" si="109"/>
        <v/>
      </c>
      <c r="AO55" s="19" t="str">
        <f t="shared" si="110"/>
        <v/>
      </c>
      <c r="AP55" s="19" t="str">
        <f t="shared" si="111"/>
        <v/>
      </c>
      <c r="AQ55" s="19" t="str">
        <f t="shared" si="112"/>
        <v/>
      </c>
      <c r="AR55" s="19" t="str">
        <f t="shared" si="113"/>
        <v/>
      </c>
      <c r="AS55" s="19" t="str">
        <f t="shared" si="114"/>
        <v/>
      </c>
      <c r="AT55" s="19" t="str">
        <f t="shared" si="115"/>
        <v/>
      </c>
      <c r="AU55" s="19" t="str">
        <f t="shared" si="116"/>
        <v/>
      </c>
      <c r="AV55" s="19" t="str">
        <f t="shared" si="117"/>
        <v/>
      </c>
      <c r="AW55" s="19" t="str">
        <f t="shared" si="118"/>
        <v/>
      </c>
      <c r="AX55" s="19" t="str">
        <f t="shared" si="119"/>
        <v/>
      </c>
      <c r="AY55" s="19" t="str">
        <f t="shared" si="120"/>
        <v/>
      </c>
      <c r="AZ55" s="19" t="str">
        <f t="shared" si="121"/>
        <v/>
      </c>
      <c r="BA55" s="19" t="str">
        <f t="shared" si="122"/>
        <v/>
      </c>
      <c r="BB55" s="19" t="str">
        <f t="shared" si="123"/>
        <v/>
      </c>
      <c r="BC55" s="19" t="str">
        <f t="shared" si="124"/>
        <v/>
      </c>
      <c r="BD55" s="19" t="str">
        <f t="shared" si="125"/>
        <v/>
      </c>
      <c r="BE55" s="19" t="str">
        <f t="shared" si="126"/>
        <v/>
      </c>
      <c r="BF55" s="19" t="str">
        <f t="shared" si="127"/>
        <v/>
      </c>
      <c r="BG55" s="19" t="str">
        <f t="shared" si="128"/>
        <v/>
      </c>
      <c r="BH55" s="19" t="str">
        <f t="shared" si="129"/>
        <v/>
      </c>
      <c r="BI55" s="19" t="str">
        <f t="shared" si="130"/>
        <v/>
      </c>
      <c r="BJ55" s="19" t="str">
        <f t="shared" si="131"/>
        <v/>
      </c>
    </row>
    <row r="56" spans="1:62">
      <c r="A56" s="12">
        <f t="shared" si="70"/>
        <v>42</v>
      </c>
      <c r="B56" s="19" t="str">
        <f t="shared" si="71"/>
        <v/>
      </c>
      <c r="C56" s="19" t="str">
        <f t="shared" si="72"/>
        <v/>
      </c>
      <c r="D56" s="19" t="str">
        <f t="shared" si="73"/>
        <v/>
      </c>
      <c r="E56" s="19" t="str">
        <f t="shared" si="74"/>
        <v/>
      </c>
      <c r="F56" s="19" t="str">
        <f t="shared" si="75"/>
        <v/>
      </c>
      <c r="G56" s="19" t="str">
        <f t="shared" si="76"/>
        <v/>
      </c>
      <c r="H56" s="19" t="str">
        <f t="shared" si="77"/>
        <v/>
      </c>
      <c r="I56" s="19" t="str">
        <f t="shared" si="78"/>
        <v/>
      </c>
      <c r="J56" s="19" t="str">
        <f t="shared" si="79"/>
        <v/>
      </c>
      <c r="K56" s="19" t="str">
        <f t="shared" si="80"/>
        <v/>
      </c>
      <c r="L56" s="19" t="str">
        <f t="shared" si="81"/>
        <v/>
      </c>
      <c r="M56" s="19" t="str">
        <f t="shared" si="82"/>
        <v/>
      </c>
      <c r="N56" s="19" t="str">
        <f t="shared" si="83"/>
        <v/>
      </c>
      <c r="O56" s="19" t="str">
        <f t="shared" si="84"/>
        <v/>
      </c>
      <c r="P56" s="19" t="str">
        <f t="shared" si="85"/>
        <v/>
      </c>
      <c r="Q56" s="19" t="str">
        <f t="shared" si="86"/>
        <v/>
      </c>
      <c r="R56" s="19" t="str">
        <f t="shared" si="87"/>
        <v/>
      </c>
      <c r="S56" s="19" t="str">
        <f t="shared" si="88"/>
        <v/>
      </c>
      <c r="T56" s="19" t="str">
        <f t="shared" si="89"/>
        <v/>
      </c>
      <c r="U56" s="19" t="str">
        <f t="shared" si="90"/>
        <v/>
      </c>
      <c r="V56" s="19" t="str">
        <f t="shared" si="91"/>
        <v/>
      </c>
      <c r="W56" s="19" t="str">
        <f t="shared" si="92"/>
        <v/>
      </c>
      <c r="X56" s="19" t="str">
        <f t="shared" si="93"/>
        <v/>
      </c>
      <c r="Y56" s="19" t="str">
        <f t="shared" si="94"/>
        <v/>
      </c>
      <c r="Z56" s="19" t="str">
        <f t="shared" si="95"/>
        <v/>
      </c>
      <c r="AA56" s="19" t="str">
        <f t="shared" si="96"/>
        <v/>
      </c>
      <c r="AB56" s="19" t="str">
        <f t="shared" si="97"/>
        <v/>
      </c>
      <c r="AC56" s="19" t="str">
        <f t="shared" si="98"/>
        <v/>
      </c>
      <c r="AD56" s="19" t="str">
        <f t="shared" si="99"/>
        <v/>
      </c>
      <c r="AE56" s="19" t="str">
        <f t="shared" si="100"/>
        <v/>
      </c>
      <c r="AF56" s="19" t="str">
        <f t="shared" si="101"/>
        <v/>
      </c>
      <c r="AG56" s="19" t="str">
        <f t="shared" si="102"/>
        <v/>
      </c>
      <c r="AH56" s="19" t="str">
        <f t="shared" si="103"/>
        <v/>
      </c>
      <c r="AI56" s="19" t="str">
        <f t="shared" si="104"/>
        <v/>
      </c>
      <c r="AJ56" s="19" t="str">
        <f t="shared" si="105"/>
        <v/>
      </c>
      <c r="AK56" s="19" t="str">
        <f t="shared" si="106"/>
        <v/>
      </c>
      <c r="AL56" s="19" t="str">
        <f t="shared" si="107"/>
        <v/>
      </c>
      <c r="AM56" s="19" t="str">
        <f t="shared" si="108"/>
        <v/>
      </c>
      <c r="AN56" s="19" t="str">
        <f t="shared" si="109"/>
        <v/>
      </c>
      <c r="AO56" s="19" t="str">
        <f t="shared" si="110"/>
        <v/>
      </c>
      <c r="AP56" s="19" t="str">
        <f t="shared" si="111"/>
        <v/>
      </c>
      <c r="AQ56" s="19" t="str">
        <f t="shared" si="112"/>
        <v/>
      </c>
      <c r="AR56" s="19" t="str">
        <f t="shared" si="113"/>
        <v/>
      </c>
      <c r="AS56" s="19" t="str">
        <f t="shared" si="114"/>
        <v/>
      </c>
      <c r="AT56" s="19" t="str">
        <f t="shared" si="115"/>
        <v/>
      </c>
      <c r="AU56" s="19" t="str">
        <f t="shared" si="116"/>
        <v/>
      </c>
      <c r="AV56" s="19" t="str">
        <f t="shared" si="117"/>
        <v/>
      </c>
      <c r="AW56" s="19" t="str">
        <f t="shared" si="118"/>
        <v/>
      </c>
      <c r="AX56" s="19" t="str">
        <f t="shared" si="119"/>
        <v/>
      </c>
      <c r="AY56" s="19" t="str">
        <f t="shared" si="120"/>
        <v/>
      </c>
      <c r="AZ56" s="19" t="str">
        <f t="shared" si="121"/>
        <v/>
      </c>
      <c r="BA56" s="19" t="str">
        <f t="shared" si="122"/>
        <v/>
      </c>
      <c r="BB56" s="19" t="str">
        <f t="shared" si="123"/>
        <v/>
      </c>
      <c r="BC56" s="19" t="str">
        <f t="shared" si="124"/>
        <v/>
      </c>
      <c r="BD56" s="19" t="str">
        <f t="shared" si="125"/>
        <v/>
      </c>
      <c r="BE56" s="19" t="str">
        <f t="shared" si="126"/>
        <v/>
      </c>
      <c r="BF56" s="19" t="str">
        <f t="shared" si="127"/>
        <v/>
      </c>
      <c r="BG56" s="19" t="str">
        <f t="shared" si="128"/>
        <v/>
      </c>
      <c r="BH56" s="19" t="str">
        <f t="shared" si="129"/>
        <v/>
      </c>
      <c r="BI56" s="19" t="str">
        <f t="shared" si="130"/>
        <v/>
      </c>
      <c r="BJ56" s="19" t="str">
        <f t="shared" si="131"/>
        <v/>
      </c>
    </row>
    <row r="57" spans="1:62">
      <c r="A57" s="12">
        <f t="shared" si="70"/>
        <v>43</v>
      </c>
      <c r="B57" s="19" t="str">
        <f t="shared" si="71"/>
        <v/>
      </c>
      <c r="C57" s="19" t="str">
        <f t="shared" si="72"/>
        <v/>
      </c>
      <c r="D57" s="19" t="str">
        <f t="shared" si="73"/>
        <v/>
      </c>
      <c r="E57" s="19" t="str">
        <f t="shared" si="74"/>
        <v/>
      </c>
      <c r="F57" s="19" t="str">
        <f t="shared" si="75"/>
        <v/>
      </c>
      <c r="G57" s="19" t="str">
        <f t="shared" si="76"/>
        <v/>
      </c>
      <c r="H57" s="19" t="str">
        <f t="shared" si="77"/>
        <v/>
      </c>
      <c r="I57" s="19" t="str">
        <f t="shared" si="78"/>
        <v/>
      </c>
      <c r="J57" s="19" t="str">
        <f t="shared" si="79"/>
        <v/>
      </c>
      <c r="K57" s="19" t="str">
        <f t="shared" si="80"/>
        <v/>
      </c>
      <c r="L57" s="19" t="str">
        <f t="shared" si="81"/>
        <v/>
      </c>
      <c r="M57" s="19" t="str">
        <f t="shared" si="82"/>
        <v/>
      </c>
      <c r="N57" s="19" t="str">
        <f t="shared" si="83"/>
        <v/>
      </c>
      <c r="O57" s="19" t="str">
        <f t="shared" si="84"/>
        <v/>
      </c>
      <c r="P57" s="19" t="str">
        <f t="shared" si="85"/>
        <v/>
      </c>
      <c r="Q57" s="19" t="str">
        <f t="shared" si="86"/>
        <v/>
      </c>
      <c r="R57" s="19" t="str">
        <f t="shared" si="87"/>
        <v/>
      </c>
      <c r="S57" s="19" t="str">
        <f t="shared" si="88"/>
        <v/>
      </c>
      <c r="T57" s="19" t="str">
        <f t="shared" si="89"/>
        <v/>
      </c>
      <c r="U57" s="19" t="str">
        <f t="shared" si="90"/>
        <v/>
      </c>
      <c r="V57" s="19" t="str">
        <f t="shared" si="91"/>
        <v/>
      </c>
      <c r="W57" s="19" t="str">
        <f t="shared" si="92"/>
        <v/>
      </c>
      <c r="X57" s="19" t="str">
        <f t="shared" si="93"/>
        <v/>
      </c>
      <c r="Y57" s="19" t="str">
        <f t="shared" si="94"/>
        <v/>
      </c>
      <c r="Z57" s="19" t="str">
        <f t="shared" si="95"/>
        <v/>
      </c>
      <c r="AA57" s="19" t="str">
        <f t="shared" si="96"/>
        <v/>
      </c>
      <c r="AB57" s="19" t="str">
        <f t="shared" si="97"/>
        <v/>
      </c>
      <c r="AC57" s="19" t="str">
        <f t="shared" si="98"/>
        <v/>
      </c>
      <c r="AD57" s="19" t="str">
        <f t="shared" si="99"/>
        <v/>
      </c>
      <c r="AE57" s="19" t="str">
        <f t="shared" si="100"/>
        <v/>
      </c>
      <c r="AF57" s="19" t="str">
        <f t="shared" si="101"/>
        <v/>
      </c>
      <c r="AG57" s="19" t="str">
        <f t="shared" si="102"/>
        <v/>
      </c>
      <c r="AH57" s="19" t="str">
        <f t="shared" si="103"/>
        <v/>
      </c>
      <c r="AI57" s="19" t="str">
        <f t="shared" si="104"/>
        <v/>
      </c>
      <c r="AJ57" s="19" t="str">
        <f t="shared" si="105"/>
        <v/>
      </c>
      <c r="AK57" s="19" t="str">
        <f t="shared" si="106"/>
        <v/>
      </c>
      <c r="AL57" s="19" t="str">
        <f t="shared" si="107"/>
        <v/>
      </c>
      <c r="AM57" s="19" t="str">
        <f t="shared" si="108"/>
        <v/>
      </c>
      <c r="AN57" s="19" t="str">
        <f t="shared" si="109"/>
        <v/>
      </c>
      <c r="AO57" s="19" t="str">
        <f t="shared" si="110"/>
        <v/>
      </c>
      <c r="AP57" s="19" t="str">
        <f t="shared" si="111"/>
        <v/>
      </c>
      <c r="AQ57" s="19" t="str">
        <f t="shared" si="112"/>
        <v/>
      </c>
      <c r="AR57" s="19" t="str">
        <f t="shared" si="113"/>
        <v/>
      </c>
      <c r="AS57" s="19" t="str">
        <f t="shared" si="114"/>
        <v/>
      </c>
      <c r="AT57" s="19" t="str">
        <f t="shared" si="115"/>
        <v/>
      </c>
      <c r="AU57" s="19" t="str">
        <f t="shared" si="116"/>
        <v/>
      </c>
      <c r="AV57" s="19" t="str">
        <f t="shared" si="117"/>
        <v/>
      </c>
      <c r="AW57" s="19" t="str">
        <f t="shared" si="118"/>
        <v/>
      </c>
      <c r="AX57" s="19" t="str">
        <f t="shared" si="119"/>
        <v/>
      </c>
      <c r="AY57" s="19" t="str">
        <f t="shared" si="120"/>
        <v/>
      </c>
      <c r="AZ57" s="19" t="str">
        <f t="shared" si="121"/>
        <v/>
      </c>
      <c r="BA57" s="19" t="str">
        <f t="shared" si="122"/>
        <v/>
      </c>
      <c r="BB57" s="19" t="str">
        <f t="shared" si="123"/>
        <v/>
      </c>
      <c r="BC57" s="19" t="str">
        <f t="shared" si="124"/>
        <v/>
      </c>
      <c r="BD57" s="19" t="str">
        <f t="shared" si="125"/>
        <v/>
      </c>
      <c r="BE57" s="19" t="str">
        <f t="shared" si="126"/>
        <v/>
      </c>
      <c r="BF57" s="19" t="str">
        <f t="shared" si="127"/>
        <v/>
      </c>
      <c r="BG57" s="19" t="str">
        <f t="shared" si="128"/>
        <v/>
      </c>
      <c r="BH57" s="19" t="str">
        <f t="shared" si="129"/>
        <v/>
      </c>
      <c r="BI57" s="19" t="str">
        <f t="shared" si="130"/>
        <v/>
      </c>
      <c r="BJ57" s="19" t="str">
        <f t="shared" si="131"/>
        <v/>
      </c>
    </row>
    <row r="58" spans="1:62">
      <c r="A58" s="12">
        <f t="shared" si="70"/>
        <v>44</v>
      </c>
      <c r="B58" s="19" t="str">
        <f t="shared" si="71"/>
        <v/>
      </c>
      <c r="C58" s="19" t="str">
        <f t="shared" si="72"/>
        <v/>
      </c>
      <c r="D58" s="19" t="str">
        <f t="shared" si="73"/>
        <v/>
      </c>
      <c r="E58" s="19" t="str">
        <f t="shared" si="74"/>
        <v/>
      </c>
      <c r="F58" s="19" t="str">
        <f t="shared" si="75"/>
        <v/>
      </c>
      <c r="G58" s="19" t="str">
        <f t="shared" si="76"/>
        <v/>
      </c>
      <c r="H58" s="19" t="str">
        <f t="shared" si="77"/>
        <v/>
      </c>
      <c r="I58" s="19" t="str">
        <f t="shared" si="78"/>
        <v/>
      </c>
      <c r="J58" s="19" t="str">
        <f t="shared" si="79"/>
        <v/>
      </c>
      <c r="K58" s="19" t="str">
        <f t="shared" si="80"/>
        <v/>
      </c>
      <c r="L58" s="19" t="str">
        <f t="shared" si="81"/>
        <v/>
      </c>
      <c r="M58" s="19" t="str">
        <f t="shared" si="82"/>
        <v/>
      </c>
      <c r="N58" s="19" t="str">
        <f t="shared" si="83"/>
        <v/>
      </c>
      <c r="O58" s="19" t="str">
        <f t="shared" si="84"/>
        <v/>
      </c>
      <c r="P58" s="19" t="str">
        <f t="shared" si="85"/>
        <v/>
      </c>
      <c r="Q58" s="19" t="str">
        <f t="shared" si="86"/>
        <v/>
      </c>
      <c r="R58" s="19" t="str">
        <f t="shared" si="87"/>
        <v/>
      </c>
      <c r="S58" s="19" t="str">
        <f t="shared" si="88"/>
        <v/>
      </c>
      <c r="T58" s="19" t="str">
        <f t="shared" si="89"/>
        <v/>
      </c>
      <c r="U58" s="19" t="str">
        <f t="shared" si="90"/>
        <v/>
      </c>
      <c r="V58" s="19" t="str">
        <f t="shared" si="91"/>
        <v/>
      </c>
      <c r="W58" s="19" t="str">
        <f t="shared" si="92"/>
        <v/>
      </c>
      <c r="X58" s="19" t="str">
        <f t="shared" si="93"/>
        <v/>
      </c>
      <c r="Y58" s="19" t="str">
        <f t="shared" si="94"/>
        <v/>
      </c>
      <c r="Z58" s="19" t="str">
        <f t="shared" si="95"/>
        <v/>
      </c>
      <c r="AA58" s="19" t="str">
        <f t="shared" si="96"/>
        <v/>
      </c>
      <c r="AB58" s="19" t="str">
        <f t="shared" si="97"/>
        <v/>
      </c>
      <c r="AC58" s="19" t="str">
        <f t="shared" si="98"/>
        <v/>
      </c>
      <c r="AD58" s="19" t="str">
        <f t="shared" si="99"/>
        <v/>
      </c>
      <c r="AE58" s="19" t="str">
        <f t="shared" si="100"/>
        <v/>
      </c>
      <c r="AF58" s="19" t="str">
        <f t="shared" si="101"/>
        <v/>
      </c>
      <c r="AG58" s="19" t="str">
        <f t="shared" si="102"/>
        <v/>
      </c>
      <c r="AH58" s="19" t="str">
        <f t="shared" si="103"/>
        <v/>
      </c>
      <c r="AI58" s="19" t="str">
        <f t="shared" si="104"/>
        <v/>
      </c>
      <c r="AJ58" s="19" t="str">
        <f t="shared" si="105"/>
        <v/>
      </c>
      <c r="AK58" s="19" t="str">
        <f t="shared" si="106"/>
        <v/>
      </c>
      <c r="AL58" s="19" t="str">
        <f t="shared" si="107"/>
        <v/>
      </c>
      <c r="AM58" s="19" t="str">
        <f t="shared" si="108"/>
        <v/>
      </c>
      <c r="AN58" s="19" t="str">
        <f t="shared" si="109"/>
        <v/>
      </c>
      <c r="AO58" s="19" t="str">
        <f t="shared" si="110"/>
        <v/>
      </c>
      <c r="AP58" s="19" t="str">
        <f t="shared" si="111"/>
        <v/>
      </c>
      <c r="AQ58" s="19" t="str">
        <f t="shared" si="112"/>
        <v/>
      </c>
      <c r="AR58" s="19" t="str">
        <f t="shared" si="113"/>
        <v/>
      </c>
      <c r="AS58" s="19" t="str">
        <f t="shared" si="114"/>
        <v/>
      </c>
      <c r="AT58" s="19" t="str">
        <f t="shared" si="115"/>
        <v/>
      </c>
      <c r="AU58" s="19" t="str">
        <f t="shared" si="116"/>
        <v/>
      </c>
      <c r="AV58" s="19" t="str">
        <f t="shared" si="117"/>
        <v/>
      </c>
      <c r="AW58" s="19" t="str">
        <f t="shared" si="118"/>
        <v/>
      </c>
      <c r="AX58" s="19" t="str">
        <f t="shared" si="119"/>
        <v/>
      </c>
      <c r="AY58" s="19" t="str">
        <f t="shared" si="120"/>
        <v/>
      </c>
      <c r="AZ58" s="19" t="str">
        <f t="shared" si="121"/>
        <v/>
      </c>
      <c r="BA58" s="19" t="str">
        <f t="shared" si="122"/>
        <v/>
      </c>
      <c r="BB58" s="19" t="str">
        <f t="shared" si="123"/>
        <v/>
      </c>
      <c r="BC58" s="19" t="str">
        <f t="shared" si="124"/>
        <v/>
      </c>
      <c r="BD58" s="19" t="str">
        <f t="shared" si="125"/>
        <v/>
      </c>
      <c r="BE58" s="19" t="str">
        <f t="shared" si="126"/>
        <v/>
      </c>
      <c r="BF58" s="19" t="str">
        <f t="shared" si="127"/>
        <v/>
      </c>
      <c r="BG58" s="19" t="str">
        <f t="shared" si="128"/>
        <v/>
      </c>
      <c r="BH58" s="19" t="str">
        <f t="shared" si="129"/>
        <v/>
      </c>
      <c r="BI58" s="19" t="str">
        <f t="shared" si="130"/>
        <v/>
      </c>
      <c r="BJ58" s="19" t="str">
        <f t="shared" si="131"/>
        <v/>
      </c>
    </row>
    <row r="59" spans="1:62">
      <c r="A59" s="12">
        <f t="shared" si="70"/>
        <v>45</v>
      </c>
      <c r="B59" s="19" t="str">
        <f t="shared" si="71"/>
        <v/>
      </c>
      <c r="C59" s="19" t="str">
        <f t="shared" si="72"/>
        <v/>
      </c>
      <c r="D59" s="19" t="str">
        <f t="shared" si="73"/>
        <v/>
      </c>
      <c r="E59" s="19" t="str">
        <f t="shared" si="74"/>
        <v/>
      </c>
      <c r="F59" s="19" t="str">
        <f t="shared" si="75"/>
        <v/>
      </c>
      <c r="G59" s="19" t="str">
        <f t="shared" si="76"/>
        <v/>
      </c>
      <c r="H59" s="19" t="str">
        <f t="shared" si="77"/>
        <v/>
      </c>
      <c r="I59" s="19" t="str">
        <f t="shared" si="78"/>
        <v/>
      </c>
      <c r="J59" s="19" t="str">
        <f t="shared" si="79"/>
        <v/>
      </c>
      <c r="K59" s="19" t="str">
        <f t="shared" si="80"/>
        <v/>
      </c>
      <c r="L59" s="19" t="str">
        <f t="shared" si="81"/>
        <v/>
      </c>
      <c r="M59" s="19" t="str">
        <f t="shared" si="82"/>
        <v/>
      </c>
      <c r="N59" s="19" t="str">
        <f t="shared" si="83"/>
        <v/>
      </c>
      <c r="O59" s="19" t="str">
        <f t="shared" si="84"/>
        <v/>
      </c>
      <c r="P59" s="19" t="str">
        <f t="shared" si="85"/>
        <v/>
      </c>
      <c r="Q59" s="19" t="str">
        <f t="shared" si="86"/>
        <v/>
      </c>
      <c r="R59" s="19" t="str">
        <f t="shared" si="87"/>
        <v/>
      </c>
      <c r="S59" s="19" t="str">
        <f t="shared" si="88"/>
        <v/>
      </c>
      <c r="T59" s="19" t="str">
        <f t="shared" si="89"/>
        <v/>
      </c>
      <c r="U59" s="19" t="str">
        <f t="shared" si="90"/>
        <v/>
      </c>
      <c r="V59" s="19" t="str">
        <f t="shared" si="91"/>
        <v/>
      </c>
      <c r="W59" s="19" t="str">
        <f t="shared" si="92"/>
        <v/>
      </c>
      <c r="X59" s="19" t="str">
        <f t="shared" si="93"/>
        <v/>
      </c>
      <c r="Y59" s="19" t="str">
        <f t="shared" si="94"/>
        <v/>
      </c>
      <c r="Z59" s="19" t="str">
        <f t="shared" si="95"/>
        <v/>
      </c>
      <c r="AA59" s="19" t="str">
        <f t="shared" si="96"/>
        <v/>
      </c>
      <c r="AB59" s="19" t="str">
        <f t="shared" si="97"/>
        <v/>
      </c>
      <c r="AC59" s="19" t="str">
        <f t="shared" si="98"/>
        <v/>
      </c>
      <c r="AD59" s="19" t="str">
        <f t="shared" si="99"/>
        <v/>
      </c>
      <c r="AE59" s="19" t="str">
        <f t="shared" si="100"/>
        <v/>
      </c>
      <c r="AF59" s="19" t="str">
        <f t="shared" si="101"/>
        <v/>
      </c>
      <c r="AG59" s="19" t="str">
        <f t="shared" si="102"/>
        <v/>
      </c>
      <c r="AH59" s="19" t="str">
        <f t="shared" si="103"/>
        <v/>
      </c>
      <c r="AI59" s="19" t="str">
        <f t="shared" si="104"/>
        <v/>
      </c>
      <c r="AJ59" s="19" t="str">
        <f t="shared" si="105"/>
        <v/>
      </c>
      <c r="AK59" s="19" t="str">
        <f t="shared" si="106"/>
        <v/>
      </c>
      <c r="AL59" s="19" t="str">
        <f t="shared" si="107"/>
        <v/>
      </c>
      <c r="AM59" s="19" t="str">
        <f t="shared" si="108"/>
        <v/>
      </c>
      <c r="AN59" s="19" t="str">
        <f t="shared" si="109"/>
        <v/>
      </c>
      <c r="AO59" s="19" t="str">
        <f t="shared" si="110"/>
        <v/>
      </c>
      <c r="AP59" s="19" t="str">
        <f t="shared" si="111"/>
        <v/>
      </c>
      <c r="AQ59" s="19" t="str">
        <f t="shared" si="112"/>
        <v/>
      </c>
      <c r="AR59" s="19" t="str">
        <f t="shared" si="113"/>
        <v/>
      </c>
      <c r="AS59" s="19" t="str">
        <f t="shared" si="114"/>
        <v/>
      </c>
      <c r="AT59" s="19" t="str">
        <f t="shared" si="115"/>
        <v/>
      </c>
      <c r="AU59" s="19" t="str">
        <f t="shared" si="116"/>
        <v/>
      </c>
      <c r="AV59" s="19" t="str">
        <f t="shared" si="117"/>
        <v/>
      </c>
      <c r="AW59" s="19" t="str">
        <f t="shared" si="118"/>
        <v/>
      </c>
      <c r="AX59" s="19" t="str">
        <f t="shared" si="119"/>
        <v/>
      </c>
      <c r="AY59" s="19" t="str">
        <f t="shared" si="120"/>
        <v/>
      </c>
      <c r="AZ59" s="19" t="str">
        <f t="shared" si="121"/>
        <v/>
      </c>
      <c r="BA59" s="19" t="str">
        <f t="shared" si="122"/>
        <v/>
      </c>
      <c r="BB59" s="19" t="str">
        <f t="shared" si="123"/>
        <v/>
      </c>
      <c r="BC59" s="19" t="str">
        <f t="shared" si="124"/>
        <v/>
      </c>
      <c r="BD59" s="19" t="str">
        <f t="shared" si="125"/>
        <v/>
      </c>
      <c r="BE59" s="19" t="str">
        <f t="shared" si="126"/>
        <v/>
      </c>
      <c r="BF59" s="19" t="str">
        <f t="shared" si="127"/>
        <v/>
      </c>
      <c r="BG59" s="19" t="str">
        <f t="shared" si="128"/>
        <v/>
      </c>
      <c r="BH59" s="19" t="str">
        <f t="shared" si="129"/>
        <v/>
      </c>
      <c r="BI59" s="19" t="str">
        <f t="shared" si="130"/>
        <v/>
      </c>
      <c r="BJ59" s="19" t="str">
        <f t="shared" si="131"/>
        <v/>
      </c>
    </row>
    <row r="60" spans="1:62">
      <c r="A60" s="12">
        <f t="shared" si="70"/>
        <v>46</v>
      </c>
      <c r="B60" s="19" t="str">
        <f t="shared" si="71"/>
        <v/>
      </c>
      <c r="C60" s="19" t="str">
        <f t="shared" si="72"/>
        <v/>
      </c>
      <c r="D60" s="19" t="str">
        <f t="shared" si="73"/>
        <v/>
      </c>
      <c r="E60" s="19" t="str">
        <f t="shared" si="74"/>
        <v/>
      </c>
      <c r="F60" s="19" t="str">
        <f t="shared" si="75"/>
        <v/>
      </c>
      <c r="G60" s="19" t="str">
        <f t="shared" si="76"/>
        <v/>
      </c>
      <c r="H60" s="19" t="str">
        <f t="shared" si="77"/>
        <v/>
      </c>
      <c r="I60" s="19" t="str">
        <f t="shared" si="78"/>
        <v/>
      </c>
      <c r="J60" s="19" t="str">
        <f t="shared" si="79"/>
        <v/>
      </c>
      <c r="K60" s="19" t="str">
        <f t="shared" si="80"/>
        <v/>
      </c>
      <c r="L60" s="19" t="str">
        <f t="shared" si="81"/>
        <v/>
      </c>
      <c r="M60" s="19" t="str">
        <f t="shared" si="82"/>
        <v/>
      </c>
      <c r="N60" s="19" t="str">
        <f t="shared" si="83"/>
        <v/>
      </c>
      <c r="O60" s="19" t="str">
        <f t="shared" si="84"/>
        <v/>
      </c>
      <c r="P60" s="19" t="str">
        <f t="shared" si="85"/>
        <v/>
      </c>
      <c r="Q60" s="19" t="str">
        <f t="shared" si="86"/>
        <v/>
      </c>
      <c r="R60" s="19" t="str">
        <f t="shared" si="87"/>
        <v/>
      </c>
      <c r="S60" s="19" t="str">
        <f t="shared" si="88"/>
        <v/>
      </c>
      <c r="T60" s="19" t="str">
        <f t="shared" si="89"/>
        <v/>
      </c>
      <c r="U60" s="19" t="str">
        <f t="shared" si="90"/>
        <v/>
      </c>
      <c r="V60" s="19" t="str">
        <f t="shared" si="91"/>
        <v/>
      </c>
      <c r="W60" s="19" t="str">
        <f t="shared" si="92"/>
        <v/>
      </c>
      <c r="X60" s="19" t="str">
        <f t="shared" si="93"/>
        <v/>
      </c>
      <c r="Y60" s="19" t="str">
        <f t="shared" si="94"/>
        <v/>
      </c>
      <c r="Z60" s="19" t="str">
        <f t="shared" si="95"/>
        <v/>
      </c>
      <c r="AA60" s="19" t="str">
        <f t="shared" si="96"/>
        <v/>
      </c>
      <c r="AB60" s="19" t="str">
        <f t="shared" si="97"/>
        <v/>
      </c>
      <c r="AC60" s="19" t="str">
        <f t="shared" si="98"/>
        <v/>
      </c>
      <c r="AD60" s="19" t="str">
        <f t="shared" si="99"/>
        <v/>
      </c>
      <c r="AE60" s="19" t="str">
        <f t="shared" si="100"/>
        <v/>
      </c>
      <c r="AF60" s="19" t="str">
        <f t="shared" si="101"/>
        <v/>
      </c>
      <c r="AG60" s="19" t="str">
        <f t="shared" si="102"/>
        <v/>
      </c>
      <c r="AH60" s="19" t="str">
        <f t="shared" si="103"/>
        <v/>
      </c>
      <c r="AI60" s="19" t="str">
        <f t="shared" si="104"/>
        <v/>
      </c>
      <c r="AJ60" s="19" t="str">
        <f t="shared" si="105"/>
        <v/>
      </c>
      <c r="AK60" s="19" t="str">
        <f t="shared" si="106"/>
        <v/>
      </c>
      <c r="AL60" s="19" t="str">
        <f t="shared" si="107"/>
        <v/>
      </c>
      <c r="AM60" s="19" t="str">
        <f t="shared" si="108"/>
        <v/>
      </c>
      <c r="AN60" s="19" t="str">
        <f t="shared" si="109"/>
        <v/>
      </c>
      <c r="AO60" s="19" t="str">
        <f t="shared" si="110"/>
        <v/>
      </c>
      <c r="AP60" s="19" t="str">
        <f t="shared" si="111"/>
        <v/>
      </c>
      <c r="AQ60" s="19" t="str">
        <f t="shared" si="112"/>
        <v/>
      </c>
      <c r="AR60" s="19" t="str">
        <f t="shared" si="113"/>
        <v/>
      </c>
      <c r="AS60" s="19" t="str">
        <f t="shared" si="114"/>
        <v/>
      </c>
      <c r="AT60" s="19" t="str">
        <f t="shared" si="115"/>
        <v/>
      </c>
      <c r="AU60" s="19" t="str">
        <f t="shared" si="116"/>
        <v/>
      </c>
      <c r="AV60" s="19" t="str">
        <f t="shared" si="117"/>
        <v/>
      </c>
      <c r="AW60" s="19" t="str">
        <f t="shared" si="118"/>
        <v/>
      </c>
      <c r="AX60" s="19" t="str">
        <f t="shared" si="119"/>
        <v/>
      </c>
      <c r="AY60" s="19" t="str">
        <f t="shared" si="120"/>
        <v/>
      </c>
      <c r="AZ60" s="19" t="str">
        <f t="shared" si="121"/>
        <v/>
      </c>
      <c r="BA60" s="19" t="str">
        <f t="shared" si="122"/>
        <v/>
      </c>
      <c r="BB60" s="19" t="str">
        <f t="shared" si="123"/>
        <v/>
      </c>
      <c r="BC60" s="19" t="str">
        <f t="shared" si="124"/>
        <v/>
      </c>
      <c r="BD60" s="19" t="str">
        <f t="shared" si="125"/>
        <v/>
      </c>
      <c r="BE60" s="19" t="str">
        <f t="shared" si="126"/>
        <v/>
      </c>
      <c r="BF60" s="19" t="str">
        <f t="shared" si="127"/>
        <v/>
      </c>
      <c r="BG60" s="19" t="str">
        <f t="shared" si="128"/>
        <v/>
      </c>
      <c r="BH60" s="19" t="str">
        <f t="shared" si="129"/>
        <v/>
      </c>
      <c r="BI60" s="19" t="str">
        <f t="shared" si="130"/>
        <v/>
      </c>
      <c r="BJ60" s="19" t="str">
        <f t="shared" si="131"/>
        <v/>
      </c>
    </row>
    <row r="61" spans="1:62">
      <c r="A61" s="12">
        <f t="shared" si="70"/>
        <v>47</v>
      </c>
      <c r="B61" s="19" t="str">
        <f t="shared" si="71"/>
        <v/>
      </c>
      <c r="C61" s="19" t="str">
        <f t="shared" si="72"/>
        <v/>
      </c>
      <c r="D61" s="19" t="str">
        <f t="shared" si="73"/>
        <v/>
      </c>
      <c r="E61" s="19" t="str">
        <f t="shared" si="74"/>
        <v/>
      </c>
      <c r="F61" s="19" t="str">
        <f t="shared" si="75"/>
        <v/>
      </c>
      <c r="G61" s="19" t="str">
        <f t="shared" si="76"/>
        <v/>
      </c>
      <c r="H61" s="19" t="str">
        <f t="shared" si="77"/>
        <v/>
      </c>
      <c r="I61" s="19" t="str">
        <f t="shared" si="78"/>
        <v/>
      </c>
      <c r="J61" s="19" t="str">
        <f t="shared" si="79"/>
        <v/>
      </c>
      <c r="K61" s="19" t="str">
        <f t="shared" si="80"/>
        <v/>
      </c>
      <c r="L61" s="19" t="str">
        <f t="shared" si="81"/>
        <v/>
      </c>
      <c r="M61" s="19" t="str">
        <f t="shared" si="82"/>
        <v/>
      </c>
      <c r="N61" s="19" t="str">
        <f t="shared" si="83"/>
        <v/>
      </c>
      <c r="O61" s="19" t="str">
        <f t="shared" si="84"/>
        <v/>
      </c>
      <c r="P61" s="19" t="str">
        <f t="shared" si="85"/>
        <v/>
      </c>
      <c r="Q61" s="19" t="str">
        <f t="shared" si="86"/>
        <v/>
      </c>
      <c r="R61" s="19" t="str">
        <f t="shared" si="87"/>
        <v/>
      </c>
      <c r="S61" s="19" t="str">
        <f t="shared" si="88"/>
        <v/>
      </c>
      <c r="T61" s="19" t="str">
        <f t="shared" si="89"/>
        <v/>
      </c>
      <c r="U61" s="19" t="str">
        <f t="shared" si="90"/>
        <v/>
      </c>
      <c r="V61" s="19" t="str">
        <f t="shared" si="91"/>
        <v/>
      </c>
      <c r="W61" s="19" t="str">
        <f t="shared" si="92"/>
        <v/>
      </c>
      <c r="X61" s="19" t="str">
        <f t="shared" si="93"/>
        <v/>
      </c>
      <c r="Y61" s="19" t="str">
        <f t="shared" si="94"/>
        <v/>
      </c>
      <c r="Z61" s="19" t="str">
        <f t="shared" si="95"/>
        <v/>
      </c>
      <c r="AA61" s="19" t="str">
        <f t="shared" si="96"/>
        <v/>
      </c>
      <c r="AB61" s="19" t="str">
        <f t="shared" si="97"/>
        <v/>
      </c>
      <c r="AC61" s="19" t="str">
        <f t="shared" si="98"/>
        <v/>
      </c>
      <c r="AD61" s="19" t="str">
        <f t="shared" si="99"/>
        <v/>
      </c>
      <c r="AE61" s="19" t="str">
        <f t="shared" si="100"/>
        <v/>
      </c>
      <c r="AF61" s="19" t="str">
        <f t="shared" si="101"/>
        <v/>
      </c>
      <c r="AG61" s="19" t="str">
        <f t="shared" si="102"/>
        <v/>
      </c>
      <c r="AH61" s="19" t="str">
        <f t="shared" si="103"/>
        <v/>
      </c>
      <c r="AI61" s="19" t="str">
        <f t="shared" si="104"/>
        <v/>
      </c>
      <c r="AJ61" s="19" t="str">
        <f t="shared" si="105"/>
        <v/>
      </c>
      <c r="AK61" s="19" t="str">
        <f t="shared" si="106"/>
        <v/>
      </c>
      <c r="AL61" s="19" t="str">
        <f t="shared" si="107"/>
        <v/>
      </c>
      <c r="AM61" s="19" t="str">
        <f t="shared" si="108"/>
        <v/>
      </c>
      <c r="AN61" s="19" t="str">
        <f t="shared" si="109"/>
        <v/>
      </c>
      <c r="AO61" s="19" t="str">
        <f t="shared" si="110"/>
        <v/>
      </c>
      <c r="AP61" s="19" t="str">
        <f t="shared" si="111"/>
        <v/>
      </c>
      <c r="AQ61" s="19" t="str">
        <f t="shared" si="112"/>
        <v/>
      </c>
      <c r="AR61" s="19" t="str">
        <f t="shared" si="113"/>
        <v/>
      </c>
      <c r="AS61" s="19" t="str">
        <f t="shared" si="114"/>
        <v/>
      </c>
      <c r="AT61" s="19" t="str">
        <f t="shared" si="115"/>
        <v/>
      </c>
      <c r="AU61" s="19" t="str">
        <f t="shared" si="116"/>
        <v/>
      </c>
      <c r="AV61" s="19" t="str">
        <f t="shared" si="117"/>
        <v/>
      </c>
      <c r="AW61" s="19" t="str">
        <f t="shared" si="118"/>
        <v/>
      </c>
      <c r="AX61" s="19" t="str">
        <f t="shared" si="119"/>
        <v/>
      </c>
      <c r="AY61" s="19" t="str">
        <f t="shared" si="120"/>
        <v/>
      </c>
      <c r="AZ61" s="19" t="str">
        <f t="shared" si="121"/>
        <v/>
      </c>
      <c r="BA61" s="19" t="str">
        <f t="shared" si="122"/>
        <v/>
      </c>
      <c r="BB61" s="19" t="str">
        <f t="shared" si="123"/>
        <v/>
      </c>
      <c r="BC61" s="19" t="str">
        <f t="shared" si="124"/>
        <v/>
      </c>
      <c r="BD61" s="19" t="str">
        <f t="shared" si="125"/>
        <v/>
      </c>
      <c r="BE61" s="19" t="str">
        <f t="shared" si="126"/>
        <v/>
      </c>
      <c r="BF61" s="19" t="str">
        <f t="shared" si="127"/>
        <v/>
      </c>
      <c r="BG61" s="19" t="str">
        <f t="shared" si="128"/>
        <v/>
      </c>
      <c r="BH61" s="19" t="str">
        <f t="shared" si="129"/>
        <v/>
      </c>
      <c r="BI61" s="19" t="str">
        <f t="shared" si="130"/>
        <v/>
      </c>
      <c r="BJ61" s="19" t="str">
        <f t="shared" si="131"/>
        <v/>
      </c>
    </row>
    <row r="62" spans="1:62">
      <c r="A62" s="12">
        <f t="shared" si="70"/>
        <v>48</v>
      </c>
      <c r="B62" s="19" t="str">
        <f t="shared" si="71"/>
        <v/>
      </c>
      <c r="C62" s="19" t="str">
        <f t="shared" si="72"/>
        <v/>
      </c>
      <c r="D62" s="19" t="str">
        <f t="shared" si="73"/>
        <v/>
      </c>
      <c r="E62" s="19" t="str">
        <f t="shared" si="74"/>
        <v/>
      </c>
      <c r="F62" s="19" t="str">
        <f t="shared" si="75"/>
        <v/>
      </c>
      <c r="G62" s="19" t="str">
        <f t="shared" si="76"/>
        <v/>
      </c>
      <c r="H62" s="19" t="str">
        <f t="shared" si="77"/>
        <v/>
      </c>
      <c r="I62" s="19" t="str">
        <f t="shared" si="78"/>
        <v/>
      </c>
      <c r="J62" s="19" t="str">
        <f t="shared" si="79"/>
        <v/>
      </c>
      <c r="K62" s="19" t="str">
        <f t="shared" si="80"/>
        <v/>
      </c>
      <c r="L62" s="19" t="str">
        <f t="shared" si="81"/>
        <v/>
      </c>
      <c r="M62" s="19" t="str">
        <f t="shared" si="82"/>
        <v/>
      </c>
      <c r="N62" s="19" t="str">
        <f t="shared" si="83"/>
        <v/>
      </c>
      <c r="O62" s="19" t="str">
        <f t="shared" si="84"/>
        <v/>
      </c>
      <c r="P62" s="19" t="str">
        <f t="shared" si="85"/>
        <v/>
      </c>
      <c r="Q62" s="19" t="str">
        <f t="shared" si="86"/>
        <v/>
      </c>
      <c r="R62" s="19" t="str">
        <f t="shared" si="87"/>
        <v/>
      </c>
      <c r="S62" s="19" t="str">
        <f t="shared" si="88"/>
        <v/>
      </c>
      <c r="T62" s="19" t="str">
        <f t="shared" si="89"/>
        <v/>
      </c>
      <c r="U62" s="19" t="str">
        <f t="shared" si="90"/>
        <v/>
      </c>
      <c r="V62" s="19" t="str">
        <f t="shared" si="91"/>
        <v/>
      </c>
      <c r="W62" s="19" t="str">
        <f t="shared" si="92"/>
        <v/>
      </c>
      <c r="X62" s="19" t="str">
        <f t="shared" si="93"/>
        <v/>
      </c>
      <c r="Y62" s="19" t="str">
        <f t="shared" si="94"/>
        <v/>
      </c>
      <c r="Z62" s="19" t="str">
        <f t="shared" si="95"/>
        <v/>
      </c>
      <c r="AA62" s="19" t="str">
        <f t="shared" si="96"/>
        <v/>
      </c>
      <c r="AB62" s="19" t="str">
        <f t="shared" si="97"/>
        <v/>
      </c>
      <c r="AC62" s="19" t="str">
        <f t="shared" si="98"/>
        <v/>
      </c>
      <c r="AD62" s="19" t="str">
        <f t="shared" si="99"/>
        <v/>
      </c>
      <c r="AE62" s="19" t="str">
        <f t="shared" si="100"/>
        <v/>
      </c>
      <c r="AF62" s="19" t="str">
        <f t="shared" si="101"/>
        <v/>
      </c>
      <c r="AG62" s="19" t="str">
        <f t="shared" si="102"/>
        <v/>
      </c>
      <c r="AH62" s="19" t="str">
        <f t="shared" si="103"/>
        <v/>
      </c>
      <c r="AI62" s="19" t="str">
        <f t="shared" si="104"/>
        <v/>
      </c>
      <c r="AJ62" s="19" t="str">
        <f t="shared" si="105"/>
        <v/>
      </c>
      <c r="AK62" s="19" t="str">
        <f t="shared" si="106"/>
        <v/>
      </c>
      <c r="AL62" s="19" t="str">
        <f t="shared" si="107"/>
        <v/>
      </c>
      <c r="AM62" s="19" t="str">
        <f t="shared" si="108"/>
        <v/>
      </c>
      <c r="AN62" s="19" t="str">
        <f t="shared" si="109"/>
        <v/>
      </c>
      <c r="AO62" s="19" t="str">
        <f t="shared" si="110"/>
        <v/>
      </c>
      <c r="AP62" s="19" t="str">
        <f t="shared" si="111"/>
        <v/>
      </c>
      <c r="AQ62" s="19" t="str">
        <f t="shared" si="112"/>
        <v/>
      </c>
      <c r="AR62" s="19" t="str">
        <f t="shared" si="113"/>
        <v/>
      </c>
      <c r="AS62" s="19" t="str">
        <f t="shared" si="114"/>
        <v/>
      </c>
      <c r="AT62" s="19" t="str">
        <f t="shared" si="115"/>
        <v/>
      </c>
      <c r="AU62" s="19" t="str">
        <f t="shared" si="116"/>
        <v/>
      </c>
      <c r="AV62" s="19" t="str">
        <f t="shared" si="117"/>
        <v/>
      </c>
      <c r="AW62" s="19" t="str">
        <f t="shared" si="118"/>
        <v/>
      </c>
      <c r="AX62" s="19" t="str">
        <f t="shared" si="119"/>
        <v/>
      </c>
      <c r="AY62" s="19" t="str">
        <f t="shared" si="120"/>
        <v/>
      </c>
      <c r="AZ62" s="19" t="str">
        <f t="shared" si="121"/>
        <v/>
      </c>
      <c r="BA62" s="19" t="str">
        <f t="shared" si="122"/>
        <v/>
      </c>
      <c r="BB62" s="19" t="str">
        <f t="shared" si="123"/>
        <v/>
      </c>
      <c r="BC62" s="19" t="str">
        <f t="shared" si="124"/>
        <v/>
      </c>
      <c r="BD62" s="19" t="str">
        <f t="shared" si="125"/>
        <v/>
      </c>
      <c r="BE62" s="19" t="str">
        <f t="shared" si="126"/>
        <v/>
      </c>
      <c r="BF62" s="19" t="str">
        <f t="shared" si="127"/>
        <v/>
      </c>
      <c r="BG62" s="19" t="str">
        <f t="shared" si="128"/>
        <v/>
      </c>
      <c r="BH62" s="19" t="str">
        <f t="shared" si="129"/>
        <v/>
      </c>
      <c r="BI62" s="19" t="str">
        <f t="shared" si="130"/>
        <v/>
      </c>
      <c r="BJ62" s="19" t="str">
        <f t="shared" si="131"/>
        <v/>
      </c>
    </row>
    <row r="63" spans="1:62">
      <c r="A63" s="12">
        <f t="shared" si="70"/>
        <v>49</v>
      </c>
      <c r="B63" s="19" t="str">
        <f t="shared" si="71"/>
        <v/>
      </c>
      <c r="C63" s="19" t="str">
        <f t="shared" si="72"/>
        <v/>
      </c>
      <c r="D63" s="19" t="str">
        <f t="shared" si="73"/>
        <v/>
      </c>
      <c r="E63" s="19" t="str">
        <f t="shared" si="74"/>
        <v/>
      </c>
      <c r="F63" s="19" t="str">
        <f t="shared" si="75"/>
        <v/>
      </c>
      <c r="G63" s="19" t="str">
        <f t="shared" si="76"/>
        <v/>
      </c>
      <c r="H63" s="19" t="str">
        <f t="shared" si="77"/>
        <v/>
      </c>
      <c r="I63" s="19" t="str">
        <f t="shared" si="78"/>
        <v/>
      </c>
      <c r="J63" s="19" t="str">
        <f t="shared" si="79"/>
        <v/>
      </c>
      <c r="K63" s="19" t="str">
        <f t="shared" si="80"/>
        <v/>
      </c>
      <c r="L63" s="19" t="str">
        <f t="shared" si="81"/>
        <v/>
      </c>
      <c r="M63" s="19" t="str">
        <f t="shared" si="82"/>
        <v/>
      </c>
      <c r="N63" s="19" t="str">
        <f t="shared" si="83"/>
        <v/>
      </c>
      <c r="O63" s="19" t="str">
        <f t="shared" si="84"/>
        <v/>
      </c>
      <c r="P63" s="19" t="str">
        <f t="shared" si="85"/>
        <v/>
      </c>
      <c r="Q63" s="19" t="str">
        <f t="shared" si="86"/>
        <v/>
      </c>
      <c r="R63" s="19" t="str">
        <f t="shared" si="87"/>
        <v/>
      </c>
      <c r="S63" s="19" t="str">
        <f t="shared" si="88"/>
        <v/>
      </c>
      <c r="T63" s="19" t="str">
        <f t="shared" si="89"/>
        <v/>
      </c>
      <c r="U63" s="19" t="str">
        <f t="shared" si="90"/>
        <v/>
      </c>
      <c r="V63" s="19" t="str">
        <f t="shared" si="91"/>
        <v/>
      </c>
      <c r="W63" s="19" t="str">
        <f t="shared" si="92"/>
        <v/>
      </c>
      <c r="X63" s="19" t="str">
        <f t="shared" si="93"/>
        <v/>
      </c>
      <c r="Y63" s="19" t="str">
        <f t="shared" si="94"/>
        <v/>
      </c>
      <c r="Z63" s="19" t="str">
        <f t="shared" si="95"/>
        <v/>
      </c>
      <c r="AA63" s="19" t="str">
        <f t="shared" si="96"/>
        <v/>
      </c>
      <c r="AB63" s="19" t="str">
        <f t="shared" si="97"/>
        <v/>
      </c>
      <c r="AC63" s="19" t="str">
        <f t="shared" si="98"/>
        <v/>
      </c>
      <c r="AD63" s="19" t="str">
        <f t="shared" si="99"/>
        <v/>
      </c>
      <c r="AE63" s="19" t="str">
        <f t="shared" si="100"/>
        <v/>
      </c>
      <c r="AF63" s="19" t="str">
        <f t="shared" si="101"/>
        <v/>
      </c>
      <c r="AG63" s="19" t="str">
        <f t="shared" si="102"/>
        <v/>
      </c>
      <c r="AH63" s="19" t="str">
        <f t="shared" si="103"/>
        <v/>
      </c>
      <c r="AI63" s="19" t="str">
        <f t="shared" si="104"/>
        <v/>
      </c>
      <c r="AJ63" s="19" t="str">
        <f t="shared" si="105"/>
        <v/>
      </c>
      <c r="AK63" s="19" t="str">
        <f t="shared" si="106"/>
        <v/>
      </c>
      <c r="AL63" s="19" t="str">
        <f t="shared" si="107"/>
        <v/>
      </c>
      <c r="AM63" s="19" t="str">
        <f t="shared" si="108"/>
        <v/>
      </c>
      <c r="AN63" s="19" t="str">
        <f t="shared" si="109"/>
        <v/>
      </c>
      <c r="AO63" s="19" t="str">
        <f t="shared" si="110"/>
        <v/>
      </c>
      <c r="AP63" s="19" t="str">
        <f t="shared" si="111"/>
        <v/>
      </c>
      <c r="AQ63" s="19" t="str">
        <f t="shared" si="112"/>
        <v/>
      </c>
      <c r="AR63" s="19" t="str">
        <f t="shared" si="113"/>
        <v/>
      </c>
      <c r="AS63" s="19" t="str">
        <f t="shared" si="114"/>
        <v/>
      </c>
      <c r="AT63" s="19" t="str">
        <f t="shared" si="115"/>
        <v/>
      </c>
      <c r="AU63" s="19" t="str">
        <f t="shared" si="116"/>
        <v/>
      </c>
      <c r="AV63" s="19" t="str">
        <f t="shared" si="117"/>
        <v/>
      </c>
      <c r="AW63" s="19" t="str">
        <f t="shared" si="118"/>
        <v/>
      </c>
      <c r="AX63" s="19" t="str">
        <f t="shared" si="119"/>
        <v/>
      </c>
      <c r="AY63" s="19" t="str">
        <f t="shared" si="120"/>
        <v/>
      </c>
      <c r="AZ63" s="19" t="str">
        <f t="shared" si="121"/>
        <v/>
      </c>
      <c r="BA63" s="19" t="str">
        <f t="shared" si="122"/>
        <v/>
      </c>
      <c r="BB63" s="19" t="str">
        <f t="shared" si="123"/>
        <v/>
      </c>
      <c r="BC63" s="19" t="str">
        <f t="shared" si="124"/>
        <v/>
      </c>
      <c r="BD63" s="19" t="str">
        <f t="shared" si="125"/>
        <v/>
      </c>
      <c r="BE63" s="19" t="str">
        <f t="shared" si="126"/>
        <v/>
      </c>
      <c r="BF63" s="19" t="str">
        <f t="shared" si="127"/>
        <v/>
      </c>
      <c r="BG63" s="19" t="str">
        <f t="shared" si="128"/>
        <v/>
      </c>
      <c r="BH63" s="19" t="str">
        <f t="shared" si="129"/>
        <v/>
      </c>
      <c r="BI63" s="19" t="str">
        <f t="shared" si="130"/>
        <v/>
      </c>
      <c r="BJ63" s="19" t="str">
        <f t="shared" si="131"/>
        <v/>
      </c>
    </row>
    <row r="64" spans="1:62">
      <c r="A64" s="12">
        <f t="shared" si="70"/>
        <v>50</v>
      </c>
      <c r="B64" s="19" t="str">
        <f t="shared" si="71"/>
        <v/>
      </c>
      <c r="C64" s="19" t="str">
        <f t="shared" si="72"/>
        <v/>
      </c>
      <c r="D64" s="19" t="str">
        <f t="shared" si="73"/>
        <v/>
      </c>
      <c r="E64" s="19" t="str">
        <f t="shared" si="74"/>
        <v/>
      </c>
      <c r="F64" s="19" t="str">
        <f t="shared" si="75"/>
        <v/>
      </c>
      <c r="G64" s="19" t="str">
        <f t="shared" si="76"/>
        <v/>
      </c>
      <c r="H64" s="19" t="str">
        <f t="shared" si="77"/>
        <v/>
      </c>
      <c r="I64" s="19" t="str">
        <f t="shared" si="78"/>
        <v/>
      </c>
      <c r="J64" s="19" t="str">
        <f t="shared" si="79"/>
        <v/>
      </c>
      <c r="K64" s="19" t="str">
        <f t="shared" si="80"/>
        <v/>
      </c>
      <c r="L64" s="19" t="str">
        <f t="shared" si="81"/>
        <v/>
      </c>
      <c r="M64" s="19" t="str">
        <f t="shared" si="82"/>
        <v/>
      </c>
      <c r="N64" s="19" t="str">
        <f t="shared" si="83"/>
        <v/>
      </c>
      <c r="O64" s="19" t="str">
        <f t="shared" si="84"/>
        <v/>
      </c>
      <c r="P64" s="19" t="str">
        <f t="shared" si="85"/>
        <v/>
      </c>
      <c r="Q64" s="19" t="str">
        <f t="shared" si="86"/>
        <v/>
      </c>
      <c r="R64" s="19" t="str">
        <f t="shared" si="87"/>
        <v/>
      </c>
      <c r="S64" s="19" t="str">
        <f t="shared" si="88"/>
        <v/>
      </c>
      <c r="T64" s="19" t="str">
        <f t="shared" si="89"/>
        <v/>
      </c>
      <c r="U64" s="19" t="str">
        <f t="shared" si="90"/>
        <v/>
      </c>
      <c r="V64" s="19" t="str">
        <f t="shared" si="91"/>
        <v/>
      </c>
      <c r="W64" s="19" t="str">
        <f t="shared" si="92"/>
        <v/>
      </c>
      <c r="X64" s="19" t="str">
        <f t="shared" si="93"/>
        <v/>
      </c>
      <c r="Y64" s="19" t="str">
        <f t="shared" si="94"/>
        <v/>
      </c>
      <c r="Z64" s="19" t="str">
        <f t="shared" si="95"/>
        <v/>
      </c>
      <c r="AA64" s="19" t="str">
        <f t="shared" si="96"/>
        <v/>
      </c>
      <c r="AB64" s="19" t="str">
        <f t="shared" si="97"/>
        <v/>
      </c>
      <c r="AC64" s="19" t="str">
        <f t="shared" si="98"/>
        <v/>
      </c>
      <c r="AD64" s="19" t="str">
        <f t="shared" si="99"/>
        <v/>
      </c>
      <c r="AE64" s="19" t="str">
        <f t="shared" si="100"/>
        <v/>
      </c>
      <c r="AF64" s="19" t="str">
        <f t="shared" si="101"/>
        <v/>
      </c>
      <c r="AG64" s="19" t="str">
        <f t="shared" si="102"/>
        <v/>
      </c>
      <c r="AH64" s="19" t="str">
        <f t="shared" si="103"/>
        <v/>
      </c>
      <c r="AI64" s="19" t="str">
        <f t="shared" si="104"/>
        <v/>
      </c>
      <c r="AJ64" s="19" t="str">
        <f t="shared" si="105"/>
        <v/>
      </c>
      <c r="AK64" s="19" t="str">
        <f t="shared" si="106"/>
        <v/>
      </c>
      <c r="AL64" s="19" t="str">
        <f t="shared" si="107"/>
        <v/>
      </c>
      <c r="AM64" s="19" t="str">
        <f t="shared" si="108"/>
        <v/>
      </c>
      <c r="AN64" s="19" t="str">
        <f t="shared" si="109"/>
        <v/>
      </c>
      <c r="AO64" s="19" t="str">
        <f t="shared" si="110"/>
        <v/>
      </c>
      <c r="AP64" s="19" t="str">
        <f t="shared" si="111"/>
        <v/>
      </c>
      <c r="AQ64" s="19" t="str">
        <f t="shared" si="112"/>
        <v/>
      </c>
      <c r="AR64" s="19" t="str">
        <f t="shared" si="113"/>
        <v/>
      </c>
      <c r="AS64" s="19" t="str">
        <f t="shared" si="114"/>
        <v/>
      </c>
      <c r="AT64" s="19" t="str">
        <f t="shared" si="115"/>
        <v/>
      </c>
      <c r="AU64" s="19" t="str">
        <f t="shared" si="116"/>
        <v/>
      </c>
      <c r="AV64" s="19" t="str">
        <f t="shared" si="117"/>
        <v/>
      </c>
      <c r="AW64" s="19" t="str">
        <f t="shared" si="118"/>
        <v/>
      </c>
      <c r="AX64" s="19" t="str">
        <f t="shared" si="119"/>
        <v/>
      </c>
      <c r="AY64" s="19" t="str">
        <f t="shared" si="120"/>
        <v/>
      </c>
      <c r="AZ64" s="19" t="str">
        <f t="shared" si="121"/>
        <v/>
      </c>
      <c r="BA64" s="19" t="str">
        <f t="shared" si="122"/>
        <v/>
      </c>
      <c r="BB64" s="19" t="str">
        <f t="shared" si="123"/>
        <v/>
      </c>
      <c r="BC64" s="19" t="str">
        <f t="shared" si="124"/>
        <v/>
      </c>
      <c r="BD64" s="19" t="str">
        <f t="shared" si="125"/>
        <v/>
      </c>
      <c r="BE64" s="19" t="str">
        <f t="shared" si="126"/>
        <v/>
      </c>
      <c r="BF64" s="19" t="str">
        <f t="shared" si="127"/>
        <v/>
      </c>
      <c r="BG64" s="19" t="str">
        <f t="shared" si="128"/>
        <v/>
      </c>
      <c r="BH64" s="19" t="str">
        <f t="shared" si="129"/>
        <v/>
      </c>
      <c r="BI64" s="19" t="str">
        <f t="shared" si="130"/>
        <v/>
      </c>
      <c r="BJ64" s="19" t="str">
        <f t="shared" si="131"/>
        <v/>
      </c>
    </row>
    <row r="65" spans="1:62">
      <c r="A65" s="12">
        <f t="shared" si="70"/>
        <v>51</v>
      </c>
      <c r="B65" s="19" t="str">
        <f t="shared" si="71"/>
        <v/>
      </c>
      <c r="C65" s="19" t="str">
        <f t="shared" si="72"/>
        <v/>
      </c>
      <c r="D65" s="19" t="str">
        <f t="shared" si="73"/>
        <v/>
      </c>
      <c r="E65" s="19" t="str">
        <f t="shared" si="74"/>
        <v/>
      </c>
      <c r="F65" s="19" t="str">
        <f t="shared" si="75"/>
        <v/>
      </c>
      <c r="G65" s="19" t="str">
        <f t="shared" si="76"/>
        <v/>
      </c>
      <c r="H65" s="19" t="str">
        <f t="shared" si="77"/>
        <v/>
      </c>
      <c r="I65" s="19" t="str">
        <f t="shared" si="78"/>
        <v/>
      </c>
      <c r="J65" s="19" t="str">
        <f t="shared" si="79"/>
        <v/>
      </c>
      <c r="K65" s="19" t="str">
        <f t="shared" si="80"/>
        <v/>
      </c>
      <c r="L65" s="19" t="str">
        <f t="shared" si="81"/>
        <v/>
      </c>
      <c r="M65" s="19" t="str">
        <f t="shared" si="82"/>
        <v/>
      </c>
      <c r="N65" s="19" t="str">
        <f t="shared" si="83"/>
        <v/>
      </c>
      <c r="O65" s="19" t="str">
        <f t="shared" si="84"/>
        <v/>
      </c>
      <c r="P65" s="19" t="str">
        <f t="shared" si="85"/>
        <v/>
      </c>
      <c r="Q65" s="19" t="str">
        <f t="shared" si="86"/>
        <v/>
      </c>
      <c r="R65" s="19" t="str">
        <f t="shared" si="87"/>
        <v/>
      </c>
      <c r="S65" s="19" t="str">
        <f t="shared" si="88"/>
        <v/>
      </c>
      <c r="T65" s="19" t="str">
        <f t="shared" si="89"/>
        <v/>
      </c>
      <c r="U65" s="19" t="str">
        <f t="shared" si="90"/>
        <v/>
      </c>
      <c r="V65" s="19" t="str">
        <f t="shared" si="91"/>
        <v/>
      </c>
      <c r="W65" s="19" t="str">
        <f t="shared" si="92"/>
        <v/>
      </c>
      <c r="X65" s="19" t="str">
        <f t="shared" si="93"/>
        <v/>
      </c>
      <c r="Y65" s="19" t="str">
        <f t="shared" si="94"/>
        <v/>
      </c>
      <c r="Z65" s="19" t="str">
        <f t="shared" si="95"/>
        <v/>
      </c>
      <c r="AA65" s="19" t="str">
        <f t="shared" si="96"/>
        <v/>
      </c>
      <c r="AB65" s="19" t="str">
        <f t="shared" si="97"/>
        <v/>
      </c>
      <c r="AC65" s="19" t="str">
        <f t="shared" si="98"/>
        <v/>
      </c>
      <c r="AD65" s="19" t="str">
        <f t="shared" si="99"/>
        <v/>
      </c>
      <c r="AE65" s="19" t="str">
        <f t="shared" si="100"/>
        <v/>
      </c>
      <c r="AF65" s="19" t="str">
        <f t="shared" si="101"/>
        <v/>
      </c>
      <c r="AG65" s="19" t="str">
        <f t="shared" si="102"/>
        <v/>
      </c>
      <c r="AH65" s="19" t="str">
        <f t="shared" si="103"/>
        <v/>
      </c>
      <c r="AI65" s="19" t="str">
        <f t="shared" si="104"/>
        <v/>
      </c>
      <c r="AJ65" s="19" t="str">
        <f t="shared" si="105"/>
        <v/>
      </c>
      <c r="AK65" s="19" t="str">
        <f t="shared" si="106"/>
        <v/>
      </c>
      <c r="AL65" s="19" t="str">
        <f t="shared" si="107"/>
        <v/>
      </c>
      <c r="AM65" s="19" t="str">
        <f t="shared" si="108"/>
        <v/>
      </c>
      <c r="AN65" s="19" t="str">
        <f t="shared" si="109"/>
        <v/>
      </c>
      <c r="AO65" s="19" t="str">
        <f t="shared" si="110"/>
        <v/>
      </c>
      <c r="AP65" s="19" t="str">
        <f t="shared" si="111"/>
        <v/>
      </c>
      <c r="AQ65" s="19" t="str">
        <f t="shared" si="112"/>
        <v/>
      </c>
      <c r="AR65" s="19" t="str">
        <f t="shared" si="113"/>
        <v/>
      </c>
      <c r="AS65" s="19" t="str">
        <f t="shared" si="114"/>
        <v/>
      </c>
      <c r="AT65" s="19" t="str">
        <f t="shared" si="115"/>
        <v/>
      </c>
      <c r="AU65" s="19" t="str">
        <f t="shared" si="116"/>
        <v/>
      </c>
      <c r="AV65" s="19" t="str">
        <f t="shared" si="117"/>
        <v/>
      </c>
      <c r="AW65" s="19" t="str">
        <f t="shared" si="118"/>
        <v/>
      </c>
      <c r="AX65" s="19" t="str">
        <f t="shared" si="119"/>
        <v/>
      </c>
      <c r="AY65" s="19" t="str">
        <f t="shared" si="120"/>
        <v/>
      </c>
      <c r="AZ65" s="19" t="str">
        <f t="shared" si="121"/>
        <v/>
      </c>
      <c r="BA65" s="19" t="str">
        <f t="shared" si="122"/>
        <v/>
      </c>
      <c r="BB65" s="19" t="str">
        <f t="shared" si="123"/>
        <v/>
      </c>
      <c r="BC65" s="19" t="str">
        <f t="shared" si="124"/>
        <v/>
      </c>
      <c r="BD65" s="19" t="str">
        <f t="shared" si="125"/>
        <v/>
      </c>
      <c r="BE65" s="19" t="str">
        <f t="shared" si="126"/>
        <v/>
      </c>
      <c r="BF65" s="19" t="str">
        <f t="shared" si="127"/>
        <v/>
      </c>
      <c r="BG65" s="19" t="str">
        <f t="shared" si="128"/>
        <v/>
      </c>
      <c r="BH65" s="19" t="str">
        <f t="shared" si="129"/>
        <v/>
      </c>
      <c r="BI65" s="19" t="str">
        <f t="shared" si="130"/>
        <v/>
      </c>
      <c r="BJ65" s="19" t="str">
        <f t="shared" si="131"/>
        <v/>
      </c>
    </row>
    <row r="66" spans="1:62">
      <c r="A66" s="12">
        <f t="shared" si="70"/>
        <v>52</v>
      </c>
      <c r="B66" s="19" t="str">
        <f t="shared" si="71"/>
        <v/>
      </c>
      <c r="C66" s="19" t="str">
        <f t="shared" si="72"/>
        <v/>
      </c>
      <c r="D66" s="19" t="str">
        <f t="shared" si="73"/>
        <v/>
      </c>
      <c r="E66" s="19" t="str">
        <f t="shared" si="74"/>
        <v/>
      </c>
      <c r="F66" s="19" t="str">
        <f t="shared" si="75"/>
        <v/>
      </c>
      <c r="G66" s="19" t="str">
        <f t="shared" si="76"/>
        <v/>
      </c>
      <c r="H66" s="19" t="str">
        <f t="shared" si="77"/>
        <v/>
      </c>
      <c r="I66" s="19" t="str">
        <f t="shared" si="78"/>
        <v/>
      </c>
      <c r="J66" s="19" t="str">
        <f t="shared" si="79"/>
        <v/>
      </c>
      <c r="K66" s="19" t="str">
        <f t="shared" si="80"/>
        <v/>
      </c>
      <c r="L66" s="19" t="str">
        <f t="shared" si="81"/>
        <v/>
      </c>
      <c r="M66" s="19" t="str">
        <f t="shared" si="82"/>
        <v/>
      </c>
      <c r="N66" s="19" t="str">
        <f t="shared" si="83"/>
        <v/>
      </c>
      <c r="O66" s="19" t="str">
        <f t="shared" si="84"/>
        <v/>
      </c>
      <c r="P66" s="19" t="str">
        <f t="shared" si="85"/>
        <v/>
      </c>
      <c r="Q66" s="19" t="str">
        <f t="shared" si="86"/>
        <v/>
      </c>
      <c r="R66" s="19" t="str">
        <f t="shared" si="87"/>
        <v/>
      </c>
      <c r="S66" s="19" t="str">
        <f t="shared" si="88"/>
        <v/>
      </c>
      <c r="T66" s="19" t="str">
        <f t="shared" si="89"/>
        <v/>
      </c>
      <c r="U66" s="19" t="str">
        <f t="shared" si="90"/>
        <v/>
      </c>
      <c r="V66" s="19" t="str">
        <f t="shared" si="91"/>
        <v/>
      </c>
      <c r="W66" s="19" t="str">
        <f t="shared" si="92"/>
        <v/>
      </c>
      <c r="X66" s="19" t="str">
        <f t="shared" si="93"/>
        <v/>
      </c>
      <c r="Y66" s="19" t="str">
        <f t="shared" si="94"/>
        <v/>
      </c>
      <c r="Z66" s="19" t="str">
        <f t="shared" si="95"/>
        <v/>
      </c>
      <c r="AA66" s="19" t="str">
        <f t="shared" si="96"/>
        <v/>
      </c>
      <c r="AB66" s="19" t="str">
        <f t="shared" si="97"/>
        <v/>
      </c>
      <c r="AC66" s="19" t="str">
        <f t="shared" si="98"/>
        <v/>
      </c>
      <c r="AD66" s="19" t="str">
        <f t="shared" si="99"/>
        <v/>
      </c>
      <c r="AE66" s="19" t="str">
        <f t="shared" si="100"/>
        <v/>
      </c>
      <c r="AF66" s="19" t="str">
        <f t="shared" si="101"/>
        <v/>
      </c>
      <c r="AG66" s="19" t="str">
        <f t="shared" si="102"/>
        <v/>
      </c>
      <c r="AH66" s="19" t="str">
        <f t="shared" si="103"/>
        <v/>
      </c>
      <c r="AI66" s="19" t="str">
        <f t="shared" si="104"/>
        <v/>
      </c>
      <c r="AJ66" s="19" t="str">
        <f t="shared" si="105"/>
        <v/>
      </c>
      <c r="AK66" s="19" t="str">
        <f t="shared" si="106"/>
        <v/>
      </c>
      <c r="AL66" s="19" t="str">
        <f t="shared" si="107"/>
        <v/>
      </c>
      <c r="AM66" s="19" t="str">
        <f t="shared" si="108"/>
        <v/>
      </c>
      <c r="AN66" s="19" t="str">
        <f t="shared" si="109"/>
        <v/>
      </c>
      <c r="AO66" s="19" t="str">
        <f t="shared" si="110"/>
        <v/>
      </c>
      <c r="AP66" s="19" t="str">
        <f t="shared" si="111"/>
        <v/>
      </c>
      <c r="AQ66" s="19" t="str">
        <f t="shared" si="112"/>
        <v/>
      </c>
      <c r="AR66" s="19" t="str">
        <f t="shared" si="113"/>
        <v/>
      </c>
      <c r="AS66" s="19" t="str">
        <f t="shared" si="114"/>
        <v/>
      </c>
      <c r="AT66" s="19" t="str">
        <f t="shared" si="115"/>
        <v/>
      </c>
      <c r="AU66" s="19" t="str">
        <f t="shared" si="116"/>
        <v/>
      </c>
      <c r="AV66" s="19" t="str">
        <f t="shared" si="117"/>
        <v/>
      </c>
      <c r="AW66" s="19" t="str">
        <f t="shared" si="118"/>
        <v/>
      </c>
      <c r="AX66" s="19" t="str">
        <f t="shared" si="119"/>
        <v/>
      </c>
      <c r="AY66" s="19" t="str">
        <f t="shared" si="120"/>
        <v/>
      </c>
      <c r="AZ66" s="19" t="str">
        <f t="shared" si="121"/>
        <v/>
      </c>
      <c r="BA66" s="19" t="str">
        <f t="shared" si="122"/>
        <v/>
      </c>
      <c r="BB66" s="19" t="str">
        <f t="shared" si="123"/>
        <v/>
      </c>
      <c r="BC66" s="19" t="str">
        <f t="shared" si="124"/>
        <v/>
      </c>
      <c r="BD66" s="19" t="str">
        <f t="shared" si="125"/>
        <v/>
      </c>
      <c r="BE66" s="19" t="str">
        <f t="shared" si="126"/>
        <v/>
      </c>
      <c r="BF66" s="19" t="str">
        <f t="shared" si="127"/>
        <v/>
      </c>
      <c r="BG66" s="19" t="str">
        <f t="shared" si="128"/>
        <v/>
      </c>
      <c r="BH66" s="19" t="str">
        <f t="shared" si="129"/>
        <v/>
      </c>
      <c r="BI66" s="19" t="str">
        <f t="shared" si="130"/>
        <v/>
      </c>
      <c r="BJ66" s="19" t="str">
        <f t="shared" si="131"/>
        <v/>
      </c>
    </row>
    <row r="67" spans="1:62">
      <c r="A67" s="12">
        <f t="shared" si="70"/>
        <v>53</v>
      </c>
      <c r="B67" s="19" t="str">
        <f t="shared" si="71"/>
        <v/>
      </c>
      <c r="C67" s="19" t="str">
        <f t="shared" si="72"/>
        <v/>
      </c>
      <c r="D67" s="19" t="str">
        <f t="shared" si="73"/>
        <v/>
      </c>
      <c r="E67" s="19" t="str">
        <f t="shared" si="74"/>
        <v/>
      </c>
      <c r="F67" s="19" t="str">
        <f t="shared" si="75"/>
        <v/>
      </c>
      <c r="G67" s="19" t="str">
        <f t="shared" si="76"/>
        <v/>
      </c>
      <c r="H67" s="19" t="str">
        <f t="shared" si="77"/>
        <v/>
      </c>
      <c r="I67" s="19" t="str">
        <f t="shared" si="78"/>
        <v/>
      </c>
      <c r="J67" s="19" t="str">
        <f t="shared" si="79"/>
        <v/>
      </c>
      <c r="K67" s="19" t="str">
        <f t="shared" si="80"/>
        <v/>
      </c>
      <c r="L67" s="19" t="str">
        <f t="shared" si="81"/>
        <v/>
      </c>
      <c r="M67" s="19" t="str">
        <f t="shared" si="82"/>
        <v/>
      </c>
      <c r="N67" s="19" t="str">
        <f t="shared" si="83"/>
        <v/>
      </c>
      <c r="O67" s="19" t="str">
        <f t="shared" si="84"/>
        <v/>
      </c>
      <c r="P67" s="19" t="str">
        <f t="shared" si="85"/>
        <v/>
      </c>
      <c r="Q67" s="19" t="str">
        <f t="shared" si="86"/>
        <v/>
      </c>
      <c r="R67" s="19" t="str">
        <f t="shared" si="87"/>
        <v/>
      </c>
      <c r="S67" s="19" t="str">
        <f t="shared" si="88"/>
        <v/>
      </c>
      <c r="T67" s="19" t="str">
        <f t="shared" si="89"/>
        <v/>
      </c>
      <c r="U67" s="19" t="str">
        <f t="shared" si="90"/>
        <v/>
      </c>
      <c r="V67" s="19" t="str">
        <f t="shared" si="91"/>
        <v/>
      </c>
      <c r="W67" s="19" t="str">
        <f t="shared" si="92"/>
        <v/>
      </c>
      <c r="X67" s="19" t="str">
        <f t="shared" si="93"/>
        <v/>
      </c>
      <c r="Y67" s="19" t="str">
        <f t="shared" si="94"/>
        <v/>
      </c>
      <c r="Z67" s="19" t="str">
        <f t="shared" si="95"/>
        <v/>
      </c>
      <c r="AA67" s="19" t="str">
        <f t="shared" si="96"/>
        <v/>
      </c>
      <c r="AB67" s="19" t="str">
        <f t="shared" si="97"/>
        <v/>
      </c>
      <c r="AC67" s="19" t="str">
        <f t="shared" si="98"/>
        <v/>
      </c>
      <c r="AD67" s="19" t="str">
        <f t="shared" si="99"/>
        <v/>
      </c>
      <c r="AE67" s="19" t="str">
        <f t="shared" si="100"/>
        <v/>
      </c>
      <c r="AF67" s="19" t="str">
        <f t="shared" si="101"/>
        <v/>
      </c>
      <c r="AG67" s="19" t="str">
        <f t="shared" si="102"/>
        <v/>
      </c>
      <c r="AH67" s="19" t="str">
        <f t="shared" si="103"/>
        <v/>
      </c>
      <c r="AI67" s="19" t="str">
        <f t="shared" si="104"/>
        <v/>
      </c>
      <c r="AJ67" s="19" t="str">
        <f t="shared" si="105"/>
        <v/>
      </c>
      <c r="AK67" s="19" t="str">
        <f t="shared" si="106"/>
        <v/>
      </c>
      <c r="AL67" s="19" t="str">
        <f t="shared" si="107"/>
        <v/>
      </c>
      <c r="AM67" s="19" t="str">
        <f t="shared" si="108"/>
        <v/>
      </c>
      <c r="AN67" s="19" t="str">
        <f t="shared" si="109"/>
        <v/>
      </c>
      <c r="AO67" s="19" t="str">
        <f t="shared" si="110"/>
        <v/>
      </c>
      <c r="AP67" s="19" t="str">
        <f t="shared" si="111"/>
        <v/>
      </c>
      <c r="AQ67" s="19" t="str">
        <f t="shared" si="112"/>
        <v/>
      </c>
      <c r="AR67" s="19" t="str">
        <f t="shared" si="113"/>
        <v/>
      </c>
      <c r="AS67" s="19" t="str">
        <f t="shared" si="114"/>
        <v/>
      </c>
      <c r="AT67" s="19" t="str">
        <f t="shared" si="115"/>
        <v/>
      </c>
      <c r="AU67" s="19" t="str">
        <f t="shared" si="116"/>
        <v/>
      </c>
      <c r="AV67" s="19" t="str">
        <f t="shared" si="117"/>
        <v/>
      </c>
      <c r="AW67" s="19" t="str">
        <f t="shared" si="118"/>
        <v/>
      </c>
      <c r="AX67" s="19" t="str">
        <f t="shared" si="119"/>
        <v/>
      </c>
      <c r="AY67" s="19" t="str">
        <f t="shared" si="120"/>
        <v/>
      </c>
      <c r="AZ67" s="19" t="str">
        <f t="shared" si="121"/>
        <v/>
      </c>
      <c r="BA67" s="19" t="str">
        <f t="shared" si="122"/>
        <v/>
      </c>
      <c r="BB67" s="19" t="str">
        <f t="shared" si="123"/>
        <v/>
      </c>
      <c r="BC67" s="19" t="str">
        <f t="shared" si="124"/>
        <v/>
      </c>
      <c r="BD67" s="19" t="str">
        <f t="shared" si="125"/>
        <v/>
      </c>
      <c r="BE67" s="19" t="str">
        <f t="shared" si="126"/>
        <v/>
      </c>
      <c r="BF67" s="19" t="str">
        <f t="shared" si="127"/>
        <v/>
      </c>
      <c r="BG67" s="19" t="str">
        <f t="shared" si="128"/>
        <v/>
      </c>
      <c r="BH67" s="19" t="str">
        <f t="shared" si="129"/>
        <v/>
      </c>
      <c r="BI67" s="19" t="str">
        <f t="shared" si="130"/>
        <v/>
      </c>
      <c r="BJ67" s="19" t="str">
        <f t="shared" si="131"/>
        <v/>
      </c>
    </row>
    <row r="68" spans="1:62">
      <c r="A68" s="12">
        <f t="shared" si="70"/>
        <v>54</v>
      </c>
      <c r="B68" s="19" t="str">
        <f t="shared" si="71"/>
        <v/>
      </c>
      <c r="C68" s="19" t="str">
        <f t="shared" si="72"/>
        <v/>
      </c>
      <c r="D68" s="19" t="str">
        <f t="shared" si="73"/>
        <v/>
      </c>
      <c r="E68" s="19" t="str">
        <f t="shared" si="74"/>
        <v/>
      </c>
      <c r="F68" s="19" t="str">
        <f t="shared" si="75"/>
        <v/>
      </c>
      <c r="G68" s="19" t="str">
        <f t="shared" si="76"/>
        <v/>
      </c>
      <c r="H68" s="19" t="str">
        <f t="shared" si="77"/>
        <v/>
      </c>
      <c r="I68" s="19" t="str">
        <f t="shared" si="78"/>
        <v/>
      </c>
      <c r="J68" s="19" t="str">
        <f t="shared" si="79"/>
        <v/>
      </c>
      <c r="K68" s="19" t="str">
        <f t="shared" si="80"/>
        <v/>
      </c>
      <c r="L68" s="19" t="str">
        <f t="shared" si="81"/>
        <v/>
      </c>
      <c r="M68" s="19" t="str">
        <f t="shared" si="82"/>
        <v/>
      </c>
      <c r="N68" s="19" t="str">
        <f t="shared" si="83"/>
        <v/>
      </c>
      <c r="O68" s="19" t="str">
        <f t="shared" si="84"/>
        <v/>
      </c>
      <c r="P68" s="19" t="str">
        <f t="shared" si="85"/>
        <v/>
      </c>
      <c r="Q68" s="19" t="str">
        <f t="shared" si="86"/>
        <v/>
      </c>
      <c r="R68" s="19" t="str">
        <f t="shared" si="87"/>
        <v/>
      </c>
      <c r="S68" s="19" t="str">
        <f t="shared" si="88"/>
        <v/>
      </c>
      <c r="T68" s="19" t="str">
        <f t="shared" si="89"/>
        <v/>
      </c>
      <c r="U68" s="19" t="str">
        <f t="shared" si="90"/>
        <v/>
      </c>
      <c r="V68" s="19" t="str">
        <f t="shared" si="91"/>
        <v/>
      </c>
      <c r="W68" s="19" t="str">
        <f t="shared" si="92"/>
        <v/>
      </c>
      <c r="X68" s="19" t="str">
        <f t="shared" si="93"/>
        <v/>
      </c>
      <c r="Y68" s="19" t="str">
        <f t="shared" si="94"/>
        <v/>
      </c>
      <c r="Z68" s="19" t="str">
        <f t="shared" si="95"/>
        <v/>
      </c>
      <c r="AA68" s="19" t="str">
        <f t="shared" si="96"/>
        <v/>
      </c>
      <c r="AB68" s="19" t="str">
        <f t="shared" si="97"/>
        <v/>
      </c>
      <c r="AC68" s="19" t="str">
        <f t="shared" si="98"/>
        <v/>
      </c>
      <c r="AD68" s="19" t="str">
        <f t="shared" si="99"/>
        <v/>
      </c>
      <c r="AE68" s="19" t="str">
        <f t="shared" si="100"/>
        <v/>
      </c>
      <c r="AF68" s="19" t="str">
        <f t="shared" si="101"/>
        <v/>
      </c>
      <c r="AG68" s="19" t="str">
        <f t="shared" si="102"/>
        <v/>
      </c>
      <c r="AH68" s="19" t="str">
        <f t="shared" si="103"/>
        <v/>
      </c>
      <c r="AI68" s="19" t="str">
        <f t="shared" si="104"/>
        <v/>
      </c>
      <c r="AJ68" s="19" t="str">
        <f t="shared" si="105"/>
        <v/>
      </c>
      <c r="AK68" s="19" t="str">
        <f t="shared" si="106"/>
        <v/>
      </c>
      <c r="AL68" s="19" t="str">
        <f t="shared" si="107"/>
        <v/>
      </c>
      <c r="AM68" s="19" t="str">
        <f t="shared" si="108"/>
        <v/>
      </c>
      <c r="AN68" s="19" t="str">
        <f t="shared" si="109"/>
        <v/>
      </c>
      <c r="AO68" s="19" t="str">
        <f t="shared" si="110"/>
        <v/>
      </c>
      <c r="AP68" s="19" t="str">
        <f t="shared" si="111"/>
        <v/>
      </c>
      <c r="AQ68" s="19" t="str">
        <f t="shared" si="112"/>
        <v/>
      </c>
      <c r="AR68" s="19" t="str">
        <f t="shared" si="113"/>
        <v/>
      </c>
      <c r="AS68" s="19" t="str">
        <f t="shared" si="114"/>
        <v/>
      </c>
      <c r="AT68" s="19" t="str">
        <f t="shared" si="115"/>
        <v/>
      </c>
      <c r="AU68" s="19" t="str">
        <f t="shared" si="116"/>
        <v/>
      </c>
      <c r="AV68" s="19" t="str">
        <f t="shared" si="117"/>
        <v/>
      </c>
      <c r="AW68" s="19" t="str">
        <f t="shared" si="118"/>
        <v/>
      </c>
      <c r="AX68" s="19" t="str">
        <f t="shared" si="119"/>
        <v/>
      </c>
      <c r="AY68" s="19" t="str">
        <f t="shared" si="120"/>
        <v/>
      </c>
      <c r="AZ68" s="19" t="str">
        <f t="shared" si="121"/>
        <v/>
      </c>
      <c r="BA68" s="19" t="str">
        <f t="shared" si="122"/>
        <v/>
      </c>
      <c r="BB68" s="19" t="str">
        <f t="shared" si="123"/>
        <v/>
      </c>
      <c r="BC68" s="19" t="str">
        <f t="shared" si="124"/>
        <v/>
      </c>
      <c r="BD68" s="19" t="str">
        <f t="shared" si="125"/>
        <v/>
      </c>
      <c r="BE68" s="19" t="str">
        <f t="shared" si="126"/>
        <v/>
      </c>
      <c r="BF68" s="19" t="str">
        <f t="shared" si="127"/>
        <v/>
      </c>
      <c r="BG68" s="19" t="str">
        <f t="shared" si="128"/>
        <v/>
      </c>
      <c r="BH68" s="19" t="str">
        <f t="shared" si="129"/>
        <v/>
      </c>
      <c r="BI68" s="19" t="str">
        <f t="shared" si="130"/>
        <v/>
      </c>
      <c r="BJ68" s="19" t="str">
        <f t="shared" si="131"/>
        <v/>
      </c>
    </row>
    <row r="69" spans="1:62">
      <c r="A69" s="12">
        <f t="shared" si="70"/>
        <v>55</v>
      </c>
      <c r="B69" s="19" t="str">
        <f t="shared" si="71"/>
        <v/>
      </c>
      <c r="C69" s="19" t="str">
        <f t="shared" si="72"/>
        <v/>
      </c>
      <c r="D69" s="19" t="str">
        <f t="shared" si="73"/>
        <v/>
      </c>
      <c r="E69" s="19" t="str">
        <f t="shared" si="74"/>
        <v/>
      </c>
      <c r="F69" s="19" t="str">
        <f t="shared" si="75"/>
        <v/>
      </c>
      <c r="G69" s="19" t="str">
        <f t="shared" si="76"/>
        <v/>
      </c>
      <c r="H69" s="19" t="str">
        <f t="shared" si="77"/>
        <v/>
      </c>
      <c r="I69" s="19" t="str">
        <f t="shared" si="78"/>
        <v/>
      </c>
      <c r="J69" s="19" t="str">
        <f t="shared" si="79"/>
        <v/>
      </c>
      <c r="K69" s="19" t="str">
        <f t="shared" si="80"/>
        <v/>
      </c>
      <c r="L69" s="19" t="str">
        <f t="shared" si="81"/>
        <v/>
      </c>
      <c r="M69" s="19" t="str">
        <f t="shared" si="82"/>
        <v/>
      </c>
      <c r="N69" s="19" t="str">
        <f t="shared" si="83"/>
        <v/>
      </c>
      <c r="O69" s="19" t="str">
        <f t="shared" si="84"/>
        <v/>
      </c>
      <c r="P69" s="19" t="str">
        <f t="shared" si="85"/>
        <v/>
      </c>
      <c r="Q69" s="19" t="str">
        <f t="shared" si="86"/>
        <v/>
      </c>
      <c r="R69" s="19" t="str">
        <f t="shared" si="87"/>
        <v/>
      </c>
      <c r="S69" s="19" t="str">
        <f t="shared" si="88"/>
        <v/>
      </c>
      <c r="T69" s="19" t="str">
        <f t="shared" si="89"/>
        <v/>
      </c>
      <c r="U69" s="19" t="str">
        <f t="shared" si="90"/>
        <v/>
      </c>
      <c r="V69" s="19" t="str">
        <f t="shared" si="91"/>
        <v/>
      </c>
      <c r="W69" s="19" t="str">
        <f t="shared" si="92"/>
        <v/>
      </c>
      <c r="X69" s="19" t="str">
        <f t="shared" si="93"/>
        <v/>
      </c>
      <c r="Y69" s="19" t="str">
        <f t="shared" si="94"/>
        <v/>
      </c>
      <c r="Z69" s="19" t="str">
        <f t="shared" si="95"/>
        <v/>
      </c>
      <c r="AA69" s="19" t="str">
        <f t="shared" si="96"/>
        <v/>
      </c>
      <c r="AB69" s="19" t="str">
        <f t="shared" si="97"/>
        <v/>
      </c>
      <c r="AC69" s="19" t="str">
        <f t="shared" si="98"/>
        <v/>
      </c>
      <c r="AD69" s="19" t="str">
        <f t="shared" si="99"/>
        <v/>
      </c>
      <c r="AE69" s="19" t="str">
        <f t="shared" si="100"/>
        <v/>
      </c>
      <c r="AF69" s="19" t="str">
        <f t="shared" si="101"/>
        <v/>
      </c>
      <c r="AG69" s="19" t="str">
        <f t="shared" si="102"/>
        <v/>
      </c>
      <c r="AH69" s="19" t="str">
        <f t="shared" si="103"/>
        <v/>
      </c>
      <c r="AI69" s="19" t="str">
        <f t="shared" si="104"/>
        <v/>
      </c>
      <c r="AJ69" s="19" t="str">
        <f t="shared" si="105"/>
        <v/>
      </c>
      <c r="AK69" s="19" t="str">
        <f t="shared" si="106"/>
        <v/>
      </c>
      <c r="AL69" s="19" t="str">
        <f t="shared" si="107"/>
        <v/>
      </c>
      <c r="AM69" s="19" t="str">
        <f t="shared" si="108"/>
        <v/>
      </c>
      <c r="AN69" s="19" t="str">
        <f t="shared" si="109"/>
        <v/>
      </c>
      <c r="AO69" s="19" t="str">
        <f t="shared" si="110"/>
        <v/>
      </c>
      <c r="AP69" s="19" t="str">
        <f t="shared" si="111"/>
        <v/>
      </c>
      <c r="AQ69" s="19" t="str">
        <f t="shared" si="112"/>
        <v/>
      </c>
      <c r="AR69" s="19" t="str">
        <f t="shared" si="113"/>
        <v/>
      </c>
      <c r="AS69" s="19" t="str">
        <f t="shared" si="114"/>
        <v/>
      </c>
      <c r="AT69" s="19" t="str">
        <f t="shared" si="115"/>
        <v/>
      </c>
      <c r="AU69" s="19" t="str">
        <f t="shared" si="116"/>
        <v/>
      </c>
      <c r="AV69" s="19" t="str">
        <f t="shared" si="117"/>
        <v/>
      </c>
      <c r="AW69" s="19" t="str">
        <f t="shared" si="118"/>
        <v/>
      </c>
      <c r="AX69" s="19" t="str">
        <f t="shared" si="119"/>
        <v/>
      </c>
      <c r="AY69" s="19" t="str">
        <f t="shared" si="120"/>
        <v/>
      </c>
      <c r="AZ69" s="19" t="str">
        <f t="shared" si="121"/>
        <v/>
      </c>
      <c r="BA69" s="19" t="str">
        <f t="shared" si="122"/>
        <v/>
      </c>
      <c r="BB69" s="19" t="str">
        <f t="shared" si="123"/>
        <v/>
      </c>
      <c r="BC69" s="19" t="str">
        <f t="shared" si="124"/>
        <v/>
      </c>
      <c r="BD69" s="19" t="str">
        <f t="shared" si="125"/>
        <v/>
      </c>
      <c r="BE69" s="19" t="str">
        <f t="shared" si="126"/>
        <v/>
      </c>
      <c r="BF69" s="19" t="str">
        <f t="shared" si="127"/>
        <v/>
      </c>
      <c r="BG69" s="19" t="str">
        <f t="shared" si="128"/>
        <v/>
      </c>
      <c r="BH69" s="19" t="str">
        <f t="shared" si="129"/>
        <v/>
      </c>
      <c r="BI69" s="19" t="str">
        <f t="shared" si="130"/>
        <v/>
      </c>
      <c r="BJ69" s="19" t="str">
        <f t="shared" si="131"/>
        <v/>
      </c>
    </row>
    <row r="70" spans="1:62">
      <c r="A70" s="12">
        <f t="shared" si="70"/>
        <v>56</v>
      </c>
      <c r="B70" s="19" t="str">
        <f t="shared" si="71"/>
        <v/>
      </c>
      <c r="C70" s="19" t="str">
        <f t="shared" si="72"/>
        <v/>
      </c>
      <c r="D70" s="19" t="str">
        <f t="shared" si="73"/>
        <v/>
      </c>
      <c r="E70" s="19" t="str">
        <f t="shared" si="74"/>
        <v/>
      </c>
      <c r="F70" s="19" t="str">
        <f t="shared" si="75"/>
        <v/>
      </c>
      <c r="G70" s="19" t="str">
        <f t="shared" si="76"/>
        <v/>
      </c>
      <c r="H70" s="19" t="str">
        <f t="shared" si="77"/>
        <v/>
      </c>
      <c r="I70" s="19" t="str">
        <f t="shared" si="78"/>
        <v/>
      </c>
      <c r="J70" s="19" t="str">
        <f t="shared" si="79"/>
        <v/>
      </c>
      <c r="K70" s="19" t="str">
        <f t="shared" si="80"/>
        <v/>
      </c>
      <c r="L70" s="19" t="str">
        <f t="shared" si="81"/>
        <v/>
      </c>
      <c r="M70" s="19" t="str">
        <f t="shared" si="82"/>
        <v/>
      </c>
      <c r="N70" s="19" t="str">
        <f t="shared" si="83"/>
        <v/>
      </c>
      <c r="O70" s="19" t="str">
        <f t="shared" si="84"/>
        <v/>
      </c>
      <c r="P70" s="19" t="str">
        <f t="shared" si="85"/>
        <v/>
      </c>
      <c r="Q70" s="19" t="str">
        <f t="shared" si="86"/>
        <v/>
      </c>
      <c r="R70" s="19" t="str">
        <f t="shared" si="87"/>
        <v/>
      </c>
      <c r="S70" s="19" t="str">
        <f t="shared" si="88"/>
        <v/>
      </c>
      <c r="T70" s="19" t="str">
        <f t="shared" si="89"/>
        <v/>
      </c>
      <c r="U70" s="19" t="str">
        <f t="shared" si="90"/>
        <v/>
      </c>
      <c r="V70" s="19" t="str">
        <f t="shared" si="91"/>
        <v/>
      </c>
      <c r="W70" s="19" t="str">
        <f t="shared" si="92"/>
        <v/>
      </c>
      <c r="X70" s="19" t="str">
        <f t="shared" si="93"/>
        <v/>
      </c>
      <c r="Y70" s="19" t="str">
        <f t="shared" si="94"/>
        <v/>
      </c>
      <c r="Z70" s="19" t="str">
        <f t="shared" si="95"/>
        <v/>
      </c>
      <c r="AA70" s="19" t="str">
        <f t="shared" si="96"/>
        <v/>
      </c>
      <c r="AB70" s="19" t="str">
        <f t="shared" si="97"/>
        <v/>
      </c>
      <c r="AC70" s="19" t="str">
        <f t="shared" si="98"/>
        <v/>
      </c>
      <c r="AD70" s="19" t="str">
        <f t="shared" si="99"/>
        <v/>
      </c>
      <c r="AE70" s="19" t="str">
        <f t="shared" si="100"/>
        <v/>
      </c>
      <c r="AF70" s="19" t="str">
        <f t="shared" si="101"/>
        <v/>
      </c>
      <c r="AG70" s="19" t="str">
        <f t="shared" si="102"/>
        <v/>
      </c>
      <c r="AH70" s="19" t="str">
        <f t="shared" si="103"/>
        <v/>
      </c>
      <c r="AI70" s="19" t="str">
        <f t="shared" si="104"/>
        <v/>
      </c>
      <c r="AJ70" s="19" t="str">
        <f t="shared" si="105"/>
        <v/>
      </c>
      <c r="AK70" s="19" t="str">
        <f t="shared" si="106"/>
        <v/>
      </c>
      <c r="AL70" s="19" t="str">
        <f t="shared" si="107"/>
        <v/>
      </c>
      <c r="AM70" s="19" t="str">
        <f t="shared" si="108"/>
        <v/>
      </c>
      <c r="AN70" s="19" t="str">
        <f t="shared" si="109"/>
        <v/>
      </c>
      <c r="AO70" s="19" t="str">
        <f t="shared" si="110"/>
        <v/>
      </c>
      <c r="AP70" s="19" t="str">
        <f t="shared" si="111"/>
        <v/>
      </c>
      <c r="AQ70" s="19" t="str">
        <f t="shared" si="112"/>
        <v/>
      </c>
      <c r="AR70" s="19" t="str">
        <f t="shared" si="113"/>
        <v/>
      </c>
      <c r="AS70" s="19" t="str">
        <f t="shared" si="114"/>
        <v/>
      </c>
      <c r="AT70" s="19" t="str">
        <f t="shared" si="115"/>
        <v/>
      </c>
      <c r="AU70" s="19" t="str">
        <f t="shared" si="116"/>
        <v/>
      </c>
      <c r="AV70" s="19" t="str">
        <f t="shared" si="117"/>
        <v/>
      </c>
      <c r="AW70" s="19" t="str">
        <f t="shared" si="118"/>
        <v/>
      </c>
      <c r="AX70" s="19" t="str">
        <f t="shared" si="119"/>
        <v/>
      </c>
      <c r="AY70" s="19" t="str">
        <f t="shared" si="120"/>
        <v/>
      </c>
      <c r="AZ70" s="19" t="str">
        <f t="shared" si="121"/>
        <v/>
      </c>
      <c r="BA70" s="19" t="str">
        <f t="shared" si="122"/>
        <v/>
      </c>
      <c r="BB70" s="19" t="str">
        <f t="shared" si="123"/>
        <v/>
      </c>
      <c r="BC70" s="19" t="str">
        <f t="shared" si="124"/>
        <v/>
      </c>
      <c r="BD70" s="19" t="str">
        <f t="shared" si="125"/>
        <v/>
      </c>
      <c r="BE70" s="19" t="str">
        <f t="shared" si="126"/>
        <v/>
      </c>
      <c r="BF70" s="19" t="str">
        <f t="shared" si="127"/>
        <v/>
      </c>
      <c r="BG70" s="19" t="str">
        <f t="shared" si="128"/>
        <v/>
      </c>
      <c r="BH70" s="19" t="str">
        <f t="shared" si="129"/>
        <v/>
      </c>
      <c r="BI70" s="19" t="str">
        <f t="shared" si="130"/>
        <v/>
      </c>
      <c r="BJ70" s="19" t="str">
        <f t="shared" si="131"/>
        <v/>
      </c>
    </row>
    <row r="71" spans="1:62">
      <c r="A71" s="12">
        <f t="shared" si="70"/>
        <v>57</v>
      </c>
      <c r="B71" s="19" t="str">
        <f t="shared" si="71"/>
        <v/>
      </c>
      <c r="C71" s="19" t="str">
        <f t="shared" si="72"/>
        <v/>
      </c>
      <c r="D71" s="19" t="str">
        <f t="shared" si="73"/>
        <v/>
      </c>
      <c r="E71" s="19" t="str">
        <f t="shared" si="74"/>
        <v/>
      </c>
      <c r="F71" s="19" t="str">
        <f t="shared" si="75"/>
        <v/>
      </c>
      <c r="G71" s="19" t="str">
        <f t="shared" si="76"/>
        <v/>
      </c>
      <c r="H71" s="19" t="str">
        <f t="shared" si="77"/>
        <v/>
      </c>
      <c r="I71" s="19" t="str">
        <f t="shared" si="78"/>
        <v/>
      </c>
      <c r="J71" s="19" t="str">
        <f t="shared" si="79"/>
        <v/>
      </c>
      <c r="K71" s="19" t="str">
        <f t="shared" si="80"/>
        <v/>
      </c>
      <c r="L71" s="19" t="str">
        <f t="shared" si="81"/>
        <v/>
      </c>
      <c r="M71" s="19" t="str">
        <f t="shared" si="82"/>
        <v/>
      </c>
      <c r="N71" s="19" t="str">
        <f t="shared" si="83"/>
        <v/>
      </c>
      <c r="O71" s="19" t="str">
        <f t="shared" si="84"/>
        <v/>
      </c>
      <c r="P71" s="19" t="str">
        <f t="shared" si="85"/>
        <v/>
      </c>
      <c r="Q71" s="19" t="str">
        <f t="shared" si="86"/>
        <v/>
      </c>
      <c r="R71" s="19" t="str">
        <f t="shared" si="87"/>
        <v/>
      </c>
      <c r="S71" s="19" t="str">
        <f t="shared" si="88"/>
        <v/>
      </c>
      <c r="T71" s="19" t="str">
        <f t="shared" si="89"/>
        <v/>
      </c>
      <c r="U71" s="19" t="str">
        <f t="shared" si="90"/>
        <v/>
      </c>
      <c r="V71" s="19" t="str">
        <f t="shared" si="91"/>
        <v/>
      </c>
      <c r="W71" s="19" t="str">
        <f t="shared" si="92"/>
        <v/>
      </c>
      <c r="X71" s="19" t="str">
        <f t="shared" si="93"/>
        <v/>
      </c>
      <c r="Y71" s="19" t="str">
        <f t="shared" si="94"/>
        <v/>
      </c>
      <c r="Z71" s="19" t="str">
        <f t="shared" si="95"/>
        <v/>
      </c>
      <c r="AA71" s="19" t="str">
        <f t="shared" si="96"/>
        <v/>
      </c>
      <c r="AB71" s="19" t="str">
        <f t="shared" si="97"/>
        <v/>
      </c>
      <c r="AC71" s="19" t="str">
        <f t="shared" si="98"/>
        <v/>
      </c>
      <c r="AD71" s="19" t="str">
        <f t="shared" si="99"/>
        <v/>
      </c>
      <c r="AE71" s="19" t="str">
        <f t="shared" si="100"/>
        <v/>
      </c>
      <c r="AF71" s="19" t="str">
        <f t="shared" si="101"/>
        <v/>
      </c>
      <c r="AG71" s="19" t="str">
        <f t="shared" si="102"/>
        <v/>
      </c>
      <c r="AH71" s="19" t="str">
        <f t="shared" si="103"/>
        <v/>
      </c>
      <c r="AI71" s="19" t="str">
        <f t="shared" si="104"/>
        <v/>
      </c>
      <c r="AJ71" s="19" t="str">
        <f t="shared" si="105"/>
        <v/>
      </c>
      <c r="AK71" s="19" t="str">
        <f t="shared" si="106"/>
        <v/>
      </c>
      <c r="AL71" s="19" t="str">
        <f t="shared" si="107"/>
        <v/>
      </c>
      <c r="AM71" s="19" t="str">
        <f t="shared" si="108"/>
        <v/>
      </c>
      <c r="AN71" s="19" t="str">
        <f t="shared" si="109"/>
        <v/>
      </c>
      <c r="AO71" s="19" t="str">
        <f t="shared" si="110"/>
        <v/>
      </c>
      <c r="AP71" s="19" t="str">
        <f t="shared" si="111"/>
        <v/>
      </c>
      <c r="AQ71" s="19" t="str">
        <f t="shared" si="112"/>
        <v/>
      </c>
      <c r="AR71" s="19" t="str">
        <f t="shared" si="113"/>
        <v/>
      </c>
      <c r="AS71" s="19" t="str">
        <f t="shared" si="114"/>
        <v/>
      </c>
      <c r="AT71" s="19" t="str">
        <f t="shared" si="115"/>
        <v/>
      </c>
      <c r="AU71" s="19" t="str">
        <f t="shared" si="116"/>
        <v/>
      </c>
      <c r="AV71" s="19" t="str">
        <f t="shared" si="117"/>
        <v/>
      </c>
      <c r="AW71" s="19" t="str">
        <f t="shared" si="118"/>
        <v/>
      </c>
      <c r="AX71" s="19" t="str">
        <f t="shared" si="119"/>
        <v/>
      </c>
      <c r="AY71" s="19" t="str">
        <f t="shared" si="120"/>
        <v/>
      </c>
      <c r="AZ71" s="19" t="str">
        <f t="shared" si="121"/>
        <v/>
      </c>
      <c r="BA71" s="19" t="str">
        <f t="shared" si="122"/>
        <v/>
      </c>
      <c r="BB71" s="19" t="str">
        <f t="shared" si="123"/>
        <v/>
      </c>
      <c r="BC71" s="19" t="str">
        <f t="shared" si="124"/>
        <v/>
      </c>
      <c r="BD71" s="19" t="str">
        <f t="shared" si="125"/>
        <v/>
      </c>
      <c r="BE71" s="19" t="str">
        <f t="shared" si="126"/>
        <v/>
      </c>
      <c r="BF71" s="19" t="str">
        <f t="shared" si="127"/>
        <v/>
      </c>
      <c r="BG71" s="19" t="str">
        <f t="shared" si="128"/>
        <v/>
      </c>
      <c r="BH71" s="19" t="str">
        <f t="shared" si="129"/>
        <v/>
      </c>
      <c r="BI71" s="19" t="str">
        <f t="shared" si="130"/>
        <v/>
      </c>
      <c r="BJ71" s="19" t="str">
        <f t="shared" si="131"/>
        <v/>
      </c>
    </row>
    <row r="72" spans="1:62">
      <c r="A72" s="12">
        <f t="shared" si="70"/>
        <v>58</v>
      </c>
      <c r="B72" s="19" t="str">
        <f t="shared" si="71"/>
        <v/>
      </c>
      <c r="C72" s="19" t="str">
        <f t="shared" si="72"/>
        <v/>
      </c>
      <c r="D72" s="19" t="str">
        <f t="shared" si="73"/>
        <v/>
      </c>
      <c r="E72" s="19" t="str">
        <f t="shared" si="74"/>
        <v/>
      </c>
      <c r="F72" s="19" t="str">
        <f t="shared" si="75"/>
        <v/>
      </c>
      <c r="G72" s="19" t="str">
        <f t="shared" si="76"/>
        <v/>
      </c>
      <c r="H72" s="19" t="str">
        <f t="shared" si="77"/>
        <v/>
      </c>
      <c r="I72" s="19" t="str">
        <f t="shared" si="78"/>
        <v/>
      </c>
      <c r="J72" s="19" t="str">
        <f t="shared" si="79"/>
        <v/>
      </c>
      <c r="K72" s="19" t="str">
        <f t="shared" si="80"/>
        <v/>
      </c>
      <c r="L72" s="19" t="str">
        <f t="shared" si="81"/>
        <v/>
      </c>
      <c r="M72" s="19" t="str">
        <f t="shared" si="82"/>
        <v/>
      </c>
      <c r="N72" s="19" t="str">
        <f t="shared" si="83"/>
        <v/>
      </c>
      <c r="O72" s="19" t="str">
        <f t="shared" si="84"/>
        <v/>
      </c>
      <c r="P72" s="19" t="str">
        <f t="shared" si="85"/>
        <v/>
      </c>
      <c r="Q72" s="19" t="str">
        <f t="shared" si="86"/>
        <v/>
      </c>
      <c r="R72" s="19" t="str">
        <f t="shared" si="87"/>
        <v/>
      </c>
      <c r="S72" s="19" t="str">
        <f t="shared" si="88"/>
        <v/>
      </c>
      <c r="T72" s="19" t="str">
        <f t="shared" si="89"/>
        <v/>
      </c>
      <c r="U72" s="19" t="str">
        <f t="shared" si="90"/>
        <v/>
      </c>
      <c r="V72" s="19" t="str">
        <f t="shared" si="91"/>
        <v/>
      </c>
      <c r="W72" s="19" t="str">
        <f t="shared" si="92"/>
        <v/>
      </c>
      <c r="X72" s="19" t="str">
        <f t="shared" si="93"/>
        <v/>
      </c>
      <c r="Y72" s="19" t="str">
        <f t="shared" si="94"/>
        <v/>
      </c>
      <c r="Z72" s="19" t="str">
        <f t="shared" si="95"/>
        <v/>
      </c>
      <c r="AA72" s="19" t="str">
        <f t="shared" si="96"/>
        <v/>
      </c>
      <c r="AB72" s="19" t="str">
        <f t="shared" si="97"/>
        <v/>
      </c>
      <c r="AC72" s="19" t="str">
        <f t="shared" si="98"/>
        <v/>
      </c>
      <c r="AD72" s="19" t="str">
        <f t="shared" si="99"/>
        <v/>
      </c>
      <c r="AE72" s="19" t="str">
        <f t="shared" si="100"/>
        <v/>
      </c>
      <c r="AF72" s="19" t="str">
        <f t="shared" si="101"/>
        <v/>
      </c>
      <c r="AG72" s="19" t="str">
        <f t="shared" si="102"/>
        <v/>
      </c>
      <c r="AH72" s="19" t="str">
        <f t="shared" si="103"/>
        <v/>
      </c>
      <c r="AI72" s="19" t="str">
        <f t="shared" si="104"/>
        <v/>
      </c>
      <c r="AJ72" s="19" t="str">
        <f t="shared" si="105"/>
        <v/>
      </c>
      <c r="AK72" s="19" t="str">
        <f t="shared" si="106"/>
        <v/>
      </c>
      <c r="AL72" s="19" t="str">
        <f t="shared" si="107"/>
        <v/>
      </c>
      <c r="AM72" s="19" t="str">
        <f t="shared" si="108"/>
        <v/>
      </c>
      <c r="AN72" s="19" t="str">
        <f t="shared" si="109"/>
        <v/>
      </c>
      <c r="AO72" s="19" t="str">
        <f t="shared" si="110"/>
        <v/>
      </c>
      <c r="AP72" s="19" t="str">
        <f t="shared" si="111"/>
        <v/>
      </c>
      <c r="AQ72" s="19" t="str">
        <f t="shared" si="112"/>
        <v/>
      </c>
      <c r="AR72" s="19" t="str">
        <f t="shared" si="113"/>
        <v/>
      </c>
      <c r="AS72" s="19" t="str">
        <f t="shared" si="114"/>
        <v/>
      </c>
      <c r="AT72" s="19" t="str">
        <f t="shared" si="115"/>
        <v/>
      </c>
      <c r="AU72" s="19" t="str">
        <f t="shared" si="116"/>
        <v/>
      </c>
      <c r="AV72" s="19" t="str">
        <f t="shared" si="117"/>
        <v/>
      </c>
      <c r="AW72" s="19" t="str">
        <f t="shared" si="118"/>
        <v/>
      </c>
      <c r="AX72" s="19" t="str">
        <f t="shared" si="119"/>
        <v/>
      </c>
      <c r="AY72" s="19" t="str">
        <f t="shared" si="120"/>
        <v/>
      </c>
      <c r="AZ72" s="19" t="str">
        <f t="shared" si="121"/>
        <v/>
      </c>
      <c r="BA72" s="19" t="str">
        <f t="shared" si="122"/>
        <v/>
      </c>
      <c r="BB72" s="19" t="str">
        <f t="shared" si="123"/>
        <v/>
      </c>
      <c r="BC72" s="19" t="str">
        <f t="shared" si="124"/>
        <v/>
      </c>
      <c r="BD72" s="19" t="str">
        <f t="shared" si="125"/>
        <v/>
      </c>
      <c r="BE72" s="19" t="str">
        <f t="shared" si="126"/>
        <v/>
      </c>
      <c r="BF72" s="19" t="str">
        <f t="shared" si="127"/>
        <v/>
      </c>
      <c r="BG72" s="19" t="str">
        <f t="shared" si="128"/>
        <v/>
      </c>
      <c r="BH72" s="19" t="str">
        <f t="shared" si="129"/>
        <v/>
      </c>
      <c r="BI72" s="19" t="str">
        <f t="shared" si="130"/>
        <v/>
      </c>
      <c r="BJ72" s="19" t="str">
        <f t="shared" si="131"/>
        <v/>
      </c>
    </row>
    <row r="73" spans="1:62">
      <c r="A73" s="12">
        <f t="shared" si="70"/>
        <v>59</v>
      </c>
      <c r="B73" s="19" t="str">
        <f t="shared" si="71"/>
        <v/>
      </c>
      <c r="C73" s="19" t="str">
        <f t="shared" si="72"/>
        <v/>
      </c>
      <c r="D73" s="19" t="str">
        <f t="shared" si="73"/>
        <v/>
      </c>
      <c r="E73" s="19" t="str">
        <f t="shared" si="74"/>
        <v/>
      </c>
      <c r="F73" s="19" t="str">
        <f t="shared" si="75"/>
        <v/>
      </c>
      <c r="G73" s="19" t="str">
        <f t="shared" si="76"/>
        <v/>
      </c>
      <c r="H73" s="19" t="str">
        <f t="shared" si="77"/>
        <v/>
      </c>
      <c r="I73" s="19" t="str">
        <f t="shared" si="78"/>
        <v/>
      </c>
      <c r="J73" s="19" t="str">
        <f t="shared" si="79"/>
        <v/>
      </c>
      <c r="K73" s="19" t="str">
        <f t="shared" si="80"/>
        <v/>
      </c>
      <c r="L73" s="19" t="str">
        <f t="shared" si="81"/>
        <v/>
      </c>
      <c r="M73" s="19" t="str">
        <f t="shared" si="82"/>
        <v/>
      </c>
      <c r="N73" s="19" t="str">
        <f t="shared" si="83"/>
        <v/>
      </c>
      <c r="O73" s="19" t="str">
        <f t="shared" si="84"/>
        <v/>
      </c>
      <c r="P73" s="19" t="str">
        <f t="shared" si="85"/>
        <v/>
      </c>
      <c r="Q73" s="19" t="str">
        <f t="shared" si="86"/>
        <v/>
      </c>
      <c r="R73" s="19" t="str">
        <f t="shared" si="87"/>
        <v/>
      </c>
      <c r="S73" s="19" t="str">
        <f t="shared" si="88"/>
        <v/>
      </c>
      <c r="T73" s="19" t="str">
        <f t="shared" si="89"/>
        <v/>
      </c>
      <c r="U73" s="19" t="str">
        <f t="shared" si="90"/>
        <v/>
      </c>
      <c r="V73" s="19" t="str">
        <f t="shared" si="91"/>
        <v/>
      </c>
      <c r="W73" s="19" t="str">
        <f t="shared" si="92"/>
        <v/>
      </c>
      <c r="X73" s="19" t="str">
        <f t="shared" si="93"/>
        <v/>
      </c>
      <c r="Y73" s="19" t="str">
        <f t="shared" si="94"/>
        <v/>
      </c>
      <c r="Z73" s="19" t="str">
        <f t="shared" si="95"/>
        <v/>
      </c>
      <c r="AA73" s="19" t="str">
        <f t="shared" si="96"/>
        <v/>
      </c>
      <c r="AB73" s="19" t="str">
        <f t="shared" si="97"/>
        <v/>
      </c>
      <c r="AC73" s="19" t="str">
        <f t="shared" si="98"/>
        <v/>
      </c>
      <c r="AD73" s="19" t="str">
        <f t="shared" si="99"/>
        <v/>
      </c>
      <c r="AE73" s="19" t="str">
        <f t="shared" si="100"/>
        <v/>
      </c>
      <c r="AF73" s="19" t="str">
        <f t="shared" si="101"/>
        <v/>
      </c>
      <c r="AG73" s="19" t="str">
        <f t="shared" si="102"/>
        <v/>
      </c>
      <c r="AH73" s="19" t="str">
        <f t="shared" si="103"/>
        <v/>
      </c>
      <c r="AI73" s="19" t="str">
        <f t="shared" si="104"/>
        <v/>
      </c>
      <c r="AJ73" s="19" t="str">
        <f t="shared" si="105"/>
        <v/>
      </c>
      <c r="AK73" s="19" t="str">
        <f t="shared" si="106"/>
        <v/>
      </c>
      <c r="AL73" s="19" t="str">
        <f t="shared" si="107"/>
        <v/>
      </c>
      <c r="AM73" s="19" t="str">
        <f t="shared" si="108"/>
        <v/>
      </c>
      <c r="AN73" s="19" t="str">
        <f t="shared" si="109"/>
        <v/>
      </c>
      <c r="AO73" s="19" t="str">
        <f t="shared" si="110"/>
        <v/>
      </c>
      <c r="AP73" s="19" t="str">
        <f t="shared" si="111"/>
        <v/>
      </c>
      <c r="AQ73" s="19" t="str">
        <f t="shared" si="112"/>
        <v/>
      </c>
      <c r="AR73" s="19" t="str">
        <f t="shared" si="113"/>
        <v/>
      </c>
      <c r="AS73" s="19" t="str">
        <f t="shared" si="114"/>
        <v/>
      </c>
      <c r="AT73" s="19" t="str">
        <f t="shared" si="115"/>
        <v/>
      </c>
      <c r="AU73" s="19" t="str">
        <f t="shared" si="116"/>
        <v/>
      </c>
      <c r="AV73" s="19" t="str">
        <f t="shared" si="117"/>
        <v/>
      </c>
      <c r="AW73" s="19" t="str">
        <f t="shared" si="118"/>
        <v/>
      </c>
      <c r="AX73" s="19" t="str">
        <f t="shared" si="119"/>
        <v/>
      </c>
      <c r="AY73" s="19" t="str">
        <f t="shared" si="120"/>
        <v/>
      </c>
      <c r="AZ73" s="19" t="str">
        <f t="shared" si="121"/>
        <v/>
      </c>
      <c r="BA73" s="19" t="str">
        <f t="shared" si="122"/>
        <v/>
      </c>
      <c r="BB73" s="19" t="str">
        <f t="shared" si="123"/>
        <v/>
      </c>
      <c r="BC73" s="19" t="str">
        <f t="shared" si="124"/>
        <v/>
      </c>
      <c r="BD73" s="19" t="str">
        <f t="shared" si="125"/>
        <v/>
      </c>
      <c r="BE73" s="19" t="str">
        <f t="shared" si="126"/>
        <v/>
      </c>
      <c r="BF73" s="19" t="str">
        <f t="shared" si="127"/>
        <v/>
      </c>
      <c r="BG73" s="19" t="str">
        <f t="shared" si="128"/>
        <v/>
      </c>
      <c r="BH73" s="19" t="str">
        <f t="shared" si="129"/>
        <v/>
      </c>
      <c r="BI73" s="19" t="str">
        <f t="shared" si="130"/>
        <v/>
      </c>
      <c r="BJ73" s="19" t="str">
        <f t="shared" si="131"/>
        <v/>
      </c>
    </row>
    <row r="74" spans="1:62">
      <c r="A74" s="12">
        <f t="shared" si="70"/>
        <v>60</v>
      </c>
      <c r="B74" s="19" t="str">
        <f t="shared" si="71"/>
        <v/>
      </c>
      <c r="C74" s="19" t="str">
        <f t="shared" si="72"/>
        <v/>
      </c>
      <c r="D74" s="19" t="str">
        <f t="shared" si="73"/>
        <v/>
      </c>
      <c r="E74" s="19" t="str">
        <f t="shared" si="74"/>
        <v/>
      </c>
      <c r="F74" s="19" t="str">
        <f t="shared" si="75"/>
        <v/>
      </c>
      <c r="G74" s="19" t="str">
        <f t="shared" si="76"/>
        <v/>
      </c>
      <c r="H74" s="19" t="str">
        <f t="shared" si="77"/>
        <v/>
      </c>
      <c r="I74" s="19" t="str">
        <f t="shared" si="78"/>
        <v/>
      </c>
      <c r="J74" s="19" t="str">
        <f t="shared" si="79"/>
        <v/>
      </c>
      <c r="K74" s="19" t="str">
        <f t="shared" si="80"/>
        <v/>
      </c>
      <c r="L74" s="19" t="str">
        <f t="shared" si="81"/>
        <v/>
      </c>
      <c r="M74" s="19" t="str">
        <f t="shared" si="82"/>
        <v/>
      </c>
      <c r="N74" s="19" t="str">
        <f t="shared" si="83"/>
        <v/>
      </c>
      <c r="O74" s="19" t="str">
        <f t="shared" si="84"/>
        <v/>
      </c>
      <c r="P74" s="19" t="str">
        <f t="shared" si="85"/>
        <v/>
      </c>
      <c r="Q74" s="19" t="str">
        <f t="shared" si="86"/>
        <v/>
      </c>
      <c r="R74" s="19" t="str">
        <f t="shared" si="87"/>
        <v/>
      </c>
      <c r="S74" s="19" t="str">
        <f t="shared" si="88"/>
        <v/>
      </c>
      <c r="T74" s="19" t="str">
        <f t="shared" si="89"/>
        <v/>
      </c>
      <c r="U74" s="19" t="str">
        <f t="shared" si="90"/>
        <v/>
      </c>
      <c r="V74" s="19" t="str">
        <f t="shared" si="91"/>
        <v/>
      </c>
      <c r="W74" s="19" t="str">
        <f t="shared" si="92"/>
        <v/>
      </c>
      <c r="X74" s="19" t="str">
        <f t="shared" si="93"/>
        <v/>
      </c>
      <c r="Y74" s="19" t="str">
        <f t="shared" si="94"/>
        <v/>
      </c>
      <c r="Z74" s="19" t="str">
        <f t="shared" si="95"/>
        <v/>
      </c>
      <c r="AA74" s="19" t="str">
        <f t="shared" si="96"/>
        <v/>
      </c>
      <c r="AB74" s="19" t="str">
        <f t="shared" si="97"/>
        <v/>
      </c>
      <c r="AC74" s="19" t="str">
        <f t="shared" si="98"/>
        <v/>
      </c>
      <c r="AD74" s="19" t="str">
        <f t="shared" si="99"/>
        <v/>
      </c>
      <c r="AE74" s="19" t="str">
        <f t="shared" si="100"/>
        <v/>
      </c>
      <c r="AF74" s="19" t="str">
        <f t="shared" si="101"/>
        <v/>
      </c>
      <c r="AG74" s="19" t="str">
        <f t="shared" si="102"/>
        <v/>
      </c>
      <c r="AH74" s="19" t="str">
        <f t="shared" si="103"/>
        <v/>
      </c>
      <c r="AI74" s="19" t="str">
        <f t="shared" si="104"/>
        <v/>
      </c>
      <c r="AJ74" s="19" t="str">
        <f t="shared" si="105"/>
        <v/>
      </c>
      <c r="AK74" s="19" t="str">
        <f t="shared" si="106"/>
        <v/>
      </c>
      <c r="AL74" s="19" t="str">
        <f t="shared" si="107"/>
        <v/>
      </c>
      <c r="AM74" s="19" t="str">
        <f t="shared" si="108"/>
        <v/>
      </c>
      <c r="AN74" s="19" t="str">
        <f t="shared" si="109"/>
        <v/>
      </c>
      <c r="AO74" s="19" t="str">
        <f t="shared" si="110"/>
        <v/>
      </c>
      <c r="AP74" s="19" t="str">
        <f t="shared" si="111"/>
        <v/>
      </c>
      <c r="AQ74" s="19" t="str">
        <f t="shared" si="112"/>
        <v/>
      </c>
      <c r="AR74" s="19" t="str">
        <f t="shared" si="113"/>
        <v/>
      </c>
      <c r="AS74" s="19" t="str">
        <f t="shared" si="114"/>
        <v/>
      </c>
      <c r="AT74" s="19" t="str">
        <f t="shared" si="115"/>
        <v/>
      </c>
      <c r="AU74" s="19" t="str">
        <f t="shared" si="116"/>
        <v/>
      </c>
      <c r="AV74" s="19" t="str">
        <f t="shared" si="117"/>
        <v/>
      </c>
      <c r="AW74" s="19" t="str">
        <f t="shared" si="118"/>
        <v/>
      </c>
      <c r="AX74" s="19" t="str">
        <f t="shared" si="119"/>
        <v/>
      </c>
      <c r="AY74" s="19" t="str">
        <f t="shared" si="120"/>
        <v/>
      </c>
      <c r="AZ74" s="19" t="str">
        <f t="shared" si="121"/>
        <v/>
      </c>
      <c r="BA74" s="19" t="str">
        <f t="shared" si="122"/>
        <v/>
      </c>
      <c r="BB74" s="19" t="str">
        <f t="shared" si="123"/>
        <v/>
      </c>
      <c r="BC74" s="19" t="str">
        <f t="shared" si="124"/>
        <v/>
      </c>
      <c r="BD74" s="19" t="str">
        <f t="shared" si="125"/>
        <v/>
      </c>
      <c r="BE74" s="19" t="str">
        <f t="shared" si="126"/>
        <v/>
      </c>
      <c r="BF74" s="19" t="str">
        <f t="shared" si="127"/>
        <v/>
      </c>
      <c r="BG74" s="19" t="str">
        <f t="shared" si="128"/>
        <v/>
      </c>
      <c r="BH74" s="19" t="str">
        <f t="shared" si="129"/>
        <v/>
      </c>
      <c r="BI74" s="19" t="str">
        <f t="shared" si="130"/>
        <v/>
      </c>
      <c r="BJ74" s="19" t="str">
        <f t="shared" si="131"/>
        <v/>
      </c>
    </row>
  </sheetData>
  <phoneticPr fontId="1" type="noConversion"/>
  <pageMargins left="0.75" right="0.75" top="1" bottom="1" header="0.5" footer="0.5"/>
  <pageSetup scale="76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J73"/>
  <sheetViews>
    <sheetView zoomScaleNormal="100" workbookViewId="0">
      <selection activeCell="H16" sqref="H16"/>
    </sheetView>
  </sheetViews>
  <sheetFormatPr defaultRowHeight="12.75"/>
  <sheetData>
    <row r="1" spans="1:62">
      <c r="B1" s="9" t="s">
        <v>7</v>
      </c>
    </row>
    <row r="11" spans="1:62" s="18" customFormat="1">
      <c r="A11" s="18" t="s">
        <v>2</v>
      </c>
      <c r="B11" s="18">
        <f t="shared" ref="B11:BJ11" si="0">B12*h</f>
        <v>0</v>
      </c>
      <c r="C11" s="18">
        <f t="shared" si="0"/>
        <v>0.25</v>
      </c>
      <c r="D11" s="18">
        <f t="shared" si="0"/>
        <v>0.5</v>
      </c>
      <c r="E11" s="18">
        <f t="shared" si="0"/>
        <v>0.75</v>
      </c>
      <c r="F11" s="18">
        <f t="shared" si="0"/>
        <v>1</v>
      </c>
      <c r="G11" s="18">
        <f t="shared" si="0"/>
        <v>1.25</v>
      </c>
      <c r="H11" s="18">
        <f t="shared" si="0"/>
        <v>1.5</v>
      </c>
      <c r="I11" s="18">
        <f t="shared" si="0"/>
        <v>1.75</v>
      </c>
      <c r="J11" s="18">
        <f t="shared" si="0"/>
        <v>2</v>
      </c>
      <c r="K11" s="18">
        <f t="shared" si="0"/>
        <v>2.25</v>
      </c>
      <c r="L11" s="18">
        <f t="shared" si="0"/>
        <v>2.5</v>
      </c>
      <c r="M11" s="18">
        <f t="shared" si="0"/>
        <v>2.75</v>
      </c>
      <c r="N11" s="18">
        <f t="shared" si="0"/>
        <v>3</v>
      </c>
      <c r="O11" s="18">
        <f t="shared" si="0"/>
        <v>3.25</v>
      </c>
      <c r="P11" s="18">
        <f t="shared" si="0"/>
        <v>3.5</v>
      </c>
      <c r="Q11" s="18">
        <f t="shared" si="0"/>
        <v>3.75</v>
      </c>
      <c r="R11" s="18">
        <f t="shared" si="0"/>
        <v>4</v>
      </c>
      <c r="S11" s="18">
        <f t="shared" si="0"/>
        <v>4.25</v>
      </c>
      <c r="T11" s="18">
        <f t="shared" si="0"/>
        <v>4.5</v>
      </c>
      <c r="U11" s="18">
        <f t="shared" si="0"/>
        <v>4.75</v>
      </c>
      <c r="V11" s="18">
        <f t="shared" si="0"/>
        <v>5</v>
      </c>
      <c r="W11" s="18">
        <f t="shared" si="0"/>
        <v>5.25</v>
      </c>
      <c r="X11" s="18">
        <f t="shared" si="0"/>
        <v>5.5</v>
      </c>
      <c r="Y11" s="18">
        <f t="shared" si="0"/>
        <v>5.75</v>
      </c>
      <c r="Z11" s="18">
        <f t="shared" si="0"/>
        <v>6</v>
      </c>
      <c r="AA11" s="18">
        <f t="shared" si="0"/>
        <v>6.25</v>
      </c>
      <c r="AB11" s="18">
        <f t="shared" si="0"/>
        <v>6.5</v>
      </c>
      <c r="AC11" s="18">
        <f t="shared" si="0"/>
        <v>6.75</v>
      </c>
      <c r="AD11" s="18">
        <f t="shared" si="0"/>
        <v>7</v>
      </c>
      <c r="AE11" s="18">
        <f t="shared" si="0"/>
        <v>7.25</v>
      </c>
      <c r="AF11" s="18">
        <f t="shared" si="0"/>
        <v>7.5</v>
      </c>
      <c r="AG11" s="18">
        <f t="shared" si="0"/>
        <v>7.75</v>
      </c>
      <c r="AH11" s="18">
        <f t="shared" si="0"/>
        <v>8</v>
      </c>
      <c r="AI11" s="18">
        <f t="shared" si="0"/>
        <v>8.25</v>
      </c>
      <c r="AJ11" s="18">
        <f t="shared" si="0"/>
        <v>8.5</v>
      </c>
      <c r="AK11" s="18">
        <f t="shared" si="0"/>
        <v>8.75</v>
      </c>
      <c r="AL11" s="18">
        <f t="shared" si="0"/>
        <v>9</v>
      </c>
      <c r="AM11" s="18">
        <f t="shared" si="0"/>
        <v>9.25</v>
      </c>
      <c r="AN11" s="18">
        <f t="shared" si="0"/>
        <v>9.5</v>
      </c>
      <c r="AO11" s="18">
        <f t="shared" si="0"/>
        <v>9.75</v>
      </c>
      <c r="AP11" s="18">
        <f t="shared" si="0"/>
        <v>10</v>
      </c>
      <c r="AQ11" s="18">
        <f t="shared" si="0"/>
        <v>10.25</v>
      </c>
      <c r="AR11" s="18">
        <f t="shared" si="0"/>
        <v>10.5</v>
      </c>
      <c r="AS11" s="18">
        <f t="shared" si="0"/>
        <v>10.75</v>
      </c>
      <c r="AT11" s="18">
        <f t="shared" si="0"/>
        <v>11</v>
      </c>
      <c r="AU11" s="18">
        <f t="shared" si="0"/>
        <v>11.25</v>
      </c>
      <c r="AV11" s="18">
        <f t="shared" si="0"/>
        <v>11.5</v>
      </c>
      <c r="AW11" s="18">
        <f t="shared" si="0"/>
        <v>11.75</v>
      </c>
      <c r="AX11" s="18">
        <f t="shared" si="0"/>
        <v>12</v>
      </c>
      <c r="AY11" s="18">
        <f t="shared" si="0"/>
        <v>12.25</v>
      </c>
      <c r="AZ11" s="18">
        <f t="shared" si="0"/>
        <v>12.5</v>
      </c>
      <c r="BA11" s="18">
        <f t="shared" si="0"/>
        <v>12.75</v>
      </c>
      <c r="BB11" s="18">
        <f t="shared" si="0"/>
        <v>13</v>
      </c>
      <c r="BC11" s="18">
        <f t="shared" si="0"/>
        <v>13.25</v>
      </c>
      <c r="BD11" s="18">
        <f t="shared" si="0"/>
        <v>13.5</v>
      </c>
      <c r="BE11" s="18">
        <f t="shared" si="0"/>
        <v>13.75</v>
      </c>
      <c r="BF11" s="18">
        <f t="shared" si="0"/>
        <v>14</v>
      </c>
      <c r="BG11" s="18">
        <f t="shared" si="0"/>
        <v>14.25</v>
      </c>
      <c r="BH11" s="18">
        <f t="shared" si="0"/>
        <v>14.5</v>
      </c>
      <c r="BI11" s="18">
        <f t="shared" si="0"/>
        <v>14.75</v>
      </c>
      <c r="BJ11" s="18">
        <f t="shared" si="0"/>
        <v>15</v>
      </c>
    </row>
    <row r="12" spans="1:62">
      <c r="A12" s="4" t="s">
        <v>1</v>
      </c>
      <c r="B12" s="5">
        <v>0</v>
      </c>
      <c r="C12" s="5">
        <f>B12+1</f>
        <v>1</v>
      </c>
      <c r="D12" s="5">
        <f t="shared" ref="D12:BJ12" si="1">C12+1</f>
        <v>2</v>
      </c>
      <c r="E12" s="5">
        <f t="shared" si="1"/>
        <v>3</v>
      </c>
      <c r="F12" s="5">
        <f t="shared" si="1"/>
        <v>4</v>
      </c>
      <c r="G12" s="5">
        <f t="shared" si="1"/>
        <v>5</v>
      </c>
      <c r="H12" s="5">
        <f t="shared" si="1"/>
        <v>6</v>
      </c>
      <c r="I12" s="5">
        <f t="shared" si="1"/>
        <v>7</v>
      </c>
      <c r="J12" s="5">
        <f t="shared" si="1"/>
        <v>8</v>
      </c>
      <c r="K12" s="5">
        <f t="shared" si="1"/>
        <v>9</v>
      </c>
      <c r="L12" s="5">
        <f t="shared" si="1"/>
        <v>10</v>
      </c>
      <c r="M12" s="5">
        <f t="shared" si="1"/>
        <v>11</v>
      </c>
      <c r="N12" s="5">
        <f t="shared" si="1"/>
        <v>12</v>
      </c>
      <c r="O12" s="5">
        <f t="shared" si="1"/>
        <v>13</v>
      </c>
      <c r="P12" s="5">
        <f t="shared" si="1"/>
        <v>14</v>
      </c>
      <c r="Q12" s="5">
        <f t="shared" si="1"/>
        <v>15</v>
      </c>
      <c r="R12" s="5">
        <f t="shared" si="1"/>
        <v>16</v>
      </c>
      <c r="S12" s="5">
        <f t="shared" si="1"/>
        <v>17</v>
      </c>
      <c r="T12" s="5">
        <f t="shared" si="1"/>
        <v>18</v>
      </c>
      <c r="U12" s="5">
        <f t="shared" si="1"/>
        <v>19</v>
      </c>
      <c r="V12" s="5">
        <f t="shared" si="1"/>
        <v>20</v>
      </c>
      <c r="W12" s="5">
        <f t="shared" si="1"/>
        <v>21</v>
      </c>
      <c r="X12" s="5">
        <f t="shared" si="1"/>
        <v>22</v>
      </c>
      <c r="Y12" s="5">
        <f t="shared" si="1"/>
        <v>23</v>
      </c>
      <c r="Z12" s="5">
        <f t="shared" si="1"/>
        <v>24</v>
      </c>
      <c r="AA12" s="5">
        <f t="shared" si="1"/>
        <v>25</v>
      </c>
      <c r="AB12" s="5">
        <f t="shared" si="1"/>
        <v>26</v>
      </c>
      <c r="AC12" s="5">
        <f t="shared" si="1"/>
        <v>27</v>
      </c>
      <c r="AD12" s="5">
        <f t="shared" si="1"/>
        <v>28</v>
      </c>
      <c r="AE12" s="5">
        <f t="shared" si="1"/>
        <v>29</v>
      </c>
      <c r="AF12" s="5">
        <f t="shared" si="1"/>
        <v>30</v>
      </c>
      <c r="AG12" s="5">
        <f t="shared" si="1"/>
        <v>31</v>
      </c>
      <c r="AH12" s="5">
        <f t="shared" si="1"/>
        <v>32</v>
      </c>
      <c r="AI12" s="5">
        <f t="shared" si="1"/>
        <v>33</v>
      </c>
      <c r="AJ12" s="5">
        <f t="shared" si="1"/>
        <v>34</v>
      </c>
      <c r="AK12" s="5">
        <f t="shared" si="1"/>
        <v>35</v>
      </c>
      <c r="AL12" s="5">
        <f t="shared" si="1"/>
        <v>36</v>
      </c>
      <c r="AM12" s="5">
        <f t="shared" si="1"/>
        <v>37</v>
      </c>
      <c r="AN12" s="5">
        <f t="shared" si="1"/>
        <v>38</v>
      </c>
      <c r="AO12" s="5">
        <f t="shared" si="1"/>
        <v>39</v>
      </c>
      <c r="AP12" s="5">
        <f t="shared" si="1"/>
        <v>40</v>
      </c>
      <c r="AQ12" s="5">
        <f t="shared" si="1"/>
        <v>41</v>
      </c>
      <c r="AR12" s="5">
        <f t="shared" si="1"/>
        <v>42</v>
      </c>
      <c r="AS12" s="5">
        <f t="shared" si="1"/>
        <v>43</v>
      </c>
      <c r="AT12" s="5">
        <f t="shared" si="1"/>
        <v>44</v>
      </c>
      <c r="AU12" s="5">
        <f t="shared" si="1"/>
        <v>45</v>
      </c>
      <c r="AV12" s="5">
        <f t="shared" si="1"/>
        <v>46</v>
      </c>
      <c r="AW12" s="5">
        <f t="shared" si="1"/>
        <v>47</v>
      </c>
      <c r="AX12" s="5">
        <f t="shared" si="1"/>
        <v>48</v>
      </c>
      <c r="AY12" s="5">
        <f t="shared" si="1"/>
        <v>49</v>
      </c>
      <c r="AZ12" s="5">
        <f t="shared" si="1"/>
        <v>50</v>
      </c>
      <c r="BA12" s="5">
        <f t="shared" si="1"/>
        <v>51</v>
      </c>
      <c r="BB12" s="5">
        <f t="shared" si="1"/>
        <v>52</v>
      </c>
      <c r="BC12" s="5">
        <f t="shared" si="1"/>
        <v>53</v>
      </c>
      <c r="BD12" s="5">
        <f t="shared" si="1"/>
        <v>54</v>
      </c>
      <c r="BE12" s="5">
        <f t="shared" si="1"/>
        <v>55</v>
      </c>
      <c r="BF12" s="5">
        <f t="shared" si="1"/>
        <v>56</v>
      </c>
      <c r="BG12" s="5">
        <f t="shared" si="1"/>
        <v>57</v>
      </c>
      <c r="BH12" s="5">
        <f t="shared" si="1"/>
        <v>58</v>
      </c>
      <c r="BI12" s="5">
        <f t="shared" si="1"/>
        <v>59</v>
      </c>
      <c r="BJ12" s="5">
        <f t="shared" si="1"/>
        <v>60</v>
      </c>
    </row>
    <row r="13" spans="1:62">
      <c r="A13" s="12">
        <v>0</v>
      </c>
      <c r="B13" s="3">
        <f>IF(B$11&gt;T,"",IF($A13&gt;B$12,"",IF(T=B$11,100,EXP(-IRTree!B14*h)*((C13+C14)/2+cc*h))))</f>
        <v>63.056630002951508</v>
      </c>
      <c r="C13" s="3">
        <f>IF(C$11&gt;T,"",IF($A13&gt;C$12,"",IF(T=C$11,100,EXP(-IRTree!C14*h)*((D13+D14)/2+cc*h))))</f>
        <v>60.096931768970727</v>
      </c>
      <c r="D13" s="3">
        <f>IF(D$11&gt;T,"",IF($A13&gt;D$12,"",IF(T=D$11,100,EXP(-IRTree!D14*h)*((E13+E14)/2+cc*h))))</f>
        <v>57.010068894460723</v>
      </c>
      <c r="E13" s="3">
        <f>IF(E$11&gt;T,"",IF($A13&gt;E$12,"",IF(T=E$11,100,EXP(-IRTree!E14*h)*((F13+F14)/2+cc*h))))</f>
        <v>53.780701594505636</v>
      </c>
      <c r="F13" s="3">
        <f>IF(F$11&gt;T,"",IF($A13&gt;F$12,"",IF(T=F$11,100,EXP(-IRTree!F14*h)*((G13+G14)/2+cc*h))))</f>
        <v>50.523099714725554</v>
      </c>
      <c r="G13" s="3">
        <f>IF(G$11&gt;T,"",IF($A13&gt;G$12,"",IF(T=G$11,100,EXP(-IRTree!G14*h)*((H13+H14)/2+cc*h))))</f>
        <v>47.249328515779304</v>
      </c>
      <c r="H13" s="3">
        <f>IF(H$11&gt;T,"",IF($A13&gt;H$12,"",IF(T=H$11,100,EXP(-IRTree!H14*h)*((I13+I14)/2+cc*h))))</f>
        <v>43.974048379885822</v>
      </c>
      <c r="I13" s="3">
        <f>IF(I$11&gt;T,"",IF($A13&gt;I$12,"",IF(T=I$11,100,EXP(-IRTree!I14*h)*((J13+J14)/2+cc*h))))</f>
        <v>40.733642316305932</v>
      </c>
      <c r="J13" s="3">
        <f>IF(J$11&gt;T,"",IF($A13&gt;J$12,"",IF(T=J$11,100,EXP(-IRTree!J14*h)*((K13+K14)/2+cc*h))))</f>
        <v>37.683204993083443</v>
      </c>
      <c r="K13" s="3">
        <f>IF(K$11&gt;T,"",IF($A13&gt;K$12,"",IF(T=K$11,100,EXP(-IRTree!K14*h)*((L13+L14)/2+cc*h))))</f>
        <v>34.691637176231126</v>
      </c>
      <c r="L13" s="3">
        <f>IF(L$11&gt;T,"",IF($A13&gt;L$12,"",IF(T=L$11,100,EXP(-IRTree!L14*h)*((M13+M14)/2+cc*h))))</f>
        <v>31.882224946489718</v>
      </c>
      <c r="M13" s="3">
        <f>IF(M$11&gt;T,"",IF($A13&gt;M$12,"",IF(T=M$11,100,EXP(-IRTree!M14*h)*((N13+N14)/2+cc*h))))</f>
        <v>29.164562655993766</v>
      </c>
      <c r="N13" s="3">
        <f>IF(N$11&gt;T,"",IF($A13&gt;N$12,"",IF(T=N$11,100,EXP(-IRTree!N14*h)*((O13+O14)/2+cc*h))))</f>
        <v>26.549253382897668</v>
      </c>
      <c r="O13" s="3">
        <f>IF(O$11&gt;T,"",IF($A13&gt;O$12,"",IF(T=O$11,100,EXP(-IRTree!O14*h)*((P13+P14)/2+cc*h))))</f>
        <v>23.987205304189136</v>
      </c>
      <c r="P13" s="3">
        <f>IF(P$11&gt;T,"",IF($A13&gt;P$12,"",IF(T=P$11,100,EXP(-IRTree!P14*h)*((Q13+Q14)/2+cc*h))))</f>
        <v>21.753576134939163</v>
      </c>
      <c r="Q13" s="3">
        <f>IF(Q$11&gt;T,"",IF($A13&gt;Q$12,"",IF(T=Q$11,100,EXP(-IRTree!Q14*h)*((R13+R14)/2+cc*h))))</f>
        <v>19.613429899396376</v>
      </c>
      <c r="R13" s="3">
        <f>IF(R$11&gt;T,"",IF($A13&gt;R$12,"",IF(T=R$11,100,EXP(-IRTree!R14*h)*((S13+S14)/2+cc*h))))</f>
        <v>17.79729415739634</v>
      </c>
      <c r="S13" s="3">
        <f>IF(S$11&gt;T,"",IF($A13&gt;S$12,"",IF(T=S$11,100,EXP(-IRTree!S14*h)*((T13+T14)/2+cc*h))))</f>
        <v>16.058922698319844</v>
      </c>
      <c r="T13" s="3">
        <f>IF(T$11&gt;T,"",IF($A13&gt;T$12,"",IF(T=T$11,100,EXP(-IRTree!T14*h)*((U13+U14)/2+cc*h))))</f>
        <v>14.464212413554973</v>
      </c>
      <c r="U13" s="3">
        <f>IF(U$11&gt;T,"",IF($A13&gt;U$12,"",IF(T=U$11,100,EXP(-IRTree!U14*h)*((V13+V14)/2+cc*h))))</f>
        <v>12.965366618652997</v>
      </c>
      <c r="V13" s="3">
        <f>IF(V$11&gt;T,"",IF($A13&gt;V$12,"",IF(T=V$11,100,EXP(-IRTree!V14*h)*((W13+W14)/2+cc*h))))</f>
        <v>11.662163918152769</v>
      </c>
      <c r="W13" s="3">
        <f>IF(W$11&gt;T,"",IF($A13&gt;W$12,"",IF(T=W$11,100,EXP(-IRTree!W14*h)*((X13+X14)/2+cc*h))))</f>
        <v>10.526405484414804</v>
      </c>
      <c r="X13" s="3">
        <f>IF(X$11&gt;T,"",IF($A13&gt;X$12,"",IF(T=X$11,100,EXP(-IRTree!X14*h)*((Y13+Y14)/2+cc*h))))</f>
        <v>9.6250114334495667</v>
      </c>
      <c r="Y13" s="3">
        <f>IF(Y$11&gt;T,"",IF($A13&gt;Y$12,"",IF(T=Y$11,100,EXP(-IRTree!Y14*h)*((Z13+Z14)/2+cc*h))))</f>
        <v>8.7723054547181292</v>
      </c>
      <c r="Z13" s="3">
        <f>IF(Z$11&gt;T,"",IF($A13&gt;Z$12,"",IF(T=Z$11,100,EXP(-IRTree!Z14*h)*((AA13+AA14)/2+cc*h))))</f>
        <v>8.1332227852026158</v>
      </c>
      <c r="AA13" s="3">
        <f>IF(AA$11&gt;T,"",IF($A13&gt;AA$12,"",IF(T=AA$11,100,EXP(-IRTree!AA14*h)*((AB13+AB14)/2+cc*h))))</f>
        <v>7.6224385138240462</v>
      </c>
      <c r="AB13" s="3">
        <f>IF(AB$11&gt;T,"",IF($A13&gt;AB$12,"",IF(T=AB$11,100,EXP(-IRTree!AB14*h)*((AC13+AC14)/2+cc*h))))</f>
        <v>7.2203425975564199</v>
      </c>
      <c r="AC13" s="3">
        <f>IF(AC$11&gt;T,"",IF($A13&gt;AC$12,"",IF(T=AC$11,100,EXP(-IRTree!AC14*h)*((AD13+AD14)/2+cc*h))))</f>
        <v>7.0295293247872035</v>
      </c>
      <c r="AD13" s="3">
        <f>IF(AD$11&gt;T,"",IF($A13&gt;AD$12,"",IF(T=AD$11,100,EXP(-IRTree!AD14*h)*((AE13+AE14)/2+cc*h))))</f>
        <v>6.9983404376947895</v>
      </c>
      <c r="AE13" s="3">
        <f>IF(AE$11&gt;T,"",IF($A13&gt;AE$12,"",IF(T=AE$11,100,EXP(-IRTree!AE14*h)*((AF13+AF14)/2+cc*h))))</f>
        <v>7.137737670568046</v>
      </c>
      <c r="AF13" s="3">
        <f>IF(AF$11&gt;T,"",IF($A13&gt;AF$12,"",IF(T=AF$11,100,EXP(-IRTree!AF14*h)*((AG13+AG14)/2+cc*h))))</f>
        <v>7.546712892081584</v>
      </c>
      <c r="AG13" s="3">
        <f>IF(AG$11&gt;T,"",IF($A13&gt;AG$12,"",IF(T=AG$11,100,EXP(-IRTree!AG14*h)*((AH13+AH14)/2+cc*h))))</f>
        <v>8.3507679921767579</v>
      </c>
      <c r="AH13" s="3">
        <f>IF(AH$11&gt;T,"",IF($A13&gt;AH$12,"",IF(T=AH$11,100,EXP(-IRTree!AH14*h)*((AI13+AI14)/2+cc*h))))</f>
        <v>9.6297625939248519</v>
      </c>
      <c r="AI13" s="3">
        <f>IF(AI$11&gt;T,"",IF($A13&gt;AI$12,"",IF(T=AI$11,100,EXP(-IRTree!AI14*h)*((AJ13+AJ14)/2+cc*h))))</f>
        <v>11.74750094980867</v>
      </c>
      <c r="AJ13" s="3">
        <f>IF(AJ$11&gt;T,"",IF($A13&gt;AJ$12,"",IF(T=AJ$11,100,EXP(-IRTree!AJ14*h)*((AK13+AK14)/2+cc*h))))</f>
        <v>14.713839977142388</v>
      </c>
      <c r="AK13" s="3">
        <f>IF(AK$11&gt;T,"",IF($A13&gt;AK$12,"",IF(T=AK$11,100,EXP(-IRTree!AK14*h)*((AL13+AL14)/2+cc*h))))</f>
        <v>19.095201154345546</v>
      </c>
      <c r="AL13" s="3">
        <f>IF(AL$11&gt;T,"",IF($A13&gt;AL$12,"",IF(T=AL$11,100,EXP(-IRTree!AL14*h)*((AM13+AM14)/2+cc*h))))</f>
        <v>25.295434279165761</v>
      </c>
      <c r="AM13" s="3">
        <f>IF(AM$11&gt;T,"",IF($A13&gt;AM$12,"",IF(T=AM$11,100,EXP(-IRTree!AM14*h)*((AN13+AN14)/2+cc*h))))</f>
        <v>35.317894165745891</v>
      </c>
      <c r="AN13" s="3">
        <f>IF(AN$11&gt;T,"",IF($A13&gt;AN$12,"",IF(T=AN$11,100,EXP(-IRTree!AN14*h)*((AO13+AO14)/2+cc*h))))</f>
        <v>49.725352130215576</v>
      </c>
      <c r="AO13" s="3">
        <f>IF(AO$11&gt;T,"",IF($A13&gt;AO$12,"",IF(T=AO$11,100,EXP(-IRTree!AO14*h)*((AP13+AP14)/2+cc*h))))</f>
        <v>70.362964413282953</v>
      </c>
      <c r="AP13" s="3">
        <f>IF(AP$11&gt;T,"",IF($A13&gt;AP$12,"",IF(T=AP$11,100,EXP(-IRTree!AP14*h)*((AQ13+AQ14)/2+cc*h))))</f>
        <v>100</v>
      </c>
      <c r="AQ13" s="3" t="str">
        <f>IF(AQ$11&gt;T,"",IF($A13&gt;AQ$12,"",IF(T=AQ$11,100,EXP(-IRTree!AQ14*h)*((AR13+AR14)/2+cc*h))))</f>
        <v/>
      </c>
      <c r="AR13" s="3" t="str">
        <f>IF(AR$11&gt;T,"",IF($A13&gt;AR$12,"",IF(T=AR$11,100,EXP(-IRTree!AR14*h)*((AS13+AS14)/2+cc*h))))</f>
        <v/>
      </c>
      <c r="AS13" s="3" t="str">
        <f>IF(AS$11&gt;T,"",IF($A13&gt;AS$12,"",IF(T=AS$11,100,EXP(-IRTree!AS14*h)*((AT13+AT14)/2+cc*h))))</f>
        <v/>
      </c>
      <c r="AT13" s="3" t="str">
        <f>IF(AT$11&gt;T,"",IF($A13&gt;AT$12,"",IF(T=AT$11,100,EXP(-IRTree!AT14*h)*((AU13+AU14)/2+cc*h))))</f>
        <v/>
      </c>
      <c r="AU13" s="3" t="str">
        <f>IF(AU$11&gt;T,"",IF($A13&gt;AU$12,"",IF(T=AU$11,100,EXP(-IRTree!AU14*h)*((AV13+AV14)/2+cc*h))))</f>
        <v/>
      </c>
      <c r="AV13" s="3" t="str">
        <f>IF(AV$11&gt;T,"",IF($A13&gt;AV$12,"",IF(T=AV$11,100,EXP(-IRTree!AV14*h)*((AW13+AW14)/2+cc*h))))</f>
        <v/>
      </c>
      <c r="AW13" s="3" t="str">
        <f>IF(AW$11&gt;T,"",IF($A13&gt;AW$12,"",IF(T=AW$11,100,EXP(-IRTree!AW14*h)*((AX13+AX14)/2+cc*h))))</f>
        <v/>
      </c>
      <c r="AX13" s="3" t="str">
        <f>IF(AX$11&gt;T,"",IF($A13&gt;AX$12,"",IF(T=AX$11,100,EXP(-IRTree!AX14*h)*((AY13+AY14)/2+cc*h))))</f>
        <v/>
      </c>
      <c r="AY13" s="3" t="str">
        <f>IF(AY$11&gt;T,"",IF($A13&gt;AY$12,"",IF(T=AY$11,100,EXP(-IRTree!AY14*h)*((AZ13+AZ14)/2+cc*h))))</f>
        <v/>
      </c>
      <c r="AZ13" s="3" t="str">
        <f>IF(AZ$11&gt;T,"",IF($A13&gt;AZ$12,"",IF(T=AZ$11,100,EXP(-IRTree!AZ14*h)*((BA13+BA14)/2+cc*h))))</f>
        <v/>
      </c>
      <c r="BA13" s="3" t="str">
        <f>IF(BA$11&gt;T,"",IF($A13&gt;BA$12,"",IF(T=BA$11,100,EXP(-IRTree!BA14*h)*((BB13+BB14)/2+cc*h))))</f>
        <v/>
      </c>
      <c r="BB13" s="3" t="str">
        <f>IF(BB$11&gt;T,"",IF($A13&gt;BB$12,"",IF(T=BB$11,100,EXP(-IRTree!BB14*h)*((BC13+BC14)/2+cc*h))))</f>
        <v/>
      </c>
      <c r="BC13" s="3" t="str">
        <f>IF(BC$11&gt;T,"",IF($A13&gt;BC$12,"",IF(T=BC$11,100,EXP(-IRTree!BC14*h)*((BD13+BD14)/2+cc*h))))</f>
        <v/>
      </c>
      <c r="BD13" s="3" t="str">
        <f>IF(BD$11&gt;T,"",IF($A13&gt;BD$12,"",IF(T=BD$11,100,EXP(-IRTree!BD14*h)*((BE13+BE14)/2+cc*h))))</f>
        <v/>
      </c>
      <c r="BE13" s="3" t="str">
        <f>IF(BE$11&gt;T,"",IF($A13&gt;BE$12,"",IF(T=BE$11,100,EXP(-IRTree!BE14*h)*((BF13+BF14)/2+cc*h))))</f>
        <v/>
      </c>
      <c r="BF13" s="3" t="str">
        <f>IF(BF$11&gt;T,"",IF($A13&gt;BF$12,"",IF(T=BF$11,100,EXP(-IRTree!BF14*h)*((BG13+BG14)/2+cc*h))))</f>
        <v/>
      </c>
      <c r="BG13" s="3" t="str">
        <f>IF(BG$11&gt;T,"",IF($A13&gt;BG$12,"",IF(T=BG$11,100,EXP(-IRTree!BG14*h)*((BH13+BH14)/2+cc*h))))</f>
        <v/>
      </c>
      <c r="BH13" s="3" t="str">
        <f>IF(BH$11&gt;T,"",IF($A13&gt;BH$12,"",IF(T=BH$11,100,EXP(-IRTree!BH14*h)*((BI13+BI14)/2+cc*h))))</f>
        <v/>
      </c>
      <c r="BI13" s="3" t="str">
        <f>IF(BI$11&gt;T,"",IF($A13&gt;BI$12,"",IF(T=BI$11,100,EXP(-IRTree!BI14*h)*((BJ13+BJ14)/2+cc*h))))</f>
        <v/>
      </c>
      <c r="BJ13" s="3" t="str">
        <f>IF(BJ$11&gt;T,"",IF($A13&gt;BJ$12,"",IF(T=BJ$11,100,EXP(-IRTree!BJ14*h)*((BK13+BK14)/2+cc*h))))</f>
        <v/>
      </c>
    </row>
    <row r="14" spans="1:62">
      <c r="A14" s="12">
        <f>A13+1</f>
        <v>1</v>
      </c>
      <c r="B14" s="3" t="str">
        <f>IF(B$11&gt;T,"",IF($A14&gt;B$12,"",IF(T=B$11,100,EXP(-IRTree!B15*h)*((C14+C15)/2+cc*h))))</f>
        <v/>
      </c>
      <c r="C14" s="3">
        <f>IF(C$11&gt;T,"",IF($A14&gt;C$12,"",IF(T=C$11,100,EXP(-IRTree!C15*h)*((D14+D15)/2+cc*h))))</f>
        <v>66.703587048925272</v>
      </c>
      <c r="D14" s="3">
        <f>IF(D$11&gt;T,"",IF($A14&gt;D$12,"",IF(T=D$11,100,EXP(-IRTree!D15*h)*((E14+E15)/2+cc*h))))</f>
        <v>63.99387056755554</v>
      </c>
      <c r="E14" s="3">
        <f>IF(E$11&gt;T,"",IF($A14&gt;E$12,"",IF(T=E$11,100,EXP(-IRTree!E15*h)*((F14+F15)/2+cc*h))))</f>
        <v>61.145629738443809</v>
      </c>
      <c r="F14" s="3">
        <f>IF(F$11&gt;T,"",IF($A14&gt;F$12,"",IF(T=F$11,100,EXP(-IRTree!F15*h)*((G14+G15)/2+cc*h))))</f>
        <v>58.189904428791579</v>
      </c>
      <c r="G14" s="3">
        <f>IF(G$11&gt;T,"",IF($A14&gt;G$12,"",IF(T=G$11,100,EXP(-IRTree!G15*h)*((H14+H15)/2+cc*h))))</f>
        <v>55.162747138845951</v>
      </c>
      <c r="H14" s="3">
        <f>IF(H$11&gt;T,"",IF($A14&gt;H$12,"",IF(T=H$11,100,EXP(-IRTree!H15*h)*((I14+I15)/2+cc*h))))</f>
        <v>52.084398042467811</v>
      </c>
      <c r="I14" s="3">
        <f>IF(I$11&gt;T,"",IF($A14&gt;I$12,"",IF(T=I$11,100,EXP(-IRTree!I15*h)*((J14+J15)/2+cc*h))))</f>
        <v>48.983916789427937</v>
      </c>
      <c r="J14" s="3">
        <f>IF(J$11&gt;T,"",IF($A14&gt;J$12,"",IF(T=J$11,100,EXP(-IRTree!J15*h)*((K14+K15)/2+cc*h))))</f>
        <v>45.967135902434173</v>
      </c>
      <c r="K14" s="3">
        <f>IF(K$11&gt;T,"",IF($A14&gt;K$12,"",IF(T=K$11,100,EXP(-IRTree!K15*h)*((L14+L15)/2+cc*h))))</f>
        <v>42.972082357878037</v>
      </c>
      <c r="L14" s="3">
        <f>IF(L$11&gt;T,"",IF($A14&gt;L$12,"",IF(T=L$11,100,EXP(-IRTree!L15*h)*((M14+M15)/2+cc*h))))</f>
        <v>40.087571595360124</v>
      </c>
      <c r="M14" s="3">
        <f>IF(M$11&gt;T,"",IF($A14&gt;M$12,"",IF(T=M$11,100,EXP(-IRTree!M15*h)*((N14+N15)/2+cc*h))))</f>
        <v>37.260481037101414</v>
      </c>
      <c r="N14" s="3">
        <f>IF(N$11&gt;T,"",IF($A14&gt;N$12,"",IF(T=N$11,100,EXP(-IRTree!N15*h)*((O14+O15)/2+cc*h))))</f>
        <v>34.50077179610151</v>
      </c>
      <c r="O14" s="3">
        <f>IF(O$11&gt;T,"",IF($A14&gt;O$12,"",IF(T=O$11,100,EXP(-IRTree!O15*h)*((P14+P15)/2+cc*h))))</f>
        <v>31.769959983124689</v>
      </c>
      <c r="P14" s="3">
        <f>IF(P$11&gt;T,"",IF($A14&gt;P$12,"",IF(T=P$11,100,EXP(-IRTree!P15*h)*((Q14+Q15)/2+cc*h))))</f>
        <v>29.300463522630221</v>
      </c>
      <c r="Q14" s="3">
        <f>IF(Q$11&gt;T,"",IF($A14&gt;Q$12,"",IF(T=Q$11,100,EXP(-IRTree!Q15*h)*((R14+R15)/2+cc*h))))</f>
        <v>26.907418222951321</v>
      </c>
      <c r="R14" s="3">
        <f>IF(R$11&gt;T,"",IF($A14&gt;R$12,"",IF(T=R$11,100,EXP(-IRTree!R15*h)*((S14+S15)/2+cc*h))))</f>
        <v>24.800266022627429</v>
      </c>
      <c r="S14" s="3">
        <f>IF(S$11&gt;T,"",IF($A14&gt;S$12,"",IF(T=S$11,100,EXP(-IRTree!S15*h)*((T14+T15)/2+cc*h))))</f>
        <v>22.768737474065393</v>
      </c>
      <c r="T14" s="3">
        <f>IF(T$11&gt;T,"",IF($A14&gt;T$12,"",IF(T=T$11,100,EXP(-IRTree!T15*h)*((U14+U15)/2+cc*h))))</f>
        <v>20.874950414232828</v>
      </c>
      <c r="U14" s="3">
        <f>IF(U$11&gt;T,"",IF($A14&gt;U$12,"",IF(T=U$11,100,EXP(-IRTree!U15*h)*((V14+V15)/2+cc*h))))</f>
        <v>19.075303642985876</v>
      </c>
      <c r="V14" s="3">
        <f>IF(V$11&gt;T,"",IF($A14&gt;V$12,"",IF(T=V$11,100,EXP(-IRTree!V15*h)*((W14+W15)/2+cc*h))))</f>
        <v>17.473703569039369</v>
      </c>
      <c r="W14" s="3">
        <f>IF(W$11&gt;T,"",IF($A14&gt;W$12,"",IF(T=W$11,100,EXP(-IRTree!W15*h)*((X14+X15)/2+cc*h))))</f>
        <v>16.049388260229723</v>
      </c>
      <c r="X14" s="3">
        <f>IF(X$11&gt;T,"",IF($A14&gt;X$12,"",IF(T=X$11,100,EXP(-IRTree!X15*h)*((Y14+Y15)/2+cc*h))))</f>
        <v>14.881884407602378</v>
      </c>
      <c r="Y14" s="3">
        <f>IF(Y$11&gt;T,"",IF($A14&gt;Y$12,"",IF(T=Y$11,100,EXP(-IRTree!Y15*h)*((Z14+Z15)/2+cc*h))))</f>
        <v>13.777479947858998</v>
      </c>
      <c r="Z14" s="3">
        <f>IF(Z$11&gt;T,"",IF($A14&gt;Z$12,"",IF(T=Z$11,100,EXP(-IRTree!Z15*h)*((AA14+AA15)/2+cc*h))))</f>
        <v>12.92243767226568</v>
      </c>
      <c r="AA14" s="3">
        <f>IF(AA$11&gt;T,"",IF($A14&gt;AA$12,"",IF(T=AA$11,100,EXP(-IRTree!AA15*h)*((AB14+AB15)/2+cc*h))))</f>
        <v>12.228234496203406</v>
      </c>
      <c r="AB14" s="3">
        <f>IF(AB$11&gt;T,"",IF($A14&gt;AB$12,"",IF(T=AB$11,100,EXP(-IRTree!AB15*h)*((AC14+AC15)/2+cc*h))))</f>
        <v>11.676644116300576</v>
      </c>
      <c r="AC14" s="3">
        <f>IF(AC$11&gt;T,"",IF($A14&gt;AC$12,"",IF(T=AC$11,100,EXP(-IRTree!AC15*h)*((AD14+AD15)/2+cc*h))))</f>
        <v>11.392171649879215</v>
      </c>
      <c r="AD14" s="3">
        <f>IF(AD$11&gt;T,"",IF($A14&gt;AD$12,"",IF(T=AD$11,100,EXP(-IRTree!AD15*h)*((AE14+AE15)/2+cc*h))))</f>
        <v>11.318735398625869</v>
      </c>
      <c r="AE14" s="3">
        <f>IF(AE$11&gt;T,"",IF($A14&gt;AE$12,"",IF(T=AE$11,100,EXP(-IRTree!AE15*h)*((AF14+AF15)/2+cc*h))))</f>
        <v>11.471846087372741</v>
      </c>
      <c r="AF14" s="3">
        <f>IF(AF$11&gt;T,"",IF($A14&gt;AF$12,"",IF(T=AF$11,100,EXP(-IRTree!AF15*h)*((AG14+AG15)/2+cc*h))))</f>
        <v>11.969000395330045</v>
      </c>
      <c r="AG14" s="3">
        <f>IF(AG$11&gt;T,"",IF($A14&gt;AG$12,"",IF(T=AG$11,100,EXP(-IRTree!AG15*h)*((AH14+AH15)/2+cc*h))))</f>
        <v>12.951406605517274</v>
      </c>
      <c r="AH14" s="3">
        <f>IF(AH$11&gt;T,"",IF($A14&gt;AH$12,"",IF(T=AH$11,100,EXP(-IRTree!AH15*h)*((AI14+AI15)/2+cc*h))))</f>
        <v>14.495358130257905</v>
      </c>
      <c r="AI14" s="3">
        <f>IF(AI$11&gt;T,"",IF($A14&gt;AI$12,"",IF(T=AI$11,100,EXP(-IRTree!AI15*h)*((AJ14+AJ15)/2+cc*h))))</f>
        <v>16.976675233465592</v>
      </c>
      <c r="AJ14" s="3">
        <f>IF(AJ$11&gt;T,"",IF($A14&gt;AJ$12,"",IF(T=AJ$11,100,EXP(-IRTree!AJ15*h)*((AK14+AK15)/2+cc*h))))</f>
        <v>20.350717165635118</v>
      </c>
      <c r="AK14" s="3">
        <f>IF(AK$11&gt;T,"",IF($A14&gt;AK$12,"",IF(T=AK$11,100,EXP(-IRTree!AK15*h)*((AL14+AL15)/2+cc*h))))</f>
        <v>25.148168455818904</v>
      </c>
      <c r="AL14" s="3">
        <f>IF(AL$11&gt;T,"",IF($A14&gt;AL$12,"",IF(T=AL$11,100,EXP(-IRTree!AL15*h)*((AM14+AM15)/2+cc*h))))</f>
        <v>31.67621965615572</v>
      </c>
      <c r="AM14" s="3">
        <f>IF(AM$11&gt;T,"",IF($A14&gt;AM$12,"",IF(T=AM$11,100,EXP(-IRTree!AM15*h)*((AN14+AN15)/2+cc*h))))</f>
        <v>41.697337073755378</v>
      </c>
      <c r="AN14" s="3">
        <f>IF(AN$11&gt;T,"",IF($A14&gt;AN$12,"",IF(T=AN$11,100,EXP(-IRTree!AN15*h)*((AO14+AO15)/2+cc*h))))</f>
        <v>55.43357013432631</v>
      </c>
      <c r="AO14" s="3">
        <f>IF(AO$11&gt;T,"",IF($A14&gt;AO$12,"",IF(T=AO$11,100,EXP(-IRTree!AO15*h)*((AP14+AP15)/2+cc*h))))</f>
        <v>74.21764226960029</v>
      </c>
      <c r="AP14" s="3">
        <f>IF(AP$11&gt;T,"",IF($A14&gt;AP$12,"",IF(T=AP$11,100,EXP(-IRTree!AP15*h)*((AQ14+AQ15)/2+cc*h))))</f>
        <v>100</v>
      </c>
      <c r="AQ14" s="3" t="str">
        <f>IF(AQ$11&gt;T,"",IF($A14&gt;AQ$12,"",IF(T=AQ$11,100,EXP(-IRTree!AQ15*h)*((AR14+AR15)/2+cc*h))))</f>
        <v/>
      </c>
      <c r="AR14" s="3" t="str">
        <f>IF(AR$11&gt;T,"",IF($A14&gt;AR$12,"",IF(T=AR$11,100,EXP(-IRTree!AR15*h)*((AS14+AS15)/2+cc*h))))</f>
        <v/>
      </c>
      <c r="AS14" s="3" t="str">
        <f>IF(AS$11&gt;T,"",IF($A14&gt;AS$12,"",IF(T=AS$11,100,EXP(-IRTree!AS15*h)*((AT14+AT15)/2+cc*h))))</f>
        <v/>
      </c>
      <c r="AT14" s="3" t="str">
        <f>IF(AT$11&gt;T,"",IF($A14&gt;AT$12,"",IF(T=AT$11,100,EXP(-IRTree!AT15*h)*((AU14+AU15)/2+cc*h))))</f>
        <v/>
      </c>
      <c r="AU14" s="3" t="str">
        <f>IF(AU$11&gt;T,"",IF($A14&gt;AU$12,"",IF(T=AU$11,100,EXP(-IRTree!AU15*h)*((AV14+AV15)/2+cc*h))))</f>
        <v/>
      </c>
      <c r="AV14" s="3" t="str">
        <f>IF(AV$11&gt;T,"",IF($A14&gt;AV$12,"",IF(T=AV$11,100,EXP(-IRTree!AV15*h)*((AW14+AW15)/2+cc*h))))</f>
        <v/>
      </c>
      <c r="AW14" s="3" t="str">
        <f>IF(AW$11&gt;T,"",IF($A14&gt;AW$12,"",IF(T=AW$11,100,EXP(-IRTree!AW15*h)*((AX14+AX15)/2+cc*h))))</f>
        <v/>
      </c>
      <c r="AX14" s="3" t="str">
        <f>IF(AX$11&gt;T,"",IF($A14&gt;AX$12,"",IF(T=AX$11,100,EXP(-IRTree!AX15*h)*((AY14+AY15)/2+cc*h))))</f>
        <v/>
      </c>
      <c r="AY14" s="3" t="str">
        <f>IF(AY$11&gt;T,"",IF($A14&gt;AY$12,"",IF(T=AY$11,100,EXP(-IRTree!AY15*h)*((AZ14+AZ15)/2+cc*h))))</f>
        <v/>
      </c>
      <c r="AZ14" s="3" t="str">
        <f>IF(AZ$11&gt;T,"",IF($A14&gt;AZ$12,"",IF(T=AZ$11,100,EXP(-IRTree!AZ15*h)*((BA14+BA15)/2+cc*h))))</f>
        <v/>
      </c>
      <c r="BA14" s="3" t="str">
        <f>IF(BA$11&gt;T,"",IF($A14&gt;BA$12,"",IF(T=BA$11,100,EXP(-IRTree!BA15*h)*((BB14+BB15)/2+cc*h))))</f>
        <v/>
      </c>
      <c r="BB14" s="3" t="str">
        <f>IF(BB$11&gt;T,"",IF($A14&gt;BB$12,"",IF(T=BB$11,100,EXP(-IRTree!BB15*h)*((BC14+BC15)/2+cc*h))))</f>
        <v/>
      </c>
      <c r="BC14" s="3" t="str">
        <f>IF(BC$11&gt;T,"",IF($A14&gt;BC$12,"",IF(T=BC$11,100,EXP(-IRTree!BC15*h)*((BD14+BD15)/2+cc*h))))</f>
        <v/>
      </c>
      <c r="BD14" s="3" t="str">
        <f>IF(BD$11&gt;T,"",IF($A14&gt;BD$12,"",IF(T=BD$11,100,EXP(-IRTree!BD15*h)*((BE14+BE15)/2+cc*h))))</f>
        <v/>
      </c>
      <c r="BE14" s="3" t="str">
        <f>IF(BE$11&gt;T,"",IF($A14&gt;BE$12,"",IF(T=BE$11,100,EXP(-IRTree!BE15*h)*((BF14+BF15)/2+cc*h))))</f>
        <v/>
      </c>
      <c r="BF14" s="3" t="str">
        <f>IF(BF$11&gt;T,"",IF($A14&gt;BF$12,"",IF(T=BF$11,100,EXP(-IRTree!BF15*h)*((BG14+BG15)/2+cc*h))))</f>
        <v/>
      </c>
      <c r="BG14" s="3" t="str">
        <f>IF(BG$11&gt;T,"",IF($A14&gt;BG$12,"",IF(T=BG$11,100,EXP(-IRTree!BG15*h)*((BH14+BH15)/2+cc*h))))</f>
        <v/>
      </c>
      <c r="BH14" s="3" t="str">
        <f>IF(BH$11&gt;T,"",IF($A14&gt;BH$12,"",IF(T=BH$11,100,EXP(-IRTree!BH15*h)*((BI14+BI15)/2+cc*h))))</f>
        <v/>
      </c>
      <c r="BI14" s="3" t="str">
        <f>IF(BI$11&gt;T,"",IF($A14&gt;BI$12,"",IF(T=BI$11,100,EXP(-IRTree!BI15*h)*((BJ14+BJ15)/2+cc*h))))</f>
        <v/>
      </c>
      <c r="BJ14" s="3" t="str">
        <f>IF(BJ$11&gt;T,"",IF($A14&gt;BJ$12,"",IF(T=BJ$11,100,EXP(-IRTree!BJ15*h)*((BK14+BK15)/2+cc*h))))</f>
        <v/>
      </c>
    </row>
    <row r="15" spans="1:62">
      <c r="A15" s="12">
        <f t="shared" ref="A15:A73" si="2">A14+1</f>
        <v>2</v>
      </c>
      <c r="B15" s="3" t="str">
        <f>IF(B$11&gt;T,"",IF($A15&gt;B$12,"",IF(T=B$11,100,EXP(-IRTree!B16*h)*((C15+C16)/2+cc*h))))</f>
        <v/>
      </c>
      <c r="C15" s="3" t="str">
        <f>IF(C$11&gt;T,"",IF($A15&gt;C$12,"",IF(T=C$11,100,EXP(-IRTree!C16*h)*((D15+D16)/2+cc*h))))</f>
        <v/>
      </c>
      <c r="D15" s="3">
        <f>IF(D$11&gt;T,"",IF($A15&gt;D$12,"",IF(T=D$11,100,EXP(-IRTree!D16*h)*((E15+E16)/2+cc*h))))</f>
        <v>70.148104956292542</v>
      </c>
      <c r="E15" s="3">
        <f>IF(E$11&gt;T,"",IF($A15&gt;E$12,"",IF(T=E$11,100,EXP(-IRTree!E16*h)*((F15+F16)/2+cc*h))))</f>
        <v>67.699920261061251</v>
      </c>
      <c r="F15" s="3">
        <f>IF(F$11&gt;T,"",IF($A15&gt;F$12,"",IF(T=F$11,100,EXP(-IRTree!F16*h)*((G15+G16)/2+cc*h))))</f>
        <v>65.091673250411816</v>
      </c>
      <c r="G15" s="3">
        <f>IF(G$11&gt;T,"",IF($A15&gt;G$12,"",IF(T=G$11,100,EXP(-IRTree!G16*h)*((H15+H16)/2+cc*h))))</f>
        <v>62.37792941354806</v>
      </c>
      <c r="H15" s="3">
        <f>IF(H$11&gt;T,"",IF($A15&gt;H$12,"",IF(T=H$11,100,EXP(-IRTree!H16*h)*((I15+I16)/2+cc*h))))</f>
        <v>59.580934394781281</v>
      </c>
      <c r="I15" s="3">
        <f>IF(I$11&gt;T,"",IF($A15&gt;I$12,"",IF(T=I$11,100,EXP(-IRTree!I16*h)*((J15+J16)/2+cc*h))))</f>
        <v>56.72179273447702</v>
      </c>
      <c r="J15" s="3">
        <f>IF(J$11&gt;T,"",IF($A15&gt;J$12,"",IF(T=J$11,100,EXP(-IRTree!J16*h)*((K15+K16)/2+cc*h))))</f>
        <v>53.862787756229032</v>
      </c>
      <c r="K15" s="3">
        <f>IF(K$11&gt;T,"",IF($A15&gt;K$12,"",IF(T=K$11,100,EXP(-IRTree!K16*h)*((L15+L16)/2+cc*h))))</f>
        <v>50.993652103169516</v>
      </c>
      <c r="L15" s="3">
        <f>IF(L$11&gt;T,"",IF($A15&gt;L$12,"",IF(T=L$11,100,EXP(-IRTree!L16*h)*((M15+M16)/2+cc*h))))</f>
        <v>48.171164015976537</v>
      </c>
      <c r="M15" s="3">
        <f>IF(M$11&gt;T,"",IF($A15&gt;M$12,"",IF(T=M$11,100,EXP(-IRTree!M16*h)*((N15+N16)/2+cc*h))))</f>
        <v>45.372946808367459</v>
      </c>
      <c r="N15" s="3">
        <f>IF(N$11&gt;T,"",IF($A15&gt;N$12,"",IF(T=N$11,100,EXP(-IRTree!N16*h)*((O15+O16)/2+cc*h))))</f>
        <v>42.607860695934825</v>
      </c>
      <c r="O15" s="3">
        <f>IF(O$11&gt;T,"",IF($A15&gt;O$12,"",IF(T=O$11,100,EXP(-IRTree!O16*h)*((P15+P16)/2+cc*h))))</f>
        <v>39.849066167062837</v>
      </c>
      <c r="P15" s="3">
        <f>IF(P$11&gt;T,"",IF($A15&gt;P$12,"",IF(T=P$11,100,EXP(-IRTree!P16*h)*((Q15+Q16)/2+cc*h))))</f>
        <v>37.275072209181118</v>
      </c>
      <c r="Q15" s="3">
        <f>IF(Q$11&gt;T,"",IF($A15&gt;Q$12,"",IF(T=Q$11,100,EXP(-IRTree!Q16*h)*((R15+R16)/2+cc*h))))</f>
        <v>34.756341498719451</v>
      </c>
      <c r="R15" s="3">
        <f>IF(R$11&gt;T,"",IF($A15&gt;R$12,"",IF(T=R$11,100,EXP(-IRTree!R16*h)*((S15+S16)/2+cc*h))))</f>
        <v>32.467354969934497</v>
      </c>
      <c r="S15" s="3">
        <f>IF(S$11&gt;T,"",IF($A15&gt;S$12,"",IF(T=S$11,100,EXP(-IRTree!S16*h)*((T15+T16)/2+cc*h))))</f>
        <v>30.245913756955282</v>
      </c>
      <c r="T15" s="3">
        <f>IF(T$11&gt;T,"",IF($A15&gt;T$12,"",IF(T=T$11,100,EXP(-IRTree!T16*h)*((U15+U16)/2+cc*h))))</f>
        <v>28.146286993691348</v>
      </c>
      <c r="U15" s="3">
        <f>IF(U$11&gt;T,"",IF($A15&gt;U$12,"",IF(T=U$11,100,EXP(-IRTree!U16*h)*((V15+V16)/2+cc*h))))</f>
        <v>26.132656564963245</v>
      </c>
      <c r="V15" s="3">
        <f>IF(V$11&gt;T,"",IF($A15&gt;V$12,"",IF(T=V$11,100,EXP(-IRTree!V16*h)*((W15+W16)/2+cc*h))))</f>
        <v>24.304295467328473</v>
      </c>
      <c r="W15" s="3">
        <f>IF(W$11&gt;T,"",IF($A15&gt;W$12,"",IF(T=W$11,100,EXP(-IRTree!W16*h)*((X15+X16)/2+cc*h))))</f>
        <v>22.649628625226189</v>
      </c>
      <c r="X15" s="3">
        <f>IF(X$11&gt;T,"",IF($A15&gt;X$12,"",IF(T=X$11,100,EXP(-IRTree!X16*h)*((Y15+Y16)/2+cc*h))))</f>
        <v>21.2541825092324</v>
      </c>
      <c r="Y15" s="3">
        <f>IF(Y$11&gt;T,"",IF($A15&gt;Y$12,"",IF(T=Y$11,100,EXP(-IRTree!Y16*h)*((Z15+Z16)/2+cc*h))))</f>
        <v>19.934172436768741</v>
      </c>
      <c r="Z15" s="3">
        <f>IF(Z$11&gt;T,"",IF($A15&gt;Z$12,"",IF(T=Z$11,100,EXP(-IRTree!Z16*h)*((AA15+AA16)/2+cc*h))))</f>
        <v>18.881893474267319</v>
      </c>
      <c r="AA15" s="3">
        <f>IF(AA$11&gt;T,"",IF($A15&gt;AA$12,"",IF(T=AA$11,100,EXP(-IRTree!AA16*h)*((AB15+AB16)/2+cc*h))))</f>
        <v>18.01479332257999</v>
      </c>
      <c r="AB15" s="3">
        <f>IF(AB$11&gt;T,"",IF($A15&gt;AB$12,"",IF(T=AB$11,100,EXP(-IRTree!AB16*h)*((AC15+AC16)/2+cc*h))))</f>
        <v>17.318960488665891</v>
      </c>
      <c r="AC15" s="3">
        <f>IF(AC$11&gt;T,"",IF($A15&gt;AC$12,"",IF(T=AC$11,100,EXP(-IRTree!AC16*h)*((AD15+AD16)/2+cc*h))))</f>
        <v>16.932392221119507</v>
      </c>
      <c r="AD15" s="3">
        <f>IF(AD$11&gt;T,"",IF($A15&gt;AD$12,"",IF(T=AD$11,100,EXP(-IRTree!AD16*h)*((AE15+AE16)/2+cc*h))))</f>
        <v>16.801027049275188</v>
      </c>
      <c r="AE15" s="3">
        <f>IF(AE$11&gt;T,"",IF($A15&gt;AE$12,"",IF(T=AE$11,100,EXP(-IRTree!AE16*h)*((AF15+AF16)/2+cc*h))))</f>
        <v>16.945379049791146</v>
      </c>
      <c r="AF15" s="3">
        <f>IF(AF$11&gt;T,"",IF($A15&gt;AF$12,"",IF(T=AF$11,100,EXP(-IRTree!AF16*h)*((AG15+AG16)/2+cc*h))))</f>
        <v>17.494296559207022</v>
      </c>
      <c r="AG15" s="3">
        <f>IF(AG$11&gt;T,"",IF($A15&gt;AG$12,"",IF(T=AG$11,100,EXP(-IRTree!AG16*h)*((AH15+AH16)/2+cc*h))))</f>
        <v>18.596126073471222</v>
      </c>
      <c r="AH15" s="3">
        <f>IF(AH$11&gt;T,"",IF($A15&gt;AH$12,"",IF(T=AH$11,100,EXP(-IRTree!AH16*h)*((AI15+AI16)/2+cc*h))))</f>
        <v>20.320316660487595</v>
      </c>
      <c r="AI15" s="3">
        <f>IF(AI$11&gt;T,"",IF($A15&gt;AI$12,"",IF(T=AI$11,100,EXP(-IRTree!AI16*h)*((AJ15+AJ16)/2+cc*h))))</f>
        <v>23.03302210742725</v>
      </c>
      <c r="AJ15" s="3">
        <f>IF(AJ$11&gt;T,"",IF($A15&gt;AJ$12,"",IF(T=AJ$11,100,EXP(-IRTree!AJ16*h)*((AK15+AK16)/2+cc*h))))</f>
        <v>26.646463562385708</v>
      </c>
      <c r="AK15" s="3">
        <f>IF(AK$11&gt;T,"",IF($A15&gt;AK$12,"",IF(T=AK$11,100,EXP(-IRTree!AK16*h)*((AL15+AL16)/2+cc*h))))</f>
        <v>31.63878192499806</v>
      </c>
      <c r="AL15" s="3">
        <f>IF(AL$11&gt;T,"",IF($A15&gt;AL$12,"",IF(T=AL$11,100,EXP(-IRTree!AL16*h)*((AM15+AM16)/2+cc*h))))</f>
        <v>38.232372278031313</v>
      </c>
      <c r="AM15" s="3">
        <f>IF(AM$11&gt;T,"",IF($A15&gt;AM$12,"",IF(T=AM$11,100,EXP(-IRTree!AM16*h)*((AN15+AN16)/2+cc*h))))</f>
        <v>47.941620875263013</v>
      </c>
      <c r="AN15" s="3">
        <f>IF(AN$11&gt;T,"",IF($A15&gt;AN$12,"",IF(T=AN$11,100,EXP(-IRTree!AN16*h)*((AO15+AO16)/2+cc*h))))</f>
        <v>60.761077863216819</v>
      </c>
      <c r="AO15" s="3">
        <f>IF(AO$11&gt;T,"",IF($A15&gt;AO$12,"",IF(T=AO$11,100,EXP(-IRTree!AO16*h)*((AP15+AP16)/2+cc*h))))</f>
        <v>77.65252281084868</v>
      </c>
      <c r="AP15" s="3">
        <f>IF(AP$11&gt;T,"",IF($A15&gt;AP$12,"",IF(T=AP$11,100,EXP(-IRTree!AP16*h)*((AQ15+AQ16)/2+cc*h))))</f>
        <v>100</v>
      </c>
      <c r="AQ15" s="3" t="str">
        <f>IF(AQ$11&gt;T,"",IF($A15&gt;AQ$12,"",IF(T=AQ$11,100,EXP(-IRTree!AQ16*h)*((AR15+AR16)/2+cc*h))))</f>
        <v/>
      </c>
      <c r="AR15" s="3" t="str">
        <f>IF(AR$11&gt;T,"",IF($A15&gt;AR$12,"",IF(T=AR$11,100,EXP(-IRTree!AR16*h)*((AS15+AS16)/2+cc*h))))</f>
        <v/>
      </c>
      <c r="AS15" s="3" t="str">
        <f>IF(AS$11&gt;T,"",IF($A15&gt;AS$12,"",IF(T=AS$11,100,EXP(-IRTree!AS16*h)*((AT15+AT16)/2+cc*h))))</f>
        <v/>
      </c>
      <c r="AT15" s="3" t="str">
        <f>IF(AT$11&gt;T,"",IF($A15&gt;AT$12,"",IF(T=AT$11,100,EXP(-IRTree!AT16*h)*((AU15+AU16)/2+cc*h))))</f>
        <v/>
      </c>
      <c r="AU15" s="3" t="str">
        <f>IF(AU$11&gt;T,"",IF($A15&gt;AU$12,"",IF(T=AU$11,100,EXP(-IRTree!AU16*h)*((AV15+AV16)/2+cc*h))))</f>
        <v/>
      </c>
      <c r="AV15" s="3" t="str">
        <f>IF(AV$11&gt;T,"",IF($A15&gt;AV$12,"",IF(T=AV$11,100,EXP(-IRTree!AV16*h)*((AW15+AW16)/2+cc*h))))</f>
        <v/>
      </c>
      <c r="AW15" s="3" t="str">
        <f>IF(AW$11&gt;T,"",IF($A15&gt;AW$12,"",IF(T=AW$11,100,EXP(-IRTree!AW16*h)*((AX15+AX16)/2+cc*h))))</f>
        <v/>
      </c>
      <c r="AX15" s="3" t="str">
        <f>IF(AX$11&gt;T,"",IF($A15&gt;AX$12,"",IF(T=AX$11,100,EXP(-IRTree!AX16*h)*((AY15+AY16)/2+cc*h))))</f>
        <v/>
      </c>
      <c r="AY15" s="3" t="str">
        <f>IF(AY$11&gt;T,"",IF($A15&gt;AY$12,"",IF(T=AY$11,100,EXP(-IRTree!AY16*h)*((AZ15+AZ16)/2+cc*h))))</f>
        <v/>
      </c>
      <c r="AZ15" s="3" t="str">
        <f>IF(AZ$11&gt;T,"",IF($A15&gt;AZ$12,"",IF(T=AZ$11,100,EXP(-IRTree!AZ16*h)*((BA15+BA16)/2+cc*h))))</f>
        <v/>
      </c>
      <c r="BA15" s="3" t="str">
        <f>IF(BA$11&gt;T,"",IF($A15&gt;BA$12,"",IF(T=BA$11,100,EXP(-IRTree!BA16*h)*((BB15+BB16)/2+cc*h))))</f>
        <v/>
      </c>
      <c r="BB15" s="3" t="str">
        <f>IF(BB$11&gt;T,"",IF($A15&gt;BB$12,"",IF(T=BB$11,100,EXP(-IRTree!BB16*h)*((BC15+BC16)/2+cc*h))))</f>
        <v/>
      </c>
      <c r="BC15" s="3" t="str">
        <f>IF(BC$11&gt;T,"",IF($A15&gt;BC$12,"",IF(T=BC$11,100,EXP(-IRTree!BC16*h)*((BD15+BD16)/2+cc*h))))</f>
        <v/>
      </c>
      <c r="BD15" s="3" t="str">
        <f>IF(BD$11&gt;T,"",IF($A15&gt;BD$12,"",IF(T=BD$11,100,EXP(-IRTree!BD16*h)*((BE15+BE16)/2+cc*h))))</f>
        <v/>
      </c>
      <c r="BE15" s="3" t="str">
        <f>IF(BE$11&gt;T,"",IF($A15&gt;BE$12,"",IF(T=BE$11,100,EXP(-IRTree!BE16*h)*((BF15+BF16)/2+cc*h))))</f>
        <v/>
      </c>
      <c r="BF15" s="3" t="str">
        <f>IF(BF$11&gt;T,"",IF($A15&gt;BF$12,"",IF(T=BF$11,100,EXP(-IRTree!BF16*h)*((BG15+BG16)/2+cc*h))))</f>
        <v/>
      </c>
      <c r="BG15" s="3" t="str">
        <f>IF(BG$11&gt;T,"",IF($A15&gt;BG$12,"",IF(T=BG$11,100,EXP(-IRTree!BG16*h)*((BH15+BH16)/2+cc*h))))</f>
        <v/>
      </c>
      <c r="BH15" s="3" t="str">
        <f>IF(BH$11&gt;T,"",IF($A15&gt;BH$12,"",IF(T=BH$11,100,EXP(-IRTree!BH16*h)*((BI15+BI16)/2+cc*h))))</f>
        <v/>
      </c>
      <c r="BI15" s="3" t="str">
        <f>IF(BI$11&gt;T,"",IF($A15&gt;BI$12,"",IF(T=BI$11,100,EXP(-IRTree!BI16*h)*((BJ15+BJ16)/2+cc*h))))</f>
        <v/>
      </c>
      <c r="BJ15" s="3" t="str">
        <f>IF(BJ$11&gt;T,"",IF($A15&gt;BJ$12,"",IF(T=BJ$11,100,EXP(-IRTree!BJ16*h)*((BK15+BK16)/2+cc*h))))</f>
        <v/>
      </c>
    </row>
    <row r="16" spans="1:62">
      <c r="A16" s="12">
        <f t="shared" si="2"/>
        <v>3</v>
      </c>
      <c r="B16" s="3" t="str">
        <f>IF(B$11&gt;T,"",IF($A16&gt;B$12,"",IF(T=B$11,100,EXP(-IRTree!B17*h)*((C16+C17)/2+cc*h))))</f>
        <v/>
      </c>
      <c r="C16" s="3" t="str">
        <f>IF(C$11&gt;T,"",IF($A16&gt;C$12,"",IF(T=C$11,100,EXP(-IRTree!C17*h)*((D16+D17)/2+cc*h))))</f>
        <v/>
      </c>
      <c r="D16" s="3" t="str">
        <f>IF(D$11&gt;T,"",IF($A16&gt;D$12,"",IF(T=D$11,100,EXP(-IRTree!D17*h)*((E16+E17)/2+cc*h))))</f>
        <v/>
      </c>
      <c r="E16" s="3">
        <f>IF(E$11&gt;T,"",IF($A16&gt;E$12,"",IF(T=E$11,100,EXP(-IRTree!E17*h)*((F16+F17)/2+cc*h))))</f>
        <v>73.389325591558034</v>
      </c>
      <c r="F16" s="3">
        <f>IF(F$11&gt;T,"",IF($A16&gt;F$12,"",IF(T=F$11,100,EXP(-IRTree!F17*h)*((G16+G17)/2+cc*h))))</f>
        <v>71.137765502100635</v>
      </c>
      <c r="G16" s="3">
        <f>IF(G$11&gt;T,"",IF($A16&gt;G$12,"",IF(T=G$11,100,EXP(-IRTree!G17*h)*((H16+H17)/2+cc*h))))</f>
        <v>68.764096024868294</v>
      </c>
      <c r="H16" s="3">
        <f>IF(H$11&gt;T,"",IF($A16&gt;H$12,"",IF(T=H$11,100,EXP(-IRTree!H17*h)*((I16+I17)/2+cc*h))))</f>
        <v>66.290296592979487</v>
      </c>
      <c r="I16" s="3">
        <f>IF(I$11&gt;T,"",IF($A16&gt;I$12,"",IF(T=I$11,100,EXP(-IRTree!I17*h)*((J16+J17)/2+cc*h))))</f>
        <v>63.730256969986954</v>
      </c>
      <c r="J16" s="3">
        <f>IF(J$11&gt;T,"",IF($A16&gt;J$12,"",IF(T=J$11,100,EXP(-IRTree!J17*h)*((K16+K17)/2+cc*h))))</f>
        <v>61.111927118964857</v>
      </c>
      <c r="K16" s="3">
        <f>IF(K$11&gt;T,"",IF($A16&gt;K$12,"",IF(T=K$11,100,EXP(-IRTree!K17*h)*((L16+L17)/2+cc*h))))</f>
        <v>58.459456164391</v>
      </c>
      <c r="L16" s="3">
        <f>IF(L$11&gt;T,"",IF($A16&gt;L$12,"",IF(T=L$11,100,EXP(-IRTree!L17*h)*((M16+M17)/2+cc*h))))</f>
        <v>55.803125515713404</v>
      </c>
      <c r="M16" s="3">
        <f>IF(M$11&gt;T,"",IF($A16&gt;M$12,"",IF(T=M$11,100,EXP(-IRTree!M17*h)*((N16+N17)/2+cc*h))))</f>
        <v>53.143152749781073</v>
      </c>
      <c r="N16" s="3">
        <f>IF(N$11&gt;T,"",IF($A16&gt;N$12,"",IF(T=N$11,100,EXP(-IRTree!N17*h)*((O16+O17)/2+cc*h))))</f>
        <v>50.487088969856757</v>
      </c>
      <c r="O16" s="3">
        <f>IF(O$11&gt;T,"",IF($A16&gt;O$12,"",IF(T=O$11,100,EXP(-IRTree!O17*h)*((P16+P17)/2+cc*h))))</f>
        <v>47.819091361938582</v>
      </c>
      <c r="P16" s="3">
        <f>IF(P$11&gt;T,"",IF($A16&gt;P$12,"",IF(T=P$11,100,EXP(-IRTree!P17*h)*((Q16+Q17)/2+cc*h))))</f>
        <v>45.262396061567152</v>
      </c>
      <c r="Q16" s="3">
        <f>IF(Q$11&gt;T,"",IF($A16&gt;Q$12,"",IF(T=Q$11,100,EXP(-IRTree!Q17*h)*((R16+R17)/2+cc*h))))</f>
        <v>42.739545274625883</v>
      </c>
      <c r="R16" s="3">
        <f>IF(R$11&gt;T,"",IF($A16&gt;R$12,"",IF(T=R$11,100,EXP(-IRTree!R17*h)*((S16+S17)/2+cc*h))))</f>
        <v>40.383934697343143</v>
      </c>
      <c r="S16" s="3">
        <f>IF(S$11&gt;T,"",IF($A16&gt;S$12,"",IF(T=S$11,100,EXP(-IRTree!S17*h)*((T16+T17)/2+cc*h))))</f>
        <v>38.084190818382623</v>
      </c>
      <c r="T16" s="3">
        <f>IF(T$11&gt;T,"",IF($A16&gt;T$12,"",IF(T=T$11,100,EXP(-IRTree!T17*h)*((U16+U17)/2+cc*h))))</f>
        <v>35.884550064752595</v>
      </c>
      <c r="U16" s="3">
        <f>IF(U$11&gt;T,"",IF($A16&gt;U$12,"",IF(T=U$11,100,EXP(-IRTree!U17*h)*((V16+V17)/2+cc*h))))</f>
        <v>33.758829463723607</v>
      </c>
      <c r="V16" s="3">
        <f>IF(V$11&gt;T,"",IF($A16&gt;V$12,"",IF(T=V$11,100,EXP(-IRTree!V17*h)*((W16+W17)/2+cc*h))))</f>
        <v>31.794892362738089</v>
      </c>
      <c r="W16" s="3">
        <f>IF(W$11&gt;T,"",IF($A16&gt;W$12,"",IF(T=W$11,100,EXP(-IRTree!W17*h)*((X16+X17)/2+cc*h))))</f>
        <v>29.990306010716374</v>
      </c>
      <c r="X16" s="3">
        <f>IF(X$11&gt;T,"",IF($A16&gt;X$12,"",IF(T=X$11,100,EXP(-IRTree!X17*h)*((Y16+Y17)/2+cc*h))))</f>
        <v>28.429718251689632</v>
      </c>
      <c r="Y16" s="3">
        <f>IF(Y$11&gt;T,"",IF($A16&gt;Y$12,"",IF(T=Y$11,100,EXP(-IRTree!Y17*h)*((Z16+Z17)/2+cc*h))))</f>
        <v>26.953409218038594</v>
      </c>
      <c r="Z16" s="3">
        <f>IF(Z$11&gt;T,"",IF($A16&gt;Z$12,"",IF(T=Z$11,100,EXP(-IRTree!Z17*h)*((AA16+AA17)/2+cc*h))))</f>
        <v>25.745096424391733</v>
      </c>
      <c r="AA16" s="3">
        <f>IF(AA$11&gt;T,"",IF($A16&gt;AA$12,"",IF(T=AA$11,100,EXP(-IRTree!AA17*h)*((AB16+AB17)/2+cc*h))))</f>
        <v>24.735404656644683</v>
      </c>
      <c r="AB16" s="3">
        <f>IF(AB$11&gt;T,"",IF($A16&gt;AB$12,"",IF(T=AB$11,100,EXP(-IRTree!AB17*h)*((AC16+AC17)/2+cc*h))))</f>
        <v>23.91677312771214</v>
      </c>
      <c r="AC16" s="3">
        <f>IF(AC$11&gt;T,"",IF($A16&gt;AC$12,"",IF(T=AC$11,100,EXP(-IRTree!AC17*h)*((AD16+AD17)/2+cc*h))))</f>
        <v>23.430940668322105</v>
      </c>
      <c r="AD16" s="3">
        <f>IF(AD$11&gt;T,"",IF($A16&gt;AD$12,"",IF(T=AD$11,100,EXP(-IRTree!AD17*h)*((AE16+AE17)/2+cc*h))))</f>
        <v>23.231699774846103</v>
      </c>
      <c r="AE16" s="3">
        <f>IF(AE$11&gt;T,"",IF($A16&gt;AE$12,"",IF(T=AE$11,100,EXP(-IRTree!AE17*h)*((AF16+AF17)/2+cc*h))))</f>
        <v>23.344577864937644</v>
      </c>
      <c r="AF16" s="3">
        <f>IF(AF$11&gt;T,"",IF($A16&gt;AF$12,"",IF(T=AF$11,100,EXP(-IRTree!AF17*h)*((AG16+AG17)/2+cc*h))))</f>
        <v>23.90205611553889</v>
      </c>
      <c r="AG16" s="3">
        <f>IF(AG$11&gt;T,"",IF($A16&gt;AG$12,"",IF(T=AG$11,100,EXP(-IRTree!AG17*h)*((AH16+AH17)/2+cc*h))))</f>
        <v>25.051797742554545</v>
      </c>
      <c r="AH16" s="3">
        <f>IF(AH$11&gt;T,"",IF($A16&gt;AH$12,"",IF(T=AH$11,100,EXP(-IRTree!AH17*h)*((AI16+AI17)/2+cc*h))))</f>
        <v>26.855934234340971</v>
      </c>
      <c r="AI16" s="3">
        <f>IF(AI$11&gt;T,"",IF($A16&gt;AI$12,"",IF(T=AI$11,100,EXP(-IRTree!AI17*h)*((AJ16+AJ17)/2+cc*h))))</f>
        <v>29.654933219014236</v>
      </c>
      <c r="AJ16" s="3">
        <f>IF(AJ$11&gt;T,"",IF($A16&gt;AJ$12,"",IF(T=AJ$11,100,EXP(-IRTree!AJ17*h)*((AK16+AK17)/2+cc*h))))</f>
        <v>33.334979488476712</v>
      </c>
      <c r="AK16" s="3">
        <f>IF(AK$11&gt;T,"",IF($A16&gt;AK$12,"",IF(T=AK$11,100,EXP(-IRTree!AK17*h)*((AL16+AL17)/2+cc*h))))</f>
        <v>38.313576585871388</v>
      </c>
      <c r="AL16" s="3">
        <f>IF(AL$11&gt;T,"",IF($A16&gt;AL$12,"",IF(T=AL$11,100,EXP(-IRTree!AL17*h)*((AM16+AM17)/2+cc*h))))</f>
        <v>44.745644235614726</v>
      </c>
      <c r="AM16" s="3">
        <f>IF(AM$11&gt;T,"",IF($A16&gt;AM$12,"",IF(T=AM$11,100,EXP(-IRTree!AM17*h)*((AN16+AN17)/2+cc*h))))</f>
        <v>53.906843014778971</v>
      </c>
      <c r="AN16" s="3">
        <f>IF(AN$11&gt;T,"",IF($A16&gt;AN$12,"",IF(T=AN$11,100,EXP(-IRTree!AN17*h)*((AO16+AO17)/2+cc*h))))</f>
        <v>65.656534156546869</v>
      </c>
      <c r="AO16" s="3">
        <f>IF(AO$11&gt;T,"",IF($A16&gt;AO$12,"",IF(T=AO$11,100,EXP(-IRTree!AO17*h)*((AP16+AP17)/2+cc*h))))</f>
        <v>80.690547279603692</v>
      </c>
      <c r="AP16" s="3">
        <f>IF(AP$11&gt;T,"",IF($A16&gt;AP$12,"",IF(T=AP$11,100,EXP(-IRTree!AP17*h)*((AQ16+AQ17)/2+cc*h))))</f>
        <v>100</v>
      </c>
      <c r="AQ16" s="3" t="str">
        <f>IF(AQ$11&gt;T,"",IF($A16&gt;AQ$12,"",IF(T=AQ$11,100,EXP(-IRTree!AQ17*h)*((AR16+AR17)/2+cc*h))))</f>
        <v/>
      </c>
      <c r="AR16" s="3" t="str">
        <f>IF(AR$11&gt;T,"",IF($A16&gt;AR$12,"",IF(T=AR$11,100,EXP(-IRTree!AR17*h)*((AS16+AS17)/2+cc*h))))</f>
        <v/>
      </c>
      <c r="AS16" s="3" t="str">
        <f>IF(AS$11&gt;T,"",IF($A16&gt;AS$12,"",IF(T=AS$11,100,EXP(-IRTree!AS17*h)*((AT16+AT17)/2+cc*h))))</f>
        <v/>
      </c>
      <c r="AT16" s="3" t="str">
        <f>IF(AT$11&gt;T,"",IF($A16&gt;AT$12,"",IF(T=AT$11,100,EXP(-IRTree!AT17*h)*((AU16+AU17)/2+cc*h))))</f>
        <v/>
      </c>
      <c r="AU16" s="3" t="str">
        <f>IF(AU$11&gt;T,"",IF($A16&gt;AU$12,"",IF(T=AU$11,100,EXP(-IRTree!AU17*h)*((AV16+AV17)/2+cc*h))))</f>
        <v/>
      </c>
      <c r="AV16" s="3" t="str">
        <f>IF(AV$11&gt;T,"",IF($A16&gt;AV$12,"",IF(T=AV$11,100,EXP(-IRTree!AV17*h)*((AW16+AW17)/2+cc*h))))</f>
        <v/>
      </c>
      <c r="AW16" s="3" t="str">
        <f>IF(AW$11&gt;T,"",IF($A16&gt;AW$12,"",IF(T=AW$11,100,EXP(-IRTree!AW17*h)*((AX16+AX17)/2+cc*h))))</f>
        <v/>
      </c>
      <c r="AX16" s="3" t="str">
        <f>IF(AX$11&gt;T,"",IF($A16&gt;AX$12,"",IF(T=AX$11,100,EXP(-IRTree!AX17*h)*((AY16+AY17)/2+cc*h))))</f>
        <v/>
      </c>
      <c r="AY16" s="3" t="str">
        <f>IF(AY$11&gt;T,"",IF($A16&gt;AY$12,"",IF(T=AY$11,100,EXP(-IRTree!AY17*h)*((AZ16+AZ17)/2+cc*h))))</f>
        <v/>
      </c>
      <c r="AZ16" s="3" t="str">
        <f>IF(AZ$11&gt;T,"",IF($A16&gt;AZ$12,"",IF(T=AZ$11,100,EXP(-IRTree!AZ17*h)*((BA16+BA17)/2+cc*h))))</f>
        <v/>
      </c>
      <c r="BA16" s="3" t="str">
        <f>IF(BA$11&gt;T,"",IF($A16&gt;BA$12,"",IF(T=BA$11,100,EXP(-IRTree!BA17*h)*((BB16+BB17)/2+cc*h))))</f>
        <v/>
      </c>
      <c r="BB16" s="3" t="str">
        <f>IF(BB$11&gt;T,"",IF($A16&gt;BB$12,"",IF(T=BB$11,100,EXP(-IRTree!BB17*h)*((BC16+BC17)/2+cc*h))))</f>
        <v/>
      </c>
      <c r="BC16" s="3" t="str">
        <f>IF(BC$11&gt;T,"",IF($A16&gt;BC$12,"",IF(T=BC$11,100,EXP(-IRTree!BC17*h)*((BD16+BD17)/2+cc*h))))</f>
        <v/>
      </c>
      <c r="BD16" s="3" t="str">
        <f>IF(BD$11&gt;T,"",IF($A16&gt;BD$12,"",IF(T=BD$11,100,EXP(-IRTree!BD17*h)*((BE16+BE17)/2+cc*h))))</f>
        <v/>
      </c>
      <c r="BE16" s="3" t="str">
        <f>IF(BE$11&gt;T,"",IF($A16&gt;BE$12,"",IF(T=BE$11,100,EXP(-IRTree!BE17*h)*((BF16+BF17)/2+cc*h))))</f>
        <v/>
      </c>
      <c r="BF16" s="3" t="str">
        <f>IF(BF$11&gt;T,"",IF($A16&gt;BF$12,"",IF(T=BF$11,100,EXP(-IRTree!BF17*h)*((BG16+BG17)/2+cc*h))))</f>
        <v/>
      </c>
      <c r="BG16" s="3" t="str">
        <f>IF(BG$11&gt;T,"",IF($A16&gt;BG$12,"",IF(T=BG$11,100,EXP(-IRTree!BG17*h)*((BH16+BH17)/2+cc*h))))</f>
        <v/>
      </c>
      <c r="BH16" s="3" t="str">
        <f>IF(BH$11&gt;T,"",IF($A16&gt;BH$12,"",IF(T=BH$11,100,EXP(-IRTree!BH17*h)*((BI16+BI17)/2+cc*h))))</f>
        <v/>
      </c>
      <c r="BI16" s="3" t="str">
        <f>IF(BI$11&gt;T,"",IF($A16&gt;BI$12,"",IF(T=BI$11,100,EXP(-IRTree!BI17*h)*((BJ16+BJ17)/2+cc*h))))</f>
        <v/>
      </c>
      <c r="BJ16" s="3" t="str">
        <f>IF(BJ$11&gt;T,"",IF($A16&gt;BJ$12,"",IF(T=BJ$11,100,EXP(-IRTree!BJ17*h)*((BK16+BK17)/2+cc*h))))</f>
        <v/>
      </c>
    </row>
    <row r="17" spans="1:62">
      <c r="A17" s="12">
        <f t="shared" si="2"/>
        <v>4</v>
      </c>
      <c r="B17" s="3" t="str">
        <f>IF(B$11&gt;T,"",IF($A17&gt;B$12,"",IF(T=B$11,100,EXP(-IRTree!B18*h)*((C17+C18)/2+cc*h))))</f>
        <v/>
      </c>
      <c r="C17" s="3" t="str">
        <f>IF(C$11&gt;T,"",IF($A17&gt;C$12,"",IF(T=C$11,100,EXP(-IRTree!C18*h)*((D17+D18)/2+cc*h))))</f>
        <v/>
      </c>
      <c r="D17" s="3" t="str">
        <f>IF(D$11&gt;T,"",IF($A17&gt;D$12,"",IF(T=D$11,100,EXP(-IRTree!D18*h)*((E17+E18)/2+cc*h))))</f>
        <v/>
      </c>
      <c r="E17" s="3" t="str">
        <f>IF(E$11&gt;T,"",IF($A17&gt;E$12,"",IF(T=E$11,100,EXP(-IRTree!E18*h)*((F17+F18)/2+cc*h))))</f>
        <v/>
      </c>
      <c r="F17" s="3">
        <f>IF(F$11&gt;T,"",IF($A17&gt;F$12,"",IF(T=F$11,100,EXP(-IRTree!F18*h)*((G17+G18)/2+cc*h))))</f>
        <v>76.321476697067354</v>
      </c>
      <c r="G17" s="3">
        <f>IF(G$11&gt;T,"",IF($A17&gt;G$12,"",IF(T=G$11,100,EXP(-IRTree!G18*h)*((H17+H18)/2+cc*h))))</f>
        <v>74.285197293042799</v>
      </c>
      <c r="H17" s="3">
        <f>IF(H$11&gt;T,"",IF($A17&gt;H$12,"",IF(T=H$11,100,EXP(-IRTree!H18*h)*((I17+I18)/2+cc*h))))</f>
        <v>72.143449455148996</v>
      </c>
      <c r="I17" s="3">
        <f>IF(I$11&gt;T,"",IF($A17&gt;I$12,"",IF(T=I$11,100,EXP(-IRTree!I18*h)*((J17+J18)/2+cc*h))))</f>
        <v>69.904282610176693</v>
      </c>
      <c r="J17" s="3">
        <f>IF(J$11&gt;T,"",IF($A17&gt;J$12,"",IF(T=J$11,100,EXP(-IRTree!J18*h)*((K17+K18)/2+cc*h))))</f>
        <v>67.571126647361055</v>
      </c>
      <c r="K17" s="3">
        <f>IF(K$11&gt;T,"",IF($A17&gt;K$12,"",IF(T=K$11,100,EXP(-IRTree!K18*h)*((L17+L18)/2+cc*h))))</f>
        <v>65.188013901663638</v>
      </c>
      <c r="L17" s="3">
        <f>IF(L$11&gt;T,"",IF($A17&gt;L$12,"",IF(T=L$11,100,EXP(-IRTree!L18*h)*((M17+M18)/2+cc*h))))</f>
        <v>62.765329759671481</v>
      </c>
      <c r="M17" s="3">
        <f>IF(M$11&gt;T,"",IF($A17&gt;M$12,"",IF(T=M$11,100,EXP(-IRTree!M18*h)*((N17+N18)/2+cc*h))))</f>
        <v>60.318083496680401</v>
      </c>
      <c r="N17" s="3">
        <f>IF(N$11&gt;T,"",IF($A17&gt;N$12,"",IF(T=N$11,100,EXP(-IRTree!N18*h)*((O17+O18)/2+cc*h))))</f>
        <v>57.852513506032906</v>
      </c>
      <c r="O17" s="3">
        <f>IF(O$11&gt;T,"",IF($A17&gt;O$12,"",IF(T=O$11,100,EXP(-IRTree!O18*h)*((P17+P18)/2+cc*h))))</f>
        <v>55.362092239028009</v>
      </c>
      <c r="P17" s="3">
        <f>IF(P$11&gt;T,"",IF($A17&gt;P$12,"",IF(T=P$11,100,EXP(-IRTree!P18*h)*((Q17+Q18)/2+cc*h))))</f>
        <v>52.9203242117663</v>
      </c>
      <c r="Q17" s="3">
        <f>IF(Q$11&gt;T,"",IF($A17&gt;Q$12,"",IF(T=Q$11,100,EXP(-IRTree!Q18*h)*((R17+R18)/2+cc*h))))</f>
        <v>50.493462880880031</v>
      </c>
      <c r="R17" s="3">
        <f>IF(R$11&gt;T,"",IF($A17&gt;R$12,"",IF(T=R$11,100,EXP(-IRTree!R18*h)*((S17+S18)/2+cc*h))))</f>
        <v>48.17424745164714</v>
      </c>
      <c r="S17" s="3">
        <f>IF(S$11&gt;T,"",IF($A17&gt;S$12,"",IF(T=S$11,100,EXP(-IRTree!S18*h)*((T17+T18)/2+cc*h))))</f>
        <v>45.897934394194259</v>
      </c>
      <c r="T17" s="3">
        <f>IF(T$11&gt;T,"",IF($A17&gt;T$12,"",IF(T=T$11,100,EXP(-IRTree!T18*h)*((U17+U18)/2+cc*h))))</f>
        <v>43.698266271882687</v>
      </c>
      <c r="U17" s="3">
        <f>IF(U$11&gt;T,"",IF($A17&gt;U$12,"",IF(T=U$11,100,EXP(-IRTree!U18*h)*((V17+V18)/2+cc*h))))</f>
        <v>41.558929003808018</v>
      </c>
      <c r="V17" s="3">
        <f>IF(V$11&gt;T,"",IF($A17&gt;V$12,"",IF(T=V$11,100,EXP(-IRTree!V18*h)*((W17+W18)/2+cc*h))))</f>
        <v>39.552391103606624</v>
      </c>
      <c r="W17" s="3">
        <f>IF(W$11&gt;T,"",IF($A17&gt;W$12,"",IF(T=W$11,100,EXP(-IRTree!W18*h)*((X17+X18)/2+cc*h))))</f>
        <v>37.684039038531971</v>
      </c>
      <c r="X17" s="3">
        <f>IF(X$11&gt;T,"",IF($A17&gt;X$12,"",IF(T=X$11,100,EXP(-IRTree!X18*h)*((Y17+Y18)/2+cc*h))))</f>
        <v>36.031964046355753</v>
      </c>
      <c r="Y17" s="3">
        <f>IF(Y$11&gt;T,"",IF($A17&gt;Y$12,"",IF(T=Y$11,100,EXP(-IRTree!Y18*h)*((Z17+Z18)/2+cc*h))))</f>
        <v>34.468865505038664</v>
      </c>
      <c r="Z17" s="3">
        <f>IF(Z$11&gt;T,"",IF($A17&gt;Z$12,"",IF(T=Z$11,100,EXP(-IRTree!Z18*h)*((AA17+AA18)/2+cc*h))))</f>
        <v>33.158693820553509</v>
      </c>
      <c r="AA17" s="3">
        <f>IF(AA$11&gt;T,"",IF($A17&gt;AA$12,"",IF(T=AA$11,100,EXP(-IRTree!AA18*h)*((AB17+AB18)/2+cc*h))))</f>
        <v>32.049397500953837</v>
      </c>
      <c r="AB17" s="3">
        <f>IF(AB$11&gt;T,"",IF($A17&gt;AB$12,"",IF(T=AB$11,100,EXP(-IRTree!AB18*h)*((AC17+AC18)/2+cc*h))))</f>
        <v>31.140593159168976</v>
      </c>
      <c r="AC17" s="3">
        <f>IF(AC$11&gt;T,"",IF($A17&gt;AC$12,"",IF(T=AC$11,100,EXP(-IRTree!AC18*h)*((AD17+AD18)/2+cc*h))))</f>
        <v>30.568805966520269</v>
      </c>
      <c r="AD17" s="3">
        <f>IF(AD$11&gt;T,"",IF($A17&gt;AD$12,"",IF(T=AD$11,100,EXP(-IRTree!AD18*h)*((AE17+AE18)/2+cc*h))))</f>
        <v>30.299707643971686</v>
      </c>
      <c r="AE17" s="3">
        <f>IF(AE$11&gt;T,"",IF($A17&gt;AE$12,"",IF(T=AE$11,100,EXP(-IRTree!AE18*h)*((AF17+AF18)/2+cc*h))))</f>
        <v>30.363354641011817</v>
      </c>
      <c r="AF17" s="3">
        <f>IF(AF$11&gt;T,"",IF($A17&gt;AF$12,"",IF(T=AF$11,100,EXP(-IRTree!AF18*h)*((AG17+AG18)/2+cc*h))))</f>
        <v>30.889010006804469</v>
      </c>
      <c r="AG17" s="3">
        <f>IF(AG$11&gt;T,"",IF($A17&gt;AG$12,"",IF(T=AG$11,100,EXP(-IRTree!AG18*h)*((AH17+AH18)/2+cc*h))))</f>
        <v>32.017584644383788</v>
      </c>
      <c r="AH17" s="3">
        <f>IF(AH$11&gt;T,"",IF($A17&gt;AH$12,"",IF(T=AH$11,100,EXP(-IRTree!AH18*h)*((AI17+AI18)/2+cc*h))))</f>
        <v>33.80522959036702</v>
      </c>
      <c r="AI17" s="3">
        <f>IF(AI$11&gt;T,"",IF($A17&gt;AI$12,"",IF(T=AI$11,100,EXP(-IRTree!AI18*h)*((AJ17+AJ18)/2+cc*h))))</f>
        <v>36.557034477936362</v>
      </c>
      <c r="AJ17" s="3">
        <f>IF(AJ$11&gt;T,"",IF($A17&gt;AJ$12,"",IF(T=AJ$11,100,EXP(-IRTree!AJ18*h)*((AK17+AK18)/2+cc*h))))</f>
        <v>40.150843462977463</v>
      </c>
      <c r="AK17" s="3">
        <f>IF(AK$11&gt;T,"",IF($A17&gt;AK$12,"",IF(T=AK$11,100,EXP(-IRTree!AK18*h)*((AL17+AL18)/2+cc*h))))</f>
        <v>44.942193465627568</v>
      </c>
      <c r="AL17" s="3">
        <f>IF(AL$11&gt;T,"",IF($A17&gt;AL$12,"",IF(T=AL$11,100,EXP(-IRTree!AL18*h)*((AM17+AM18)/2+cc*h))))</f>
        <v>51.036525131384238</v>
      </c>
      <c r="AM17" s="3">
        <f>IF(AM$11&gt;T,"",IF($A17&gt;AM$12,"",IF(T=AM$11,100,EXP(-IRTree!AM18*h)*((AN17+AN18)/2+cc*h))))</f>
        <v>59.490212020541996</v>
      </c>
      <c r="AN17" s="3">
        <f>IF(AN$11&gt;T,"",IF($A17&gt;AN$12,"",IF(T=AN$11,100,EXP(-IRTree!AN18*h)*((AO17+AO18)/2+cc*h))))</f>
        <v>70.09627364620431</v>
      </c>
      <c r="AO17" s="3">
        <f>IF(AO$11&gt;T,"",IF($A17&gt;AO$12,"",IF(T=AO$11,100,EXP(-IRTree!AO18*h)*((AP17+AP18)/2+cc*h))))</f>
        <v>83.360592819379903</v>
      </c>
      <c r="AP17" s="3">
        <f>IF(AP$11&gt;T,"",IF($A17&gt;AP$12,"",IF(T=AP$11,100,EXP(-IRTree!AP18*h)*((AQ17+AQ18)/2+cc*h))))</f>
        <v>100</v>
      </c>
      <c r="AQ17" s="3" t="str">
        <f>IF(AQ$11&gt;T,"",IF($A17&gt;AQ$12,"",IF(T=AQ$11,100,EXP(-IRTree!AQ18*h)*((AR17+AR18)/2+cc*h))))</f>
        <v/>
      </c>
      <c r="AR17" s="3" t="str">
        <f>IF(AR$11&gt;T,"",IF($A17&gt;AR$12,"",IF(T=AR$11,100,EXP(-IRTree!AR18*h)*((AS17+AS18)/2+cc*h))))</f>
        <v/>
      </c>
      <c r="AS17" s="3" t="str">
        <f>IF(AS$11&gt;T,"",IF($A17&gt;AS$12,"",IF(T=AS$11,100,EXP(-IRTree!AS18*h)*((AT17+AT18)/2+cc*h))))</f>
        <v/>
      </c>
      <c r="AT17" s="3" t="str">
        <f>IF(AT$11&gt;T,"",IF($A17&gt;AT$12,"",IF(T=AT$11,100,EXP(-IRTree!AT18*h)*((AU17+AU18)/2+cc*h))))</f>
        <v/>
      </c>
      <c r="AU17" s="3" t="str">
        <f>IF(AU$11&gt;T,"",IF($A17&gt;AU$12,"",IF(T=AU$11,100,EXP(-IRTree!AU18*h)*((AV17+AV18)/2+cc*h))))</f>
        <v/>
      </c>
      <c r="AV17" s="3" t="str">
        <f>IF(AV$11&gt;T,"",IF($A17&gt;AV$12,"",IF(T=AV$11,100,EXP(-IRTree!AV18*h)*((AW17+AW18)/2+cc*h))))</f>
        <v/>
      </c>
      <c r="AW17" s="3" t="str">
        <f>IF(AW$11&gt;T,"",IF($A17&gt;AW$12,"",IF(T=AW$11,100,EXP(-IRTree!AW18*h)*((AX17+AX18)/2+cc*h))))</f>
        <v/>
      </c>
      <c r="AX17" s="3" t="str">
        <f>IF(AX$11&gt;T,"",IF($A17&gt;AX$12,"",IF(T=AX$11,100,EXP(-IRTree!AX18*h)*((AY17+AY18)/2+cc*h))))</f>
        <v/>
      </c>
      <c r="AY17" s="3" t="str">
        <f>IF(AY$11&gt;T,"",IF($A17&gt;AY$12,"",IF(T=AY$11,100,EXP(-IRTree!AY18*h)*((AZ17+AZ18)/2+cc*h))))</f>
        <v/>
      </c>
      <c r="AZ17" s="3" t="str">
        <f>IF(AZ$11&gt;T,"",IF($A17&gt;AZ$12,"",IF(T=AZ$11,100,EXP(-IRTree!AZ18*h)*((BA17+BA18)/2+cc*h))))</f>
        <v/>
      </c>
      <c r="BA17" s="3" t="str">
        <f>IF(BA$11&gt;T,"",IF($A17&gt;BA$12,"",IF(T=BA$11,100,EXP(-IRTree!BA18*h)*((BB17+BB18)/2+cc*h))))</f>
        <v/>
      </c>
      <c r="BB17" s="3" t="str">
        <f>IF(BB$11&gt;T,"",IF($A17&gt;BB$12,"",IF(T=BB$11,100,EXP(-IRTree!BB18*h)*((BC17+BC18)/2+cc*h))))</f>
        <v/>
      </c>
      <c r="BC17" s="3" t="str">
        <f>IF(BC$11&gt;T,"",IF($A17&gt;BC$12,"",IF(T=BC$11,100,EXP(-IRTree!BC18*h)*((BD17+BD18)/2+cc*h))))</f>
        <v/>
      </c>
      <c r="BD17" s="3" t="str">
        <f>IF(BD$11&gt;T,"",IF($A17&gt;BD$12,"",IF(T=BD$11,100,EXP(-IRTree!BD18*h)*((BE17+BE18)/2+cc*h))))</f>
        <v/>
      </c>
      <c r="BE17" s="3" t="str">
        <f>IF(BE$11&gt;T,"",IF($A17&gt;BE$12,"",IF(T=BE$11,100,EXP(-IRTree!BE18*h)*((BF17+BF18)/2+cc*h))))</f>
        <v/>
      </c>
      <c r="BF17" s="3" t="str">
        <f>IF(BF$11&gt;T,"",IF($A17&gt;BF$12,"",IF(T=BF$11,100,EXP(-IRTree!BF18*h)*((BG17+BG18)/2+cc*h))))</f>
        <v/>
      </c>
      <c r="BG17" s="3" t="str">
        <f>IF(BG$11&gt;T,"",IF($A17&gt;BG$12,"",IF(T=BG$11,100,EXP(-IRTree!BG18*h)*((BH17+BH18)/2+cc*h))))</f>
        <v/>
      </c>
      <c r="BH17" s="3" t="str">
        <f>IF(BH$11&gt;T,"",IF($A17&gt;BH$12,"",IF(T=BH$11,100,EXP(-IRTree!BH18*h)*((BI17+BI18)/2+cc*h))))</f>
        <v/>
      </c>
      <c r="BI17" s="3" t="str">
        <f>IF(BI$11&gt;T,"",IF($A17&gt;BI$12,"",IF(T=BI$11,100,EXP(-IRTree!BI18*h)*((BJ17+BJ18)/2+cc*h))))</f>
        <v/>
      </c>
      <c r="BJ17" s="3" t="str">
        <f>IF(BJ$11&gt;T,"",IF($A17&gt;BJ$12,"",IF(T=BJ$11,100,EXP(-IRTree!BJ18*h)*((BK17+BK18)/2+cc*h))))</f>
        <v/>
      </c>
    </row>
    <row r="18" spans="1:62">
      <c r="A18" s="12">
        <f t="shared" si="2"/>
        <v>5</v>
      </c>
      <c r="B18" s="3" t="str">
        <f>IF(B$11&gt;T,"",IF($A18&gt;B$12,"",IF(T=B$11,100,EXP(-IRTree!B19*h)*((C18+C19)/2+cc*h))))</f>
        <v/>
      </c>
      <c r="C18" s="3" t="str">
        <f>IF(C$11&gt;T,"",IF($A18&gt;C$12,"",IF(T=C$11,100,EXP(-IRTree!C19*h)*((D18+D19)/2+cc*h))))</f>
        <v/>
      </c>
      <c r="D18" s="3" t="str">
        <f>IF(D$11&gt;T,"",IF($A18&gt;D$12,"",IF(T=D$11,100,EXP(-IRTree!D19*h)*((E18+E19)/2+cc*h))))</f>
        <v/>
      </c>
      <c r="E18" s="3" t="str">
        <f>IF(E$11&gt;T,"",IF($A18&gt;E$12,"",IF(T=E$11,100,EXP(-IRTree!E19*h)*((F18+F19)/2+cc*h))))</f>
        <v/>
      </c>
      <c r="F18" s="3" t="str">
        <f>IF(F$11&gt;T,"",IF($A18&gt;F$12,"",IF(T=F$11,100,EXP(-IRTree!F19*h)*((G18+G19)/2+cc*h))))</f>
        <v/>
      </c>
      <c r="G18" s="3">
        <f>IF(G$11&gt;T,"",IF($A18&gt;G$12,"",IF(T=G$11,100,EXP(-IRTree!G19*h)*((H18+H19)/2+cc*h))))</f>
        <v>78.970984514889381</v>
      </c>
      <c r="H18" s="3">
        <f>IF(H$11&gt;T,"",IF($A18&gt;H$12,"",IF(T=H$11,100,EXP(-IRTree!H19*h)*((I18+I19)/2+cc*h))))</f>
        <v>77.14764143879971</v>
      </c>
      <c r="I18" s="3">
        <f>IF(I$11&gt;T,"",IF($A18&gt;I$12,"",IF(T=I$11,100,EXP(-IRTree!I19*h)*((J18+J19)/2+cc*h))))</f>
        <v>75.225087473777307</v>
      </c>
      <c r="J18" s="3">
        <f>IF(J$11&gt;T,"",IF($A18&gt;J$12,"",IF(T=J$11,100,EXP(-IRTree!J19*h)*((K18+K19)/2+cc*h))))</f>
        <v>73.190934279190373</v>
      </c>
      <c r="K18" s="3">
        <f>IF(K$11&gt;T,"",IF($A18&gt;K$12,"",IF(T=K$11,100,EXP(-IRTree!K19*h)*((L18+L19)/2+cc*h))))</f>
        <v>71.09820809726402</v>
      </c>
      <c r="L18" s="3">
        <f>IF(L$11&gt;T,"",IF($A18&gt;L$12,"",IF(T=L$11,100,EXP(-IRTree!L19*h)*((M18+M19)/2+cc*h))))</f>
        <v>68.943675536900955</v>
      </c>
      <c r="M18" s="3">
        <f>IF(M$11&gt;T,"",IF($A18&gt;M$12,"",IF(T=M$11,100,EXP(-IRTree!M19*h)*((N18+N19)/2+cc*h))))</f>
        <v>66.750692902315294</v>
      </c>
      <c r="N18" s="3">
        <f>IF(N$11&gt;T,"",IF($A18&gt;N$12,"",IF(T=N$11,100,EXP(-IRTree!N19*h)*((O18+O19)/2+cc*h))))</f>
        <v>64.524308847739078</v>
      </c>
      <c r="O18" s="3">
        <f>IF(O$11&gt;T,"",IF($A18&gt;O$12,"",IF(T=O$11,100,EXP(-IRTree!O19*h)*((P18+P19)/2+cc*h))))</f>
        <v>62.265193630992137</v>
      </c>
      <c r="P18" s="3">
        <f>IF(P$11&gt;T,"",IF($A18&gt;P$12,"",IF(T=P$11,100,EXP(-IRTree!P19*h)*((Q18+Q19)/2+cc*h))))</f>
        <v>60.006319680201187</v>
      </c>
      <c r="Q18" s="3">
        <f>IF(Q$11&gt;T,"",IF($A18&gt;Q$12,"",IF(T=Q$11,100,EXP(-IRTree!Q19*h)*((R18+R19)/2+cc*h))))</f>
        <v>57.747259362974177</v>
      </c>
      <c r="R18" s="3">
        <f>IF(R$11&gt;T,"",IF($A18&gt;R$12,"",IF(T=R$11,100,EXP(-IRTree!R19*h)*((S18+S19)/2+cc*h))))</f>
        <v>55.544871491353341</v>
      </c>
      <c r="S18" s="3">
        <f>IF(S$11&gt;T,"",IF($A18&gt;S$12,"",IF(T=S$11,100,EXP(-IRTree!S19*h)*((T18+T19)/2+cc*h))))</f>
        <v>53.372902121045868</v>
      </c>
      <c r="T18" s="3">
        <f>IF(T$11&gt;T,"",IF($A18&gt;T$12,"",IF(T=T$11,100,EXP(-IRTree!T19*h)*((U18+U19)/2+cc*h))))</f>
        <v>51.255381978215837</v>
      </c>
      <c r="U18" s="3">
        <f>IF(U$11&gt;T,"",IF($A18&gt;U$12,"",IF(T=U$11,100,EXP(-IRTree!U19*h)*((V18+V19)/2+cc*h))))</f>
        <v>49.184920321271484</v>
      </c>
      <c r="V18" s="3">
        <f>IF(V$11&gt;T,"",IF($A18&gt;V$12,"",IF(T=V$11,100,EXP(-IRTree!V19*h)*((W18+W19)/2+cc*h))))</f>
        <v>47.217291224131884</v>
      </c>
      <c r="W18" s="3">
        <f>IF(W$11&gt;T,"",IF($A18&gt;W$12,"",IF(T=W$11,100,EXP(-IRTree!W19*h)*((X18+X19)/2+cc*h))))</f>
        <v>45.363739526370232</v>
      </c>
      <c r="X18" s="3">
        <f>IF(X$11&gt;T,"",IF($A18&gt;X$12,"",IF(T=X$11,100,EXP(-IRTree!X19*h)*((Y18+Y19)/2+cc*h))))</f>
        <v>43.692056194293599</v>
      </c>
      <c r="Y18" s="3">
        <f>IF(Y$11&gt;T,"",IF($A18&gt;Y$12,"",IF(T=Y$11,100,EXP(-IRTree!Y19*h)*((Z18+Z19)/2+cc*h))))</f>
        <v>42.10998100629547</v>
      </c>
      <c r="Z18" s="3">
        <f>IF(Z$11&gt;T,"",IF($A18&gt;Z$12,"",IF(T=Z$11,100,EXP(-IRTree!Z19*h)*((AA18+AA19)/2+cc*h))))</f>
        <v>40.755045205558453</v>
      </c>
      <c r="AA18" s="3">
        <f>IF(AA$11&gt;T,"",IF($A18&gt;AA$12,"",IF(T=AA$11,100,EXP(-IRTree!AA19*h)*((AB18+AB19)/2+cc*h))))</f>
        <v>39.593609928856822</v>
      </c>
      <c r="AB18" s="3">
        <f>IF(AB$11&gt;T,"",IF($A18&gt;AB$12,"",IF(T=AB$11,100,EXP(-IRTree!AB19*h)*((AC18+AC19)/2+cc*h))))</f>
        <v>38.632177906303014</v>
      </c>
      <c r="AC18" s="3">
        <f>IF(AC$11&gt;T,"",IF($A18&gt;AC$12,"",IF(T=AC$11,100,EXP(-IRTree!AC19*h)*((AD18+AD19)/2+cc*h))))</f>
        <v>37.995261628673376</v>
      </c>
      <c r="AD18" s="3">
        <f>IF(AD$11&gt;T,"",IF($A18&gt;AD$12,"",IF(T=AD$11,100,EXP(-IRTree!AD19*h)*((AE18+AE19)/2+cc*h))))</f>
        <v>37.662209694860962</v>
      </c>
      <c r="AE18" s="3">
        <f>IF(AE$11&gt;T,"",IF($A18&gt;AE$12,"",IF(T=AE$11,100,EXP(-IRTree!AE19*h)*((AF18+AF19)/2+cc*h))))</f>
        <v>37.666692462671172</v>
      </c>
      <c r="AF18" s="3">
        <f>IF(AF$11&gt;T,"",IF($A18&gt;AF$12,"",IF(T=AF$11,100,EXP(-IRTree!AF19*h)*((AG18+AG19)/2+cc*h))))</f>
        <v>38.129568280090233</v>
      </c>
      <c r="AG18" s="3">
        <f>IF(AG$11&gt;T,"",IF($A18&gt;AG$12,"",IF(T=AG$11,100,EXP(-IRTree!AG19*h)*((AH18+AH19)/2+cc*h))))</f>
        <v>39.180944292865647</v>
      </c>
      <c r="AH18" s="3">
        <f>IF(AH$11&gt;T,"",IF($A18&gt;AH$12,"",IF(T=AH$11,100,EXP(-IRTree!AH19*h)*((AI18+AI19)/2+cc*h))))</f>
        <v>40.872973454396437</v>
      </c>
      <c r="AI18" s="3">
        <f>IF(AI$11&gt;T,"",IF($A18&gt;AI$12,"",IF(T=AI$11,100,EXP(-IRTree!AI19*h)*((AJ18+AJ19)/2+cc*h))))</f>
        <v>43.471198273226371</v>
      </c>
      <c r="AJ18" s="3">
        <f>IF(AJ$11&gt;T,"",IF($A18&gt;AJ$12,"",IF(T=AJ$11,100,EXP(-IRTree!AJ19*h)*((AK18+AK19)/2+cc*h))))</f>
        <v>46.859889474346687</v>
      </c>
      <c r="AK18" s="3">
        <f>IF(AK$11&gt;T,"",IF($A18&gt;AK$12,"",IF(T=AK$11,100,EXP(-IRTree!AK19*h)*((AL18+AL19)/2+cc*h))))</f>
        <v>51.33589265365373</v>
      </c>
      <c r="AL18" s="3">
        <f>IF(AL$11&gt;T,"",IF($A18&gt;AL$12,"",IF(T=AL$11,100,EXP(-IRTree!AL19*h)*((AM18+AM19)/2+cc*h))))</f>
        <v>56.971068559556883</v>
      </c>
      <c r="AM18" s="3">
        <f>IF(AM$11&gt;T,"",IF($A18&gt;AM$12,"",IF(T=AM$11,100,EXP(-IRTree!AM19*h)*((AN18+AN19)/2+cc*h))))</f>
        <v>64.627185265825574</v>
      </c>
      <c r="AN18" s="3">
        <f>IF(AN$11&gt;T,"",IF($A18&gt;AN$12,"",IF(T=AN$11,100,EXP(-IRTree!AN19*h)*((AO18+AO19)/2+cc*h))))</f>
        <v>74.078300054435616</v>
      </c>
      <c r="AO18" s="3">
        <f>IF(AO$11&gt;T,"",IF($A18&gt;AO$12,"",IF(T=AO$11,100,EXP(-IRTree!AO19*h)*((AP18+AP19)/2+cc*h))))</f>
        <v>85.694647746785435</v>
      </c>
      <c r="AP18" s="3">
        <f>IF(AP$11&gt;T,"",IF($A18&gt;AP$12,"",IF(T=AP$11,100,EXP(-IRTree!AP19*h)*((AQ18+AQ19)/2+cc*h))))</f>
        <v>100</v>
      </c>
      <c r="AQ18" s="3" t="str">
        <f>IF(AQ$11&gt;T,"",IF($A18&gt;AQ$12,"",IF(T=AQ$11,100,EXP(-IRTree!AQ19*h)*((AR18+AR19)/2+cc*h))))</f>
        <v/>
      </c>
      <c r="AR18" s="3" t="str">
        <f>IF(AR$11&gt;T,"",IF($A18&gt;AR$12,"",IF(T=AR$11,100,EXP(-IRTree!AR19*h)*((AS18+AS19)/2+cc*h))))</f>
        <v/>
      </c>
      <c r="AS18" s="3" t="str">
        <f>IF(AS$11&gt;T,"",IF($A18&gt;AS$12,"",IF(T=AS$11,100,EXP(-IRTree!AS19*h)*((AT18+AT19)/2+cc*h))))</f>
        <v/>
      </c>
      <c r="AT18" s="3" t="str">
        <f>IF(AT$11&gt;T,"",IF($A18&gt;AT$12,"",IF(T=AT$11,100,EXP(-IRTree!AT19*h)*((AU18+AU19)/2+cc*h))))</f>
        <v/>
      </c>
      <c r="AU18" s="3" t="str">
        <f>IF(AU$11&gt;T,"",IF($A18&gt;AU$12,"",IF(T=AU$11,100,EXP(-IRTree!AU19*h)*((AV18+AV19)/2+cc*h))))</f>
        <v/>
      </c>
      <c r="AV18" s="3" t="str">
        <f>IF(AV$11&gt;T,"",IF($A18&gt;AV$12,"",IF(T=AV$11,100,EXP(-IRTree!AV19*h)*((AW18+AW19)/2+cc*h))))</f>
        <v/>
      </c>
      <c r="AW18" s="3" t="str">
        <f>IF(AW$11&gt;T,"",IF($A18&gt;AW$12,"",IF(T=AW$11,100,EXP(-IRTree!AW19*h)*((AX18+AX19)/2+cc*h))))</f>
        <v/>
      </c>
      <c r="AX18" s="3" t="str">
        <f>IF(AX$11&gt;T,"",IF($A18&gt;AX$12,"",IF(T=AX$11,100,EXP(-IRTree!AX19*h)*((AY18+AY19)/2+cc*h))))</f>
        <v/>
      </c>
      <c r="AY18" s="3" t="str">
        <f>IF(AY$11&gt;T,"",IF($A18&gt;AY$12,"",IF(T=AY$11,100,EXP(-IRTree!AY19*h)*((AZ18+AZ19)/2+cc*h))))</f>
        <v/>
      </c>
      <c r="AZ18" s="3" t="str">
        <f>IF(AZ$11&gt;T,"",IF($A18&gt;AZ$12,"",IF(T=AZ$11,100,EXP(-IRTree!AZ19*h)*((BA18+BA19)/2+cc*h))))</f>
        <v/>
      </c>
      <c r="BA18" s="3" t="str">
        <f>IF(BA$11&gt;T,"",IF($A18&gt;BA$12,"",IF(T=BA$11,100,EXP(-IRTree!BA19*h)*((BB18+BB19)/2+cc*h))))</f>
        <v/>
      </c>
      <c r="BB18" s="3" t="str">
        <f>IF(BB$11&gt;T,"",IF($A18&gt;BB$12,"",IF(T=BB$11,100,EXP(-IRTree!BB19*h)*((BC18+BC19)/2+cc*h))))</f>
        <v/>
      </c>
      <c r="BC18" s="3" t="str">
        <f>IF(BC$11&gt;T,"",IF($A18&gt;BC$12,"",IF(T=BC$11,100,EXP(-IRTree!BC19*h)*((BD18+BD19)/2+cc*h))))</f>
        <v/>
      </c>
      <c r="BD18" s="3" t="str">
        <f>IF(BD$11&gt;T,"",IF($A18&gt;BD$12,"",IF(T=BD$11,100,EXP(-IRTree!BD19*h)*((BE18+BE19)/2+cc*h))))</f>
        <v/>
      </c>
      <c r="BE18" s="3" t="str">
        <f>IF(BE$11&gt;T,"",IF($A18&gt;BE$12,"",IF(T=BE$11,100,EXP(-IRTree!BE19*h)*((BF18+BF19)/2+cc*h))))</f>
        <v/>
      </c>
      <c r="BF18" s="3" t="str">
        <f>IF(BF$11&gt;T,"",IF($A18&gt;BF$12,"",IF(T=BF$11,100,EXP(-IRTree!BF19*h)*((BG18+BG19)/2+cc*h))))</f>
        <v/>
      </c>
      <c r="BG18" s="3" t="str">
        <f>IF(BG$11&gt;T,"",IF($A18&gt;BG$12,"",IF(T=BG$11,100,EXP(-IRTree!BG19*h)*((BH18+BH19)/2+cc*h))))</f>
        <v/>
      </c>
      <c r="BH18" s="3" t="str">
        <f>IF(BH$11&gt;T,"",IF($A18&gt;BH$12,"",IF(T=BH$11,100,EXP(-IRTree!BH19*h)*((BI18+BI19)/2+cc*h))))</f>
        <v/>
      </c>
      <c r="BI18" s="3" t="str">
        <f>IF(BI$11&gt;T,"",IF($A18&gt;BI$12,"",IF(T=BI$11,100,EXP(-IRTree!BI19*h)*((BJ18+BJ19)/2+cc*h))))</f>
        <v/>
      </c>
      <c r="BJ18" s="3" t="str">
        <f>IF(BJ$11&gt;T,"",IF($A18&gt;BJ$12,"",IF(T=BJ$11,100,EXP(-IRTree!BJ19*h)*((BK18+BK19)/2+cc*h))))</f>
        <v/>
      </c>
    </row>
    <row r="19" spans="1:62">
      <c r="A19" s="12">
        <f t="shared" si="2"/>
        <v>6</v>
      </c>
      <c r="B19" s="3" t="str">
        <f>IF(B$11&gt;T,"",IF($A19&gt;B$12,"",IF(T=B$11,100,EXP(-IRTree!B20*h)*((C19+C20)/2+cc*h))))</f>
        <v/>
      </c>
      <c r="C19" s="3" t="str">
        <f>IF(C$11&gt;T,"",IF($A19&gt;C$12,"",IF(T=C$11,100,EXP(-IRTree!C20*h)*((D19+D20)/2+cc*h))))</f>
        <v/>
      </c>
      <c r="D19" s="3" t="str">
        <f>IF(D$11&gt;T,"",IF($A19&gt;D$12,"",IF(T=D$11,100,EXP(-IRTree!D20*h)*((E19+E20)/2+cc*h))))</f>
        <v/>
      </c>
      <c r="E19" s="3" t="str">
        <f>IF(E$11&gt;T,"",IF($A19&gt;E$12,"",IF(T=E$11,100,EXP(-IRTree!E20*h)*((F19+F20)/2+cc*h))))</f>
        <v/>
      </c>
      <c r="F19" s="3" t="str">
        <f>IF(F$11&gt;T,"",IF($A19&gt;F$12,"",IF(T=F$11,100,EXP(-IRTree!F20*h)*((G19+G20)/2+cc*h))))</f>
        <v/>
      </c>
      <c r="G19" s="3" t="str">
        <f>IF(G$11&gt;T,"",IF($A19&gt;G$12,"",IF(T=G$11,100,EXP(-IRTree!G20*h)*((H19+H20)/2+cc*h))))</f>
        <v/>
      </c>
      <c r="H19" s="3">
        <f>IF(H$11&gt;T,"",IF($A19&gt;H$12,"",IF(T=H$11,100,EXP(-IRTree!H20*h)*((I19+I20)/2+cc*h))))</f>
        <v>81.358891935111473</v>
      </c>
      <c r="I19" s="3">
        <f>IF(I$11&gt;T,"",IF($A19&gt;I$12,"",IF(T=I$11,100,EXP(-IRTree!I20*h)*((J19+J20)/2+cc*h))))</f>
        <v>79.732093488929252</v>
      </c>
      <c r="J19" s="3">
        <f>IF(J$11&gt;T,"",IF($A19&gt;J$12,"",IF(T=J$11,100,EXP(-IRTree!J20*h)*((K19+K20)/2+cc*h))))</f>
        <v>77.989114130338365</v>
      </c>
      <c r="K19" s="3">
        <f>IF(K$11&gt;T,"",IF($A19&gt;K$12,"",IF(T=K$11,100,EXP(-IRTree!K20*h)*((L19+L20)/2+cc*h))))</f>
        <v>76.184574064926693</v>
      </c>
      <c r="L19" s="3">
        <f>IF(L$11&gt;T,"",IF($A19&gt;L$12,"",IF(T=L$11,100,EXP(-IRTree!L20*h)*((M19+M20)/2+cc*h))))</f>
        <v>74.306858098537091</v>
      </c>
      <c r="M19" s="3">
        <f>IF(M$11&gt;T,"",IF($A19&gt;M$12,"",IF(T=M$11,100,EXP(-IRTree!M20*h)*((N19+N20)/2+cc*h))))</f>
        <v>72.382884106346836</v>
      </c>
      <c r="N19" s="3">
        <f>IF(N$11&gt;T,"",IF($A19&gt;N$12,"",IF(T=N$11,100,EXP(-IRTree!N20*h)*((O19+O20)/2+cc*h))))</f>
        <v>70.416689142173965</v>
      </c>
      <c r="O19" s="3">
        <f>IF(O$11&gt;T,"",IF($A19&gt;O$12,"",IF(T=O$11,100,EXP(-IRTree!O20*h)*((P19+P20)/2+cc*h))))</f>
        <v>68.414021784477171</v>
      </c>
      <c r="P19" s="3">
        <f>IF(P$11&gt;T,"",IF($A19&gt;P$12,"",IF(T=P$11,100,EXP(-IRTree!P20*h)*((Q19+Q20)/2+cc*h))))</f>
        <v>66.377544195408632</v>
      </c>
      <c r="Q19" s="3">
        <f>IF(Q$11&gt;T,"",IF($A19&gt;Q$12,"",IF(T=Q$11,100,EXP(-IRTree!Q20*h)*((R19+R20)/2+cc*h))))</f>
        <v>64.329927500376556</v>
      </c>
      <c r="R19" s="3">
        <f>IF(R$11&gt;T,"",IF($A19&gt;R$12,"",IF(T=R$11,100,EXP(-IRTree!R20*h)*((S19+S20)/2+cc*h))))</f>
        <v>62.299058371927643</v>
      </c>
      <c r="S19" s="3">
        <f>IF(S$11&gt;T,"",IF($A19&gt;S$12,"",IF(T=S$11,100,EXP(-IRTree!S20*h)*((T19+T20)/2+cc*h))))</f>
        <v>60.287676326462766</v>
      </c>
      <c r="T19" s="3">
        <f>IF(T$11&gt;T,"",IF($A19&gt;T$12,"",IF(T=T$11,100,EXP(-IRTree!T20*h)*((U19+U20)/2+cc*h))))</f>
        <v>58.3115837072556</v>
      </c>
      <c r="U19" s="3">
        <f>IF(U$11&gt;T,"",IF($A19&gt;U$12,"",IF(T=U$11,100,EXP(-IRTree!U20*h)*((V19+V20)/2+cc*h))))</f>
        <v>56.370704391671332</v>
      </c>
      <c r="V19" s="3">
        <f>IF(V$11&gt;T,"",IF($A19&gt;V$12,"",IF(T=V$11,100,EXP(-IRTree!V20*h)*((W19+W20)/2+cc*h))))</f>
        <v>54.504872611545892</v>
      </c>
      <c r="W19" s="3">
        <f>IF(W$11&gt;T,"",IF($A19&gt;W$12,"",IF(T=W$11,100,EXP(-IRTree!W20*h)*((X19+X20)/2+cc*h))))</f>
        <v>52.729125646632681</v>
      </c>
      <c r="X19" s="3">
        <f>IF(X$11&gt;T,"",IF($A19&gt;X$12,"",IF(T=X$11,100,EXP(-IRTree!X20*h)*((Y19+Y20)/2+cc*h))))</f>
        <v>51.099201791623777</v>
      </c>
      <c r="Y19" s="3">
        <f>IF(Y$11&gt;T,"",IF($A19&gt;Y$12,"",IF(T=Y$11,100,EXP(-IRTree!Y20*h)*((Z19+Z20)/2+cc*h))))</f>
        <v>49.556048473260468</v>
      </c>
      <c r="Z19" s="3">
        <f>IF(Z$11&gt;T,"",IF($A19&gt;Z$12,"",IF(T=Z$11,100,EXP(-IRTree!Z20*h)*((AA19+AA20)/2+cc*h))))</f>
        <v>48.208436403270028</v>
      </c>
      <c r="AA19" s="3">
        <f>IF(AA$11&gt;T,"",IF($A19&gt;AA$12,"",IF(T=AA$11,100,EXP(-IRTree!AA20*h)*((AB19+AB20)/2+cc*h))))</f>
        <v>47.039862041923072</v>
      </c>
      <c r="AB19" s="3">
        <f>IF(AB$11&gt;T,"",IF($A19&gt;AB$12,"",IF(T=AB$11,100,EXP(-IRTree!AB20*h)*((AC19+AC20)/2+cc*h))))</f>
        <v>46.062633097032084</v>
      </c>
      <c r="AC19" s="3">
        <f>IF(AC$11&gt;T,"",IF($A19&gt;AC$12,"",IF(T=AC$11,100,EXP(-IRTree!AC20*h)*((AD19+AD20)/2+cc*h))))</f>
        <v>45.385087045244632</v>
      </c>
      <c r="AD19" s="3">
        <f>IF(AD$11&gt;T,"",IF($A19&gt;AD$12,"",IF(T=AD$11,100,EXP(-IRTree!AD20*h)*((AE19+AE20)/2+cc*h))))</f>
        <v>45.000046376572136</v>
      </c>
      <c r="AE19" s="3">
        <f>IF(AE$11&gt;T,"",IF($A19&gt;AE$12,"",IF(T=AE$11,100,EXP(-IRTree!AE20*h)*((AF19+AF20)/2+cc*h))))</f>
        <v>44.943599105549083</v>
      </c>
      <c r="AF19" s="3">
        <f>IF(AF$11&gt;T,"",IF($A19&gt;AF$12,"",IF(T=AF$11,100,EXP(-IRTree!AF20*h)*((AG19+AG20)/2+cc*h))))</f>
        <v>45.324884459081041</v>
      </c>
      <c r="AG19" s="3">
        <f>IF(AG$11&gt;T,"",IF($A19&gt;AG$12,"",IF(T=AG$11,100,EXP(-IRTree!AG20*h)*((AH19+AH20)/2+cc*h))))</f>
        <v>46.260970495917235</v>
      </c>
      <c r="AH19" s="3">
        <f>IF(AH$11&gt;T,"",IF($A19&gt;AH$12,"",IF(T=AH$11,100,EXP(-IRTree!AH20*h)*((AI19+AI20)/2+cc*h))))</f>
        <v>47.801781163625009</v>
      </c>
      <c r="AI19" s="3">
        <f>IF(AI$11&gt;T,"",IF($A19&gt;AI$12,"",IF(T=AI$11,100,EXP(-IRTree!AI20*h)*((AJ19+AJ20)/2+cc*h))))</f>
        <v>50.173231762451003</v>
      </c>
      <c r="AJ19" s="3">
        <f>IF(AJ$11&gt;T,"",IF($A19&gt;AJ$12,"",IF(T=AJ$11,100,EXP(-IRTree!AJ20*h)*((AK19+AK20)/2+cc*h))))</f>
        <v>53.276244669829836</v>
      </c>
      <c r="AK19" s="3">
        <f>IF(AK$11&gt;T,"",IF($A19&gt;AK$12,"",IF(T=AK$11,100,EXP(-IRTree!AK20*h)*((AL19+AL20)/2+cc*h))))</f>
        <v>57.354934161316116</v>
      </c>
      <c r="AL19" s="3">
        <f>IF(AL$11&gt;T,"",IF($A19&gt;AL$12,"",IF(T=AL$11,100,EXP(-IRTree!AL20*h)*((AM19+AM20)/2+cc*h))))</f>
        <v>62.46020601756738</v>
      </c>
      <c r="AM19" s="3">
        <f>IF(AM$11&gt;T,"",IF($A19&gt;AM$12,"",IF(T=AM$11,100,EXP(-IRTree!AM20*h)*((AN19+AN20)/2+cc*h))))</f>
        <v>69.285734529445918</v>
      </c>
      <c r="AN19" s="3">
        <f>IF(AN$11&gt;T,"",IF($A19&gt;AN$12,"",IF(T=AN$11,100,EXP(-IRTree!AN20*h)*((AO19+AO20)/2+cc*h))))</f>
        <v>77.616503000419144</v>
      </c>
      <c r="AO19" s="3">
        <f>IF(AO$11&gt;T,"",IF($A19&gt;AO$12,"",IF(T=AO$11,100,EXP(-IRTree!AO20*h)*((AP19+AP20)/2+cc*h))))</f>
        <v>87.725706588779119</v>
      </c>
      <c r="AP19" s="3">
        <f>IF(AP$11&gt;T,"",IF($A19&gt;AP$12,"",IF(T=AP$11,100,EXP(-IRTree!AP20*h)*((AQ19+AQ20)/2+cc*h))))</f>
        <v>100</v>
      </c>
      <c r="AQ19" s="3" t="str">
        <f>IF(AQ$11&gt;T,"",IF($A19&gt;AQ$12,"",IF(T=AQ$11,100,EXP(-IRTree!AQ20*h)*((AR19+AR20)/2+cc*h))))</f>
        <v/>
      </c>
      <c r="AR19" s="3" t="str">
        <f>IF(AR$11&gt;T,"",IF($A19&gt;AR$12,"",IF(T=AR$11,100,EXP(-IRTree!AR20*h)*((AS19+AS20)/2+cc*h))))</f>
        <v/>
      </c>
      <c r="AS19" s="3" t="str">
        <f>IF(AS$11&gt;T,"",IF($A19&gt;AS$12,"",IF(T=AS$11,100,EXP(-IRTree!AS20*h)*((AT19+AT20)/2+cc*h))))</f>
        <v/>
      </c>
      <c r="AT19" s="3" t="str">
        <f>IF(AT$11&gt;T,"",IF($A19&gt;AT$12,"",IF(T=AT$11,100,EXP(-IRTree!AT20*h)*((AU19+AU20)/2+cc*h))))</f>
        <v/>
      </c>
      <c r="AU19" s="3" t="str">
        <f>IF(AU$11&gt;T,"",IF($A19&gt;AU$12,"",IF(T=AU$11,100,EXP(-IRTree!AU20*h)*((AV19+AV20)/2+cc*h))))</f>
        <v/>
      </c>
      <c r="AV19" s="3" t="str">
        <f>IF(AV$11&gt;T,"",IF($A19&gt;AV$12,"",IF(T=AV$11,100,EXP(-IRTree!AV20*h)*((AW19+AW20)/2+cc*h))))</f>
        <v/>
      </c>
      <c r="AW19" s="3" t="str">
        <f>IF(AW$11&gt;T,"",IF($A19&gt;AW$12,"",IF(T=AW$11,100,EXP(-IRTree!AW20*h)*((AX19+AX20)/2+cc*h))))</f>
        <v/>
      </c>
      <c r="AX19" s="3" t="str">
        <f>IF(AX$11&gt;T,"",IF($A19&gt;AX$12,"",IF(T=AX$11,100,EXP(-IRTree!AX20*h)*((AY19+AY20)/2+cc*h))))</f>
        <v/>
      </c>
      <c r="AY19" s="3" t="str">
        <f>IF(AY$11&gt;T,"",IF($A19&gt;AY$12,"",IF(T=AY$11,100,EXP(-IRTree!AY20*h)*((AZ19+AZ20)/2+cc*h))))</f>
        <v/>
      </c>
      <c r="AZ19" s="3" t="str">
        <f>IF(AZ$11&gt;T,"",IF($A19&gt;AZ$12,"",IF(T=AZ$11,100,EXP(-IRTree!AZ20*h)*((BA19+BA20)/2+cc*h))))</f>
        <v/>
      </c>
      <c r="BA19" s="3" t="str">
        <f>IF(BA$11&gt;T,"",IF($A19&gt;BA$12,"",IF(T=BA$11,100,EXP(-IRTree!BA20*h)*((BB19+BB20)/2+cc*h))))</f>
        <v/>
      </c>
      <c r="BB19" s="3" t="str">
        <f>IF(BB$11&gt;T,"",IF($A19&gt;BB$12,"",IF(T=BB$11,100,EXP(-IRTree!BB20*h)*((BC19+BC20)/2+cc*h))))</f>
        <v/>
      </c>
      <c r="BC19" s="3" t="str">
        <f>IF(BC$11&gt;T,"",IF($A19&gt;BC$12,"",IF(T=BC$11,100,EXP(-IRTree!BC20*h)*((BD19+BD20)/2+cc*h))))</f>
        <v/>
      </c>
      <c r="BD19" s="3" t="str">
        <f>IF(BD$11&gt;T,"",IF($A19&gt;BD$12,"",IF(T=BD$11,100,EXP(-IRTree!BD20*h)*((BE19+BE20)/2+cc*h))))</f>
        <v/>
      </c>
      <c r="BE19" s="3" t="str">
        <f>IF(BE$11&gt;T,"",IF($A19&gt;BE$12,"",IF(T=BE$11,100,EXP(-IRTree!BE20*h)*((BF19+BF20)/2+cc*h))))</f>
        <v/>
      </c>
      <c r="BF19" s="3" t="str">
        <f>IF(BF$11&gt;T,"",IF($A19&gt;BF$12,"",IF(T=BF$11,100,EXP(-IRTree!BF20*h)*((BG19+BG20)/2+cc*h))))</f>
        <v/>
      </c>
      <c r="BG19" s="3" t="str">
        <f>IF(BG$11&gt;T,"",IF($A19&gt;BG$12,"",IF(T=BG$11,100,EXP(-IRTree!BG20*h)*((BH19+BH20)/2+cc*h))))</f>
        <v/>
      </c>
      <c r="BH19" s="3" t="str">
        <f>IF(BH$11&gt;T,"",IF($A19&gt;BH$12,"",IF(T=BH$11,100,EXP(-IRTree!BH20*h)*((BI19+BI20)/2+cc*h))))</f>
        <v/>
      </c>
      <c r="BI19" s="3" t="str">
        <f>IF(BI$11&gt;T,"",IF($A19&gt;BI$12,"",IF(T=BI$11,100,EXP(-IRTree!BI20*h)*((BJ19+BJ20)/2+cc*h))))</f>
        <v/>
      </c>
      <c r="BJ19" s="3" t="str">
        <f>IF(BJ$11&gt;T,"",IF($A19&gt;BJ$12,"",IF(T=BJ$11,100,EXP(-IRTree!BJ20*h)*((BK19+BK20)/2+cc*h))))</f>
        <v/>
      </c>
    </row>
    <row r="20" spans="1:62">
      <c r="A20" s="12">
        <f t="shared" si="2"/>
        <v>7</v>
      </c>
      <c r="B20" s="3" t="str">
        <f>IF(B$11&gt;T,"",IF($A20&gt;B$12,"",IF(T=B$11,100,EXP(-IRTree!B21*h)*((C20+C21)/2+cc*h))))</f>
        <v/>
      </c>
      <c r="C20" s="3" t="str">
        <f>IF(C$11&gt;T,"",IF($A20&gt;C$12,"",IF(T=C$11,100,EXP(-IRTree!C21*h)*((D20+D21)/2+cc*h))))</f>
        <v/>
      </c>
      <c r="D20" s="3" t="str">
        <f>IF(D$11&gt;T,"",IF($A20&gt;D$12,"",IF(T=D$11,100,EXP(-IRTree!D21*h)*((E20+E21)/2+cc*h))))</f>
        <v/>
      </c>
      <c r="E20" s="3" t="str">
        <f>IF(E$11&gt;T,"",IF($A20&gt;E$12,"",IF(T=E$11,100,EXP(-IRTree!E21*h)*((F20+F21)/2+cc*h))))</f>
        <v/>
      </c>
      <c r="F20" s="3" t="str">
        <f>IF(F$11&gt;T,"",IF($A20&gt;F$12,"",IF(T=F$11,100,EXP(-IRTree!F21*h)*((G20+G21)/2+cc*h))))</f>
        <v/>
      </c>
      <c r="G20" s="3" t="str">
        <f>IF(G$11&gt;T,"",IF($A20&gt;G$12,"",IF(T=G$11,100,EXP(-IRTree!G21*h)*((H20+H21)/2+cc*h))))</f>
        <v/>
      </c>
      <c r="H20" s="3" t="str">
        <f>IF(H$11&gt;T,"",IF($A20&gt;H$12,"",IF(T=H$11,100,EXP(-IRTree!H21*h)*((I20+I21)/2+cc*h))))</f>
        <v/>
      </c>
      <c r="I20" s="3">
        <f>IF(I$11&gt;T,"",IF($A20&gt;I$12,"",IF(T=I$11,100,EXP(-IRTree!I21*h)*((J20+J21)/2+cc*h))))</f>
        <v>83.498637448350408</v>
      </c>
      <c r="J20" s="3">
        <f>IF(J$11&gt;T,"",IF($A20&gt;J$12,"",IF(T=J$11,100,EXP(-IRTree!J21*h)*((K20+K21)/2+cc*h))))</f>
        <v>82.025513565361919</v>
      </c>
      <c r="K20" s="3">
        <f>IF(K$11&gt;T,"",IF($A20&gt;K$12,"",IF(T=K$11,100,EXP(-IRTree!K21*h)*((L20+L21)/2+cc*h))))</f>
        <v>80.491835983601689</v>
      </c>
      <c r="L20" s="3">
        <f>IF(L$11&gt;T,"",IF($A20&gt;L$12,"",IF(T=L$11,100,EXP(-IRTree!L21*h)*((M20+M21)/2+cc*h))))</f>
        <v>78.881582240570921</v>
      </c>
      <c r="M20" s="3">
        <f>IF(M$11&gt;T,"",IF($A20&gt;M$12,"",IF(T=M$11,100,EXP(-IRTree!M21*h)*((N20+N21)/2+cc*h))))</f>
        <v>77.22199504477183</v>
      </c>
      <c r="N20" s="3">
        <f>IF(N$11&gt;T,"",IF($A20&gt;N$12,"",IF(T=N$11,100,EXP(-IRTree!N21*h)*((O20+O21)/2+cc*h))))</f>
        <v>75.516284416795102</v>
      </c>
      <c r="O20" s="3">
        <f>IF(O$11&gt;T,"",IF($A20&gt;O$12,"",IF(T=O$11,100,EXP(-IRTree!O21*h)*((P20+P21)/2+cc*h))))</f>
        <v>73.773411599225511</v>
      </c>
      <c r="P20" s="3">
        <f>IF(P$11&gt;T,"",IF($A20&gt;P$12,"",IF(T=P$11,100,EXP(-IRTree!P21*h)*((Q20+Q21)/2+cc*h))))</f>
        <v>71.975260039728255</v>
      </c>
      <c r="Q20" s="3">
        <f>IF(Q$11&gt;T,"",IF($A20&gt;Q$12,"",IF(T=Q$11,100,EXP(-IRTree!Q21*h)*((R20+R21)/2+cc*h))))</f>
        <v>70.158786729514162</v>
      </c>
      <c r="R20" s="3">
        <f>IF(R$11&gt;T,"",IF($A20&gt;R$12,"",IF(T=R$11,100,EXP(-IRTree!R21*h)*((S20+S21)/2+cc*h))))</f>
        <v>68.330243477466126</v>
      </c>
      <c r="S20" s="3">
        <f>IF(S$11&gt;T,"",IF($A20&gt;S$12,"",IF(T=S$11,100,EXP(-IRTree!S21*h)*((T20+T21)/2+cc*h))))</f>
        <v>66.512277181086432</v>
      </c>
      <c r="T20" s="3">
        <f>IF(T$11&gt;T,"",IF($A20&gt;T$12,"",IF(T=T$11,100,EXP(-IRTree!T21*h)*((U20+U21)/2+cc*h))))</f>
        <v>64.714195908020031</v>
      </c>
      <c r="U20" s="3">
        <f>IF(U$11&gt;T,"",IF($A20&gt;U$12,"",IF(T=U$11,100,EXP(-IRTree!U21*h)*((V20+V21)/2+cc*h))))</f>
        <v>62.941405714275739</v>
      </c>
      <c r="V20" s="3">
        <f>IF(V$11&gt;T,"",IF($A20&gt;V$12,"",IF(T=V$11,100,EXP(-IRTree!V21*h)*((W20+W21)/2+cc*h))))</f>
        <v>61.219825797077029</v>
      </c>
      <c r="W20" s="3">
        <f>IF(W$11&gt;T,"",IF($A20&gt;W$12,"",IF(T=W$11,100,EXP(-IRTree!W21*h)*((X20+X21)/2+cc*h))))</f>
        <v>59.566452958994461</v>
      </c>
      <c r="X20" s="3">
        <f>IF(X$11&gt;T,"",IF($A20&gt;X$12,"",IF(T=X$11,100,EXP(-IRTree!X21*h)*((Y20+Y21)/2+cc*h))))</f>
        <v>58.024847416598348</v>
      </c>
      <c r="Y20" s="3">
        <f>IF(Y$11&gt;T,"",IF($A20&gt;Y$12,"",IF(T=Y$11,100,EXP(-IRTree!Y21*h)*((Z20+Z21)/2+cc*h))))</f>
        <v>56.564563522722054</v>
      </c>
      <c r="Z20" s="3">
        <f>IF(Z$11&gt;T,"",IF($A20&gt;Z$12,"",IF(T=Z$11,100,EXP(-IRTree!Z21*h)*((AA20+AA21)/2+cc*h))))</f>
        <v>55.266593343300244</v>
      </c>
      <c r="AA20" s="3">
        <f>IF(AA$11&gt;T,"",IF($A20&gt;AA$12,"",IF(T=AA$11,100,EXP(-IRTree!AA21*h)*((AB20+AB21)/2+cc*h))))</f>
        <v>54.128850104015562</v>
      </c>
      <c r="AB20" s="3">
        <f>IF(AB$11&gt;T,"",IF($A20&gt;AB$12,"",IF(T=AB$11,100,EXP(-IRTree!AB21*h)*((AC20+AC21)/2+cc*h))))</f>
        <v>53.167962195538657</v>
      </c>
      <c r="AC20" s="3">
        <f>IF(AC$11&gt;T,"",IF($A20&gt;AC$12,"",IF(T=AC$11,100,EXP(-IRTree!AC21*h)*((AD20+AD21)/2+cc*h))))</f>
        <v>52.474378755929983</v>
      </c>
      <c r="AD20" s="3">
        <f>IF(AD$11&gt;T,"",IF($A20&gt;AD$12,"",IF(T=AD$11,100,EXP(-IRTree!AD21*h)*((AE20+AE21)/2+cc*h))))</f>
        <v>52.052768302946809</v>
      </c>
      <c r="AE20" s="3">
        <f>IF(AE$11&gt;T,"",IF($A20&gt;AE$12,"",IF(T=AE$11,100,EXP(-IRTree!AE21*h)*((AF20+AF21)/2+cc*h))))</f>
        <v>51.940341055127931</v>
      </c>
      <c r="AF20" s="3">
        <f>IF(AF$11&gt;T,"",IF($A20&gt;AF$12,"",IF(T=AF$11,100,EXP(-IRTree!AF21*h)*((AG20+AG21)/2+cc*h))))</f>
        <v>52.232890824963974</v>
      </c>
      <c r="AG20" s="3">
        <f>IF(AG$11&gt;T,"",IF($A20&gt;AG$12,"",IF(T=AG$11,100,EXP(-IRTree!AG21*h)*((AH20+AH21)/2+cc*h))))</f>
        <v>53.033626841830845</v>
      </c>
      <c r="AH20" s="3">
        <f>IF(AH$11&gt;T,"",IF($A20&gt;AH$12,"",IF(T=AH$11,100,EXP(-IRTree!AH21*h)*((AI20+AI21)/2+cc*h))))</f>
        <v>54.391381078743045</v>
      </c>
      <c r="AI20" s="3">
        <f>IF(AI$11&gt;T,"",IF($A20&gt;AI$12,"",IF(T=AI$11,100,EXP(-IRTree!AI21*h)*((AJ20+AJ21)/2+cc*h))))</f>
        <v>56.494977203867876</v>
      </c>
      <c r="AJ20" s="3">
        <f>IF(AJ$11&gt;T,"",IF($A20&gt;AJ$12,"",IF(T=AJ$11,100,EXP(-IRTree!AJ21*h)*((AK20+AK21)/2+cc*h))))</f>
        <v>59.267555084816273</v>
      </c>
      <c r="AK20" s="3">
        <f>IF(AK$11&gt;T,"",IF($A20&gt;AK$12,"",IF(T=AK$11,100,EXP(-IRTree!AK21*h)*((AL20+AL21)/2+cc*h))))</f>
        <v>62.907650009034953</v>
      </c>
      <c r="AL20" s="3">
        <f>IF(AL$11&gt;T,"",IF($A20&gt;AL$12,"",IF(T=AL$11,100,EXP(-IRTree!AL21*h)*((AM20+AM21)/2+cc*h))))</f>
        <v>67.454416308830503</v>
      </c>
      <c r="AM20" s="3">
        <f>IF(AM$11&gt;T,"",IF($A20&gt;AM$12,"",IF(T=AM$11,100,EXP(-IRTree!AM21*h)*((AN20+AN21)/2+cc*h))))</f>
        <v>73.459504884992057</v>
      </c>
      <c r="AN20" s="3">
        <f>IF(AN$11&gt;T,"",IF($A20&gt;AN$12,"",IF(T=AN$11,100,EXP(-IRTree!AN21*h)*((AO20+AO21)/2+cc*h))))</f>
        <v>80.735583955316926</v>
      </c>
      <c r="AO20" s="3">
        <f>IF(AO$11&gt;T,"",IF($A20&gt;AO$12,"",IF(T=AO$11,100,EXP(-IRTree!AO21*h)*((AP20+AP21)/2+cc*h))))</f>
        <v>89.48627682167492</v>
      </c>
      <c r="AP20" s="3">
        <f>IF(AP$11&gt;T,"",IF($A20&gt;AP$12,"",IF(T=AP$11,100,EXP(-IRTree!AP21*h)*((AQ20+AQ21)/2+cc*h))))</f>
        <v>100</v>
      </c>
      <c r="AQ20" s="3" t="str">
        <f>IF(AQ$11&gt;T,"",IF($A20&gt;AQ$12,"",IF(T=AQ$11,100,EXP(-IRTree!AQ21*h)*((AR20+AR21)/2+cc*h))))</f>
        <v/>
      </c>
      <c r="AR20" s="3" t="str">
        <f>IF(AR$11&gt;T,"",IF($A20&gt;AR$12,"",IF(T=AR$11,100,EXP(-IRTree!AR21*h)*((AS20+AS21)/2+cc*h))))</f>
        <v/>
      </c>
      <c r="AS20" s="3" t="str">
        <f>IF(AS$11&gt;T,"",IF($A20&gt;AS$12,"",IF(T=AS$11,100,EXP(-IRTree!AS21*h)*((AT20+AT21)/2+cc*h))))</f>
        <v/>
      </c>
      <c r="AT20" s="3" t="str">
        <f>IF(AT$11&gt;T,"",IF($A20&gt;AT$12,"",IF(T=AT$11,100,EXP(-IRTree!AT21*h)*((AU20+AU21)/2+cc*h))))</f>
        <v/>
      </c>
      <c r="AU20" s="3" t="str">
        <f>IF(AU$11&gt;T,"",IF($A20&gt;AU$12,"",IF(T=AU$11,100,EXP(-IRTree!AU21*h)*((AV20+AV21)/2+cc*h))))</f>
        <v/>
      </c>
      <c r="AV20" s="3" t="str">
        <f>IF(AV$11&gt;T,"",IF($A20&gt;AV$12,"",IF(T=AV$11,100,EXP(-IRTree!AV21*h)*((AW20+AW21)/2+cc*h))))</f>
        <v/>
      </c>
      <c r="AW20" s="3" t="str">
        <f>IF(AW$11&gt;T,"",IF($A20&gt;AW$12,"",IF(T=AW$11,100,EXP(-IRTree!AW21*h)*((AX20+AX21)/2+cc*h))))</f>
        <v/>
      </c>
      <c r="AX20" s="3" t="str">
        <f>IF(AX$11&gt;T,"",IF($A20&gt;AX$12,"",IF(T=AX$11,100,EXP(-IRTree!AX21*h)*((AY20+AY21)/2+cc*h))))</f>
        <v/>
      </c>
      <c r="AY20" s="3" t="str">
        <f>IF(AY$11&gt;T,"",IF($A20&gt;AY$12,"",IF(T=AY$11,100,EXP(-IRTree!AY21*h)*((AZ20+AZ21)/2+cc*h))))</f>
        <v/>
      </c>
      <c r="AZ20" s="3" t="str">
        <f>IF(AZ$11&gt;T,"",IF($A20&gt;AZ$12,"",IF(T=AZ$11,100,EXP(-IRTree!AZ21*h)*((BA20+BA21)/2+cc*h))))</f>
        <v/>
      </c>
      <c r="BA20" s="3" t="str">
        <f>IF(BA$11&gt;T,"",IF($A20&gt;BA$12,"",IF(T=BA$11,100,EXP(-IRTree!BA21*h)*((BB20+BB21)/2+cc*h))))</f>
        <v/>
      </c>
      <c r="BB20" s="3" t="str">
        <f>IF(BB$11&gt;T,"",IF($A20&gt;BB$12,"",IF(T=BB$11,100,EXP(-IRTree!BB21*h)*((BC20+BC21)/2+cc*h))))</f>
        <v/>
      </c>
      <c r="BC20" s="3" t="str">
        <f>IF(BC$11&gt;T,"",IF($A20&gt;BC$12,"",IF(T=BC$11,100,EXP(-IRTree!BC21*h)*((BD20+BD21)/2+cc*h))))</f>
        <v/>
      </c>
      <c r="BD20" s="3" t="str">
        <f>IF(BD$11&gt;T,"",IF($A20&gt;BD$12,"",IF(T=BD$11,100,EXP(-IRTree!BD21*h)*((BE20+BE21)/2+cc*h))))</f>
        <v/>
      </c>
      <c r="BE20" s="3" t="str">
        <f>IF(BE$11&gt;T,"",IF($A20&gt;BE$12,"",IF(T=BE$11,100,EXP(-IRTree!BE21*h)*((BF20+BF21)/2+cc*h))))</f>
        <v/>
      </c>
      <c r="BF20" s="3" t="str">
        <f>IF(BF$11&gt;T,"",IF($A20&gt;BF$12,"",IF(T=BF$11,100,EXP(-IRTree!BF21*h)*((BG20+BG21)/2+cc*h))))</f>
        <v/>
      </c>
      <c r="BG20" s="3" t="str">
        <f>IF(BG$11&gt;T,"",IF($A20&gt;BG$12,"",IF(T=BG$11,100,EXP(-IRTree!BG21*h)*((BH20+BH21)/2+cc*h))))</f>
        <v/>
      </c>
      <c r="BH20" s="3" t="str">
        <f>IF(BH$11&gt;T,"",IF($A20&gt;BH$12,"",IF(T=BH$11,100,EXP(-IRTree!BH21*h)*((BI20+BI21)/2+cc*h))))</f>
        <v/>
      </c>
      <c r="BI20" s="3" t="str">
        <f>IF(BI$11&gt;T,"",IF($A20&gt;BI$12,"",IF(T=BI$11,100,EXP(-IRTree!BI21*h)*((BJ20+BJ21)/2+cc*h))))</f>
        <v/>
      </c>
      <c r="BJ20" s="3" t="str">
        <f>IF(BJ$11&gt;T,"",IF($A20&gt;BJ$12,"",IF(T=BJ$11,100,EXP(-IRTree!BJ21*h)*((BK20+BK21)/2+cc*h))))</f>
        <v/>
      </c>
    </row>
    <row r="21" spans="1:62">
      <c r="A21" s="12">
        <f t="shared" si="2"/>
        <v>8</v>
      </c>
      <c r="B21" s="3" t="str">
        <f>IF(B$11&gt;T,"",IF($A21&gt;B$12,"",IF(T=B$11,100,EXP(-IRTree!B22*h)*((C21+C22)/2+cc*h))))</f>
        <v/>
      </c>
      <c r="C21" s="3" t="str">
        <f>IF(C$11&gt;T,"",IF($A21&gt;C$12,"",IF(T=C$11,100,EXP(-IRTree!C22*h)*((D21+D22)/2+cc*h))))</f>
        <v/>
      </c>
      <c r="D21" s="3" t="str">
        <f>IF(D$11&gt;T,"",IF($A21&gt;D$12,"",IF(T=D$11,100,EXP(-IRTree!D22*h)*((E21+E22)/2+cc*h))))</f>
        <v/>
      </c>
      <c r="E21" s="3" t="str">
        <f>IF(E$11&gt;T,"",IF($A21&gt;E$12,"",IF(T=E$11,100,EXP(-IRTree!E22*h)*((F21+F22)/2+cc*h))))</f>
        <v/>
      </c>
      <c r="F21" s="3" t="str">
        <f>IF(F$11&gt;T,"",IF($A21&gt;F$12,"",IF(T=F$11,100,EXP(-IRTree!F22*h)*((G21+G22)/2+cc*h))))</f>
        <v/>
      </c>
      <c r="G21" s="3" t="str">
        <f>IF(G$11&gt;T,"",IF($A21&gt;G$12,"",IF(T=G$11,100,EXP(-IRTree!G22*h)*((H21+H22)/2+cc*h))))</f>
        <v/>
      </c>
      <c r="H21" s="3" t="str">
        <f>IF(H$11&gt;T,"",IF($A21&gt;H$12,"",IF(T=H$11,100,EXP(-IRTree!H22*h)*((I21+I22)/2+cc*h))))</f>
        <v/>
      </c>
      <c r="I21" s="3" t="str">
        <f>IF(I$11&gt;T,"",IF($A21&gt;I$12,"",IF(T=I$11,100,EXP(-IRTree!I22*h)*((J21+J22)/2+cc*h))))</f>
        <v/>
      </c>
      <c r="J21" s="3">
        <f>IF(J$11&gt;T,"",IF($A21&gt;J$12,"",IF(T=J$11,100,EXP(-IRTree!J22*h)*((K21+K22)/2+cc*h))))</f>
        <v>85.381999949221296</v>
      </c>
      <c r="K21" s="3">
        <f>IF(K$11&gt;T,"",IF($A21&gt;K$12,"",IF(T=K$11,100,EXP(-IRTree!K22*h)*((L21+L22)/2+cc*h))))</f>
        <v>84.093375247543563</v>
      </c>
      <c r="L21" s="3">
        <f>IF(L$11&gt;T,"",IF($A21&gt;L$12,"",IF(T=L$11,100,EXP(-IRTree!L22*h)*((M21+M22)/2+cc*h))))</f>
        <v>82.730127281868263</v>
      </c>
      <c r="M21" s="3">
        <f>IF(M$11&gt;T,"",IF($A21&gt;M$12,"",IF(T=M$11,100,EXP(-IRTree!M22*h)*((N21+N22)/2+cc*h))))</f>
        <v>81.317844190987756</v>
      </c>
      <c r="N21" s="3">
        <f>IF(N$11&gt;T,"",IF($A21&gt;N$12,"",IF(T=N$11,100,EXP(-IRTree!N22*h)*((O21+O22)/2+cc*h))))</f>
        <v>79.859074155704846</v>
      </c>
      <c r="O21" s="3">
        <f>IF(O$11&gt;T,"",IF($A21&gt;O$12,"",IF(T=O$11,100,EXP(-IRTree!O22*h)*((P21+P22)/2+cc*h))))</f>
        <v>78.364491128830281</v>
      </c>
      <c r="P21" s="3">
        <f>IF(P$11&gt;T,"",IF($A21&gt;P$12,"",IF(T=P$11,100,EXP(-IRTree!P22*h)*((Q21+Q22)/2+cc*h))))</f>
        <v>76.803170654972376</v>
      </c>
      <c r="Q21" s="3">
        <f>IF(Q$11&gt;T,"",IF($A21&gt;Q$12,"",IF(T=Q$11,100,EXP(-IRTree!Q22*h)*((R21+R22)/2+cc*h))))</f>
        <v>75.219432897315272</v>
      </c>
      <c r="R21" s="3">
        <f>IF(R$11&gt;T,"",IF($A21&gt;R$12,"",IF(T=R$11,100,EXP(-IRTree!R22*h)*((S21+S22)/2+cc*h))))</f>
        <v>73.604598163094138</v>
      </c>
      <c r="S21" s="3">
        <f>IF(S$11&gt;T,"",IF($A21&gt;S$12,"",IF(T=S$11,100,EXP(-IRTree!S22*h)*((T21+T22)/2+cc*h))))</f>
        <v>71.993498549275259</v>
      </c>
      <c r="T21" s="3">
        <f>IF(T$11&gt;T,"",IF($A21&gt;T$12,"",IF(T=T$11,100,EXP(-IRTree!T22*h)*((U21+U22)/2+cc*h))))</f>
        <v>70.390627452642576</v>
      </c>
      <c r="U21" s="3">
        <f>IF(U$11&gt;T,"",IF($A21&gt;U$12,"",IF(T=U$11,100,EXP(-IRTree!U22*h)*((V21+V22)/2+cc*h))))</f>
        <v>68.805119828751785</v>
      </c>
      <c r="V21" s="3">
        <f>IF(V$11&gt;T,"",IF($A21&gt;V$12,"",IF(T=V$11,100,EXP(-IRTree!V22*h)*((W21+W22)/2+cc*h))))</f>
        <v>67.251578812403352</v>
      </c>
      <c r="W21" s="3">
        <f>IF(W$11&gt;T,"",IF($A21&gt;W$12,"",IF(T=W$11,100,EXP(-IRTree!W22*h)*((X21+X22)/2+cc*h))))</f>
        <v>65.747516676162817</v>
      </c>
      <c r="X21" s="3">
        <f>IF(X$11&gt;T,"",IF($A21&gt;X$12,"",IF(T=X$11,100,EXP(-IRTree!X22*h)*((Y21+Y22)/2+cc*h))))</f>
        <v>64.325294600005307</v>
      </c>
      <c r="Y21" s="3">
        <f>IF(Y$11&gt;T,"",IF($A21&gt;Y$12,"",IF(T=Y$11,100,EXP(-IRTree!Y22*h)*((Z21+Z22)/2+cc*h))))</f>
        <v>62.977238451666544</v>
      </c>
      <c r="Z21" s="3">
        <f>IF(Z$11&gt;T,"",IF($A21&gt;Z$12,"",IF(T=Z$11,100,EXP(-IRTree!Z22*h)*((AA21+AA22)/2+cc*h))))</f>
        <v>61.759658549241479</v>
      </c>
      <c r="AA21" s="3">
        <f>IF(AA$11&gt;T,"",IF($A21&gt;AA$12,"",IF(T=AA$11,100,EXP(-IRTree!AA22*h)*((AB21+AB22)/2+cc*h))))</f>
        <v>60.68156692972358</v>
      </c>
      <c r="AB21" s="3">
        <f>IF(AB$11&gt;T,"",IF($A21&gt;AB$12,"",IF(T=AB$11,100,EXP(-IRTree!AB22*h)*((AC21+AC22)/2+cc*h))))</f>
        <v>59.762352679630929</v>
      </c>
      <c r="AC21" s="3">
        <f>IF(AC$11&gt;T,"",IF($A21&gt;AC$12,"",IF(T=AC$11,100,EXP(-IRTree!AC22*h)*((AD21+AD22)/2+cc*h))))</f>
        <v>59.074766592731891</v>
      </c>
      <c r="AD21" s="3">
        <f>IF(AD$11&gt;T,"",IF($A21&gt;AD$12,"",IF(T=AD$11,100,EXP(-IRTree!AD22*h)*((AE21+AE22)/2+cc*h))))</f>
        <v>58.63291882137532</v>
      </c>
      <c r="AE21" s="3">
        <f>IF(AE$11&gt;T,"",IF($A21&gt;AE$12,"",IF(T=AE$11,100,EXP(-IRTree!AE22*h)*((AF21+AF22)/2+cc*h))))</f>
        <v>58.47391079948185</v>
      </c>
      <c r="AF21" s="3">
        <f>IF(AF$11&gt;T,"",IF($A21&gt;AF$12,"",IF(T=AF$11,100,EXP(-IRTree!AF22*h)*((AG21+AG22)/2+cc*h))))</f>
        <v>58.679882337984715</v>
      </c>
      <c r="AG21" s="3">
        <f>IF(AG$11&gt;T,"",IF($A21&gt;AG$12,"",IF(T=AG$11,100,EXP(-IRTree!AG22*h)*((AH21+AH22)/2+cc*h))))</f>
        <v>59.340355619514455</v>
      </c>
      <c r="AH21" s="3">
        <f>IF(AH$11&gt;T,"",IF($A21&gt;AH$12,"",IF(T=AH$11,100,EXP(-IRTree!AH22*h)*((AI21+AI22)/2+cc*h))))</f>
        <v>60.503514282984341</v>
      </c>
      <c r="AI21" s="3">
        <f>IF(AI$11&gt;T,"",IF($A21&gt;AI$12,"",IF(T=AI$11,100,EXP(-IRTree!AI22*h)*((AJ21+AJ22)/2+cc*h))))</f>
        <v>62.325026367396937</v>
      </c>
      <c r="AJ21" s="3">
        <f>IF(AJ$11&gt;T,"",IF($A21&gt;AJ$12,"",IF(T=AJ$11,100,EXP(-IRTree!AJ22*h)*((AK21+AK22)/2+cc*h))))</f>
        <v>64.751916418993602</v>
      </c>
      <c r="AK21" s="3">
        <f>IF(AK$11&gt;T,"",IF($A21&gt;AK$12,"",IF(T=AK$11,100,EXP(-IRTree!AK22*h)*((AL21+AL22)/2+cc*h))))</f>
        <v>67.944448789882458</v>
      </c>
      <c r="AL21" s="3">
        <f>IF(AL$11&gt;T,"",IF($A21&gt;AL$12,"",IF(T=AL$11,100,EXP(-IRTree!AL22*h)*((AM21+AM22)/2+cc*h))))</f>
        <v>71.936209643629155</v>
      </c>
      <c r="AM21" s="3">
        <f>IF(AM$11&gt;T,"",IF($A21&gt;AM$12,"",IF(T=AM$11,100,EXP(-IRTree!AM22*h)*((AN21+AN22)/2+cc*h))))</f>
        <v>77.161055163632696</v>
      </c>
      <c r="AN21" s="3">
        <f>IF(AN$11&gt;T,"",IF($A21&gt;AN$12,"",IF(T=AN$11,100,EXP(-IRTree!AN22*h)*((AO21+AO22)/2+cc*h))))</f>
        <v>83.46689342434496</v>
      </c>
      <c r="AO21" s="3">
        <f>IF(AO$11&gt;T,"",IF($A21&gt;AO$12,"",IF(T=AO$11,100,EXP(-IRTree!AO22*h)*((AP21+AP22)/2+cc*h))))</f>
        <v>91.007379324312566</v>
      </c>
      <c r="AP21" s="3">
        <f>IF(AP$11&gt;T,"",IF($A21&gt;AP$12,"",IF(T=AP$11,100,EXP(-IRTree!AP22*h)*((AQ21+AQ22)/2+cc*h))))</f>
        <v>100</v>
      </c>
      <c r="AQ21" s="3" t="str">
        <f>IF(AQ$11&gt;T,"",IF($A21&gt;AQ$12,"",IF(T=AQ$11,100,EXP(-IRTree!AQ22*h)*((AR21+AR22)/2+cc*h))))</f>
        <v/>
      </c>
      <c r="AR21" s="3" t="str">
        <f>IF(AR$11&gt;T,"",IF($A21&gt;AR$12,"",IF(T=AR$11,100,EXP(-IRTree!AR22*h)*((AS21+AS22)/2+cc*h))))</f>
        <v/>
      </c>
      <c r="AS21" s="3" t="str">
        <f>IF(AS$11&gt;T,"",IF($A21&gt;AS$12,"",IF(T=AS$11,100,EXP(-IRTree!AS22*h)*((AT21+AT22)/2+cc*h))))</f>
        <v/>
      </c>
      <c r="AT21" s="3" t="str">
        <f>IF(AT$11&gt;T,"",IF($A21&gt;AT$12,"",IF(T=AT$11,100,EXP(-IRTree!AT22*h)*((AU21+AU22)/2+cc*h))))</f>
        <v/>
      </c>
      <c r="AU21" s="3" t="str">
        <f>IF(AU$11&gt;T,"",IF($A21&gt;AU$12,"",IF(T=AU$11,100,EXP(-IRTree!AU22*h)*((AV21+AV22)/2+cc*h))))</f>
        <v/>
      </c>
      <c r="AV21" s="3" t="str">
        <f>IF(AV$11&gt;T,"",IF($A21&gt;AV$12,"",IF(T=AV$11,100,EXP(-IRTree!AV22*h)*((AW21+AW22)/2+cc*h))))</f>
        <v/>
      </c>
      <c r="AW21" s="3" t="str">
        <f>IF(AW$11&gt;T,"",IF($A21&gt;AW$12,"",IF(T=AW$11,100,EXP(-IRTree!AW22*h)*((AX21+AX22)/2+cc*h))))</f>
        <v/>
      </c>
      <c r="AX21" s="3" t="str">
        <f>IF(AX$11&gt;T,"",IF($A21&gt;AX$12,"",IF(T=AX$11,100,EXP(-IRTree!AX22*h)*((AY21+AY22)/2+cc*h))))</f>
        <v/>
      </c>
      <c r="AY21" s="3" t="str">
        <f>IF(AY$11&gt;T,"",IF($A21&gt;AY$12,"",IF(T=AY$11,100,EXP(-IRTree!AY22*h)*((AZ21+AZ22)/2+cc*h))))</f>
        <v/>
      </c>
      <c r="AZ21" s="3" t="str">
        <f>IF(AZ$11&gt;T,"",IF($A21&gt;AZ$12,"",IF(T=AZ$11,100,EXP(-IRTree!AZ22*h)*((BA21+BA22)/2+cc*h))))</f>
        <v/>
      </c>
      <c r="BA21" s="3" t="str">
        <f>IF(BA$11&gt;T,"",IF($A21&gt;BA$12,"",IF(T=BA$11,100,EXP(-IRTree!BA22*h)*((BB21+BB22)/2+cc*h))))</f>
        <v/>
      </c>
      <c r="BB21" s="3" t="str">
        <f>IF(BB$11&gt;T,"",IF($A21&gt;BB$12,"",IF(T=BB$11,100,EXP(-IRTree!BB22*h)*((BC21+BC22)/2+cc*h))))</f>
        <v/>
      </c>
      <c r="BC21" s="3" t="str">
        <f>IF(BC$11&gt;T,"",IF($A21&gt;BC$12,"",IF(T=BC$11,100,EXP(-IRTree!BC22*h)*((BD21+BD22)/2+cc*h))))</f>
        <v/>
      </c>
      <c r="BD21" s="3" t="str">
        <f>IF(BD$11&gt;T,"",IF($A21&gt;BD$12,"",IF(T=BD$11,100,EXP(-IRTree!BD22*h)*((BE21+BE22)/2+cc*h))))</f>
        <v/>
      </c>
      <c r="BE21" s="3" t="str">
        <f>IF(BE$11&gt;T,"",IF($A21&gt;BE$12,"",IF(T=BE$11,100,EXP(-IRTree!BE22*h)*((BF21+BF22)/2+cc*h))))</f>
        <v/>
      </c>
      <c r="BF21" s="3" t="str">
        <f>IF(BF$11&gt;T,"",IF($A21&gt;BF$12,"",IF(T=BF$11,100,EXP(-IRTree!BF22*h)*((BG21+BG22)/2+cc*h))))</f>
        <v/>
      </c>
      <c r="BG21" s="3" t="str">
        <f>IF(BG$11&gt;T,"",IF($A21&gt;BG$12,"",IF(T=BG$11,100,EXP(-IRTree!BG22*h)*((BH21+BH22)/2+cc*h))))</f>
        <v/>
      </c>
      <c r="BH21" s="3" t="str">
        <f>IF(BH$11&gt;T,"",IF($A21&gt;BH$12,"",IF(T=BH$11,100,EXP(-IRTree!BH22*h)*((BI21+BI22)/2+cc*h))))</f>
        <v/>
      </c>
      <c r="BI21" s="3" t="str">
        <f>IF(BI$11&gt;T,"",IF($A21&gt;BI$12,"",IF(T=BI$11,100,EXP(-IRTree!BI22*h)*((BJ21+BJ22)/2+cc*h))))</f>
        <v/>
      </c>
      <c r="BJ21" s="3" t="str">
        <f>IF(BJ$11&gt;T,"",IF($A21&gt;BJ$12,"",IF(T=BJ$11,100,EXP(-IRTree!BJ22*h)*((BK21+BK22)/2+cc*h))))</f>
        <v/>
      </c>
    </row>
    <row r="22" spans="1:62">
      <c r="A22" s="12">
        <f t="shared" si="2"/>
        <v>9</v>
      </c>
      <c r="B22" s="3" t="str">
        <f>IF(B$11&gt;T,"",IF($A22&gt;B$12,"",IF(T=B$11,100,EXP(-IRTree!B23*h)*((C22+C23)/2+cc*h))))</f>
        <v/>
      </c>
      <c r="C22" s="3" t="str">
        <f>IF(C$11&gt;T,"",IF($A22&gt;C$12,"",IF(T=C$11,100,EXP(-IRTree!C23*h)*((D22+D23)/2+cc*h))))</f>
        <v/>
      </c>
      <c r="D22" s="3" t="str">
        <f>IF(D$11&gt;T,"",IF($A22&gt;D$12,"",IF(T=D$11,100,EXP(-IRTree!D23*h)*((E22+E23)/2+cc*h))))</f>
        <v/>
      </c>
      <c r="E22" s="3" t="str">
        <f>IF(E$11&gt;T,"",IF($A22&gt;E$12,"",IF(T=E$11,100,EXP(-IRTree!E23*h)*((F22+F23)/2+cc*h))))</f>
        <v/>
      </c>
      <c r="F22" s="3" t="str">
        <f>IF(F$11&gt;T,"",IF($A22&gt;F$12,"",IF(T=F$11,100,EXP(-IRTree!F23*h)*((G22+G23)/2+cc*h))))</f>
        <v/>
      </c>
      <c r="G22" s="3" t="str">
        <f>IF(G$11&gt;T,"",IF($A22&gt;G$12,"",IF(T=G$11,100,EXP(-IRTree!G23*h)*((H22+H23)/2+cc*h))))</f>
        <v/>
      </c>
      <c r="H22" s="3" t="str">
        <f>IF(H$11&gt;T,"",IF($A22&gt;H$12,"",IF(T=H$11,100,EXP(-IRTree!H23*h)*((I22+I23)/2+cc*h))))</f>
        <v/>
      </c>
      <c r="I22" s="3" t="str">
        <f>IF(I$11&gt;T,"",IF($A22&gt;I$12,"",IF(T=I$11,100,EXP(-IRTree!I23*h)*((J22+J23)/2+cc*h))))</f>
        <v/>
      </c>
      <c r="J22" s="3" t="str">
        <f>IF(J$11&gt;T,"",IF($A22&gt;J$12,"",IF(T=J$11,100,EXP(-IRTree!J23*h)*((K22+K23)/2+cc*h))))</f>
        <v/>
      </c>
      <c r="K22" s="3">
        <f>IF(K$11&gt;T,"",IF($A22&gt;K$12,"",IF(T=K$11,100,EXP(-IRTree!K23*h)*((L22+L23)/2+cc*h))))</f>
        <v>87.075189062562302</v>
      </c>
      <c r="L22" s="3">
        <f>IF(L$11&gt;T,"",IF($A22&gt;L$12,"",IF(T=L$11,100,EXP(-IRTree!L23*h)*((M22+M23)/2+cc*h))))</f>
        <v>85.932774604219262</v>
      </c>
      <c r="M22" s="3">
        <f>IF(M$11&gt;T,"",IF($A22&gt;M$12,"",IF(T=M$11,100,EXP(-IRTree!M23*h)*((N22+N23)/2+cc*h))))</f>
        <v>84.743824086934239</v>
      </c>
      <c r="N22" s="3">
        <f>IF(N$11&gt;T,"",IF($A22&gt;N$12,"",IF(T=N$11,100,EXP(-IRTree!N23*h)*((O22+O23)/2+cc*h))))</f>
        <v>83.510360417444844</v>
      </c>
      <c r="O22" s="3">
        <f>IF(O$11&gt;T,"",IF($A22&gt;O$12,"",IF(T=O$11,100,EXP(-IRTree!O23*h)*((P22+P23)/2+cc*h))))</f>
        <v>82.243651460305372</v>
      </c>
      <c r="P22" s="3">
        <f>IF(P$11&gt;T,"",IF($A22&gt;P$12,"",IF(T=P$11,100,EXP(-IRTree!P23*h)*((Q22+Q23)/2+cc*h))))</f>
        <v>80.906110196390472</v>
      </c>
      <c r="Q22" s="3">
        <f>IF(Q$11&gt;T,"",IF($A22&gt;Q$12,"",IF(T=Q$11,100,EXP(-IRTree!Q23*h)*((R22+R23)/2+cc*h))))</f>
        <v>79.544389848985304</v>
      </c>
      <c r="R22" s="3">
        <f>IF(R$11&gt;T,"",IF($A22&gt;R$12,"",IF(T=R$11,100,EXP(-IRTree!R23*h)*((S22+S23)/2+cc*h))))</f>
        <v>78.140434340780104</v>
      </c>
      <c r="S22" s="3">
        <f>IF(S$11&gt;T,"",IF($A22&gt;S$12,"",IF(T=S$11,100,EXP(-IRTree!S23*h)*((T22+T23)/2+cc*h))))</f>
        <v>76.735243854628266</v>
      </c>
      <c r="T22" s="3">
        <f>IF(T$11&gt;T,"",IF($A22&gt;T$12,"",IF(T=T$11,100,EXP(-IRTree!T23*h)*((U22+U23)/2+cc*h))))</f>
        <v>75.32995482986145</v>
      </c>
      <c r="U22" s="3">
        <f>IF(U$11&gt;T,"",IF($A22&gt;U$12,"",IF(T=U$11,100,EXP(-IRTree!U23*h)*((V22+V23)/2+cc*h))))</f>
        <v>73.935925754895962</v>
      </c>
      <c r="V22" s="3">
        <f>IF(V$11&gt;T,"",IF($A22&gt;V$12,"",IF(T=V$11,100,EXP(-IRTree!V23*h)*((W22+W23)/2+cc*h))))</f>
        <v>72.559110852188638</v>
      </c>
      <c r="W22" s="3">
        <f>IF(W$11&gt;T,"",IF($A22&gt;W$12,"",IF(T=W$11,100,EXP(-IRTree!W23*h)*((X22+X23)/2+cc*h))))</f>
        <v>71.216509636783812</v>
      </c>
      <c r="X22" s="3">
        <f>IF(X$11&gt;T,"",IF($A22&gt;X$12,"",IF(T=X$11,100,EXP(-IRTree!X23*h)*((Y22+Y23)/2+cc*h))))</f>
        <v>69.930867676609353</v>
      </c>
      <c r="Y22" s="3">
        <f>IF(Y$11&gt;T,"",IF($A22&gt;Y$12,"",IF(T=Y$11,100,EXP(-IRTree!Y23*h)*((Z22+Z23)/2+cc*h))))</f>
        <v>68.711340022413324</v>
      </c>
      <c r="Z22" s="3">
        <f>IF(Z$11&gt;T,"",IF($A22&gt;Z$12,"",IF(T=Z$11,100,EXP(-IRTree!Z23*h)*((AA22+AA23)/2+cc*h))))</f>
        <v>67.593684211393651</v>
      </c>
      <c r="AA22" s="3">
        <f>IF(AA$11&gt;T,"",IF($A22&gt;AA$12,"",IF(T=AA$11,100,EXP(-IRTree!AA23*h)*((AB22+AB23)/2+cc*h))))</f>
        <v>66.594707850170209</v>
      </c>
      <c r="AB22" s="3">
        <f>IF(AB$11&gt;T,"",IF($A22&gt;AB$12,"",IF(T=AB$11,100,EXP(-IRTree!AB23*h)*((AC22+AC23)/2+cc*h))))</f>
        <v>65.73514553326693</v>
      </c>
      <c r="AC22" s="3">
        <f>IF(AC$11&gt;T,"",IF($A22&gt;AC$12,"",IF(T=AC$11,100,EXP(-IRTree!AC23*h)*((AD22+AD23)/2+cc*h))))</f>
        <v>65.07150082189365</v>
      </c>
      <c r="AD22" s="3">
        <f>IF(AD$11&gt;T,"",IF($A22&gt;AD$12,"",IF(T=AD$11,100,EXP(-IRTree!AD23*h)*((AE22+AE23)/2+cc*h))))</f>
        <v>64.624692591794826</v>
      </c>
      <c r="AE22" s="3">
        <f>IF(AE$11&gt;T,"",IF($A22&gt;AE$12,"",IF(T=AE$11,100,EXP(-IRTree!AE23*h)*((AF22+AF23)/2+cc*h))))</f>
        <v>64.430662590180503</v>
      </c>
      <c r="AF22" s="3">
        <f>IF(AF$11&gt;T,"",IF($A22&gt;AF$12,"",IF(T=AF$11,100,EXP(-IRTree!AF23*h)*((AG22+AG23)/2+cc*h))))</f>
        <v>64.55849830933694</v>
      </c>
      <c r="AG22" s="3">
        <f>IF(AG$11&gt;T,"",IF($A22&gt;AG$12,"",IF(T=AG$11,100,EXP(-IRTree!AG23*h)*((AH22+AH23)/2+cc*h))))</f>
        <v>65.084835215223293</v>
      </c>
      <c r="AH22" s="3">
        <f>IF(AH$11&gt;T,"",IF($A22&gt;AH$12,"",IF(T=AH$11,100,EXP(-IRTree!AH23*h)*((AI22+AI23)/2+cc*h))))</f>
        <v>66.057102219737288</v>
      </c>
      <c r="AI22" s="3">
        <f>IF(AI$11&gt;T,"",IF($A22&gt;AI$12,"",IF(T=AI$11,100,EXP(-IRTree!AI23*h)*((AJ22+AJ23)/2+cc*h))))</f>
        <v>67.602277447776089</v>
      </c>
      <c r="AJ22" s="3">
        <f>IF(AJ$11&gt;T,"",IF($A22&gt;AJ$12,"",IF(T=AJ$11,100,EXP(-IRTree!AJ23*h)*((AK22+AK23)/2+cc*h))))</f>
        <v>69.690139887948064</v>
      </c>
      <c r="AK22" s="3">
        <f>IF(AK$11&gt;T,"",IF($A22&gt;AK$12,"",IF(T=AK$11,100,EXP(-IRTree!AK23*h)*((AL22+AL23)/2+cc*h))))</f>
        <v>72.449509530163411</v>
      </c>
      <c r="AL22" s="3">
        <f>IF(AL$11&gt;T,"",IF($A22&gt;AL$12,"",IF(T=AL$11,100,EXP(-IRTree!AL23*h)*((AM22+AM23)/2+cc*h))))</f>
        <v>75.912185335889419</v>
      </c>
      <c r="AM22" s="3">
        <f>IF(AM$11&gt;T,"",IF($A22&gt;AM$12,"",IF(T=AM$11,100,EXP(-IRTree!AM23*h)*((AN22+AN23)/2+cc*h))))</f>
        <v>80.41585797951484</v>
      </c>
      <c r="AN22" s="3">
        <f>IF(AN$11&gt;T,"",IF($A22&gt;AN$12,"",IF(T=AN$11,100,EXP(-IRTree!AN23*h)*((AO22+AO23)/2+cc*h))))</f>
        <v>85.845198175904258</v>
      </c>
      <c r="AO22" s="3">
        <f>IF(AO$11&gt;T,"",IF($A22&gt;AO$12,"",IF(T=AO$11,100,EXP(-IRTree!AO23*h)*((AP22+AP23)/2+cc*h))))</f>
        <v>92.317930890276145</v>
      </c>
      <c r="AP22" s="3">
        <f>IF(AP$11&gt;T,"",IF($A22&gt;AP$12,"",IF(T=AP$11,100,EXP(-IRTree!AP23*h)*((AQ22+AQ23)/2+cc*h))))</f>
        <v>100</v>
      </c>
      <c r="AQ22" s="3" t="str">
        <f>IF(AQ$11&gt;T,"",IF($A22&gt;AQ$12,"",IF(T=AQ$11,100,EXP(-IRTree!AQ23*h)*((AR22+AR23)/2+cc*h))))</f>
        <v/>
      </c>
      <c r="AR22" s="3" t="str">
        <f>IF(AR$11&gt;T,"",IF($A22&gt;AR$12,"",IF(T=AR$11,100,EXP(-IRTree!AR23*h)*((AS22+AS23)/2+cc*h))))</f>
        <v/>
      </c>
      <c r="AS22" s="3" t="str">
        <f>IF(AS$11&gt;T,"",IF($A22&gt;AS$12,"",IF(T=AS$11,100,EXP(-IRTree!AS23*h)*((AT22+AT23)/2+cc*h))))</f>
        <v/>
      </c>
      <c r="AT22" s="3" t="str">
        <f>IF(AT$11&gt;T,"",IF($A22&gt;AT$12,"",IF(T=AT$11,100,EXP(-IRTree!AT23*h)*((AU22+AU23)/2+cc*h))))</f>
        <v/>
      </c>
      <c r="AU22" s="3" t="str">
        <f>IF(AU$11&gt;T,"",IF($A22&gt;AU$12,"",IF(T=AU$11,100,EXP(-IRTree!AU23*h)*((AV22+AV23)/2+cc*h))))</f>
        <v/>
      </c>
      <c r="AV22" s="3" t="str">
        <f>IF(AV$11&gt;T,"",IF($A22&gt;AV$12,"",IF(T=AV$11,100,EXP(-IRTree!AV23*h)*((AW22+AW23)/2+cc*h))))</f>
        <v/>
      </c>
      <c r="AW22" s="3" t="str">
        <f>IF(AW$11&gt;T,"",IF($A22&gt;AW$12,"",IF(T=AW$11,100,EXP(-IRTree!AW23*h)*((AX22+AX23)/2+cc*h))))</f>
        <v/>
      </c>
      <c r="AX22" s="3" t="str">
        <f>IF(AX$11&gt;T,"",IF($A22&gt;AX$12,"",IF(T=AX$11,100,EXP(-IRTree!AX23*h)*((AY22+AY23)/2+cc*h))))</f>
        <v/>
      </c>
      <c r="AY22" s="3" t="str">
        <f>IF(AY$11&gt;T,"",IF($A22&gt;AY$12,"",IF(T=AY$11,100,EXP(-IRTree!AY23*h)*((AZ22+AZ23)/2+cc*h))))</f>
        <v/>
      </c>
      <c r="AZ22" s="3" t="str">
        <f>IF(AZ$11&gt;T,"",IF($A22&gt;AZ$12,"",IF(T=AZ$11,100,EXP(-IRTree!AZ23*h)*((BA22+BA23)/2+cc*h))))</f>
        <v/>
      </c>
      <c r="BA22" s="3" t="str">
        <f>IF(BA$11&gt;T,"",IF($A22&gt;BA$12,"",IF(T=BA$11,100,EXP(-IRTree!BA23*h)*((BB22+BB23)/2+cc*h))))</f>
        <v/>
      </c>
      <c r="BB22" s="3" t="str">
        <f>IF(BB$11&gt;T,"",IF($A22&gt;BB$12,"",IF(T=BB$11,100,EXP(-IRTree!BB23*h)*((BC22+BC23)/2+cc*h))))</f>
        <v/>
      </c>
      <c r="BC22" s="3" t="str">
        <f>IF(BC$11&gt;T,"",IF($A22&gt;BC$12,"",IF(T=BC$11,100,EXP(-IRTree!BC23*h)*((BD22+BD23)/2+cc*h))))</f>
        <v/>
      </c>
      <c r="BD22" s="3" t="str">
        <f>IF(BD$11&gt;T,"",IF($A22&gt;BD$12,"",IF(T=BD$11,100,EXP(-IRTree!BD23*h)*((BE22+BE23)/2+cc*h))))</f>
        <v/>
      </c>
      <c r="BE22" s="3" t="str">
        <f>IF(BE$11&gt;T,"",IF($A22&gt;BE$12,"",IF(T=BE$11,100,EXP(-IRTree!BE23*h)*((BF22+BF23)/2+cc*h))))</f>
        <v/>
      </c>
      <c r="BF22" s="3" t="str">
        <f>IF(BF$11&gt;T,"",IF($A22&gt;BF$12,"",IF(T=BF$11,100,EXP(-IRTree!BF23*h)*((BG22+BG23)/2+cc*h))))</f>
        <v/>
      </c>
      <c r="BG22" s="3" t="str">
        <f>IF(BG$11&gt;T,"",IF($A22&gt;BG$12,"",IF(T=BG$11,100,EXP(-IRTree!BG23*h)*((BH22+BH23)/2+cc*h))))</f>
        <v/>
      </c>
      <c r="BH22" s="3" t="str">
        <f>IF(BH$11&gt;T,"",IF($A22&gt;BH$12,"",IF(T=BH$11,100,EXP(-IRTree!BH23*h)*((BI22+BI23)/2+cc*h))))</f>
        <v/>
      </c>
      <c r="BI22" s="3" t="str">
        <f>IF(BI$11&gt;T,"",IF($A22&gt;BI$12,"",IF(T=BI$11,100,EXP(-IRTree!BI23*h)*((BJ22+BJ23)/2+cc*h))))</f>
        <v/>
      </c>
      <c r="BJ22" s="3" t="str">
        <f>IF(BJ$11&gt;T,"",IF($A22&gt;BJ$12,"",IF(T=BJ$11,100,EXP(-IRTree!BJ23*h)*((BK22+BK23)/2+cc*h))))</f>
        <v/>
      </c>
    </row>
    <row r="23" spans="1:62">
      <c r="A23" s="12">
        <f t="shared" si="2"/>
        <v>10</v>
      </c>
      <c r="B23" s="3" t="str">
        <f>IF(B$11&gt;T,"",IF($A23&gt;B$12,"",IF(T=B$11,100,EXP(-IRTree!B24*h)*((C23+C24)/2+cc*h))))</f>
        <v/>
      </c>
      <c r="C23" s="3" t="str">
        <f>IF(C$11&gt;T,"",IF($A23&gt;C$12,"",IF(T=C$11,100,EXP(-IRTree!C24*h)*((D23+D24)/2+cc*h))))</f>
        <v/>
      </c>
      <c r="D23" s="3" t="str">
        <f>IF(D$11&gt;T,"",IF($A23&gt;D$12,"",IF(T=D$11,100,EXP(-IRTree!D24*h)*((E23+E24)/2+cc*h))))</f>
        <v/>
      </c>
      <c r="E23" s="3" t="str">
        <f>IF(E$11&gt;T,"",IF($A23&gt;E$12,"",IF(T=E$11,100,EXP(-IRTree!E24*h)*((F23+F24)/2+cc*h))))</f>
        <v/>
      </c>
      <c r="F23" s="3" t="str">
        <f>IF(F$11&gt;T,"",IF($A23&gt;F$12,"",IF(T=F$11,100,EXP(-IRTree!F24*h)*((G23+G24)/2+cc*h))))</f>
        <v/>
      </c>
      <c r="G23" s="3" t="str">
        <f>IF(G$11&gt;T,"",IF($A23&gt;G$12,"",IF(T=G$11,100,EXP(-IRTree!G24*h)*((H23+H24)/2+cc*h))))</f>
        <v/>
      </c>
      <c r="H23" s="3" t="str">
        <f>IF(H$11&gt;T,"",IF($A23&gt;H$12,"",IF(T=H$11,100,EXP(-IRTree!H24*h)*((I23+I24)/2+cc*h))))</f>
        <v/>
      </c>
      <c r="I23" s="3" t="str">
        <f>IF(I$11&gt;T,"",IF($A23&gt;I$12,"",IF(T=I$11,100,EXP(-IRTree!I24*h)*((J23+J24)/2+cc*h))))</f>
        <v/>
      </c>
      <c r="J23" s="3" t="str">
        <f>IF(J$11&gt;T,"",IF($A23&gt;J$12,"",IF(T=J$11,100,EXP(-IRTree!J24*h)*((K23+K24)/2+cc*h))))</f>
        <v/>
      </c>
      <c r="K23" s="3" t="str">
        <f>IF(K$11&gt;T,"",IF($A23&gt;K$12,"",IF(T=K$11,100,EXP(-IRTree!K24*h)*((L23+L24)/2+cc*h))))</f>
        <v/>
      </c>
      <c r="L23" s="3">
        <f>IF(L$11&gt;T,"",IF($A23&gt;L$12,"",IF(T=L$11,100,EXP(-IRTree!L24*h)*((M23+M24)/2+cc*h))))</f>
        <v>88.575445012402852</v>
      </c>
      <c r="M23" s="3">
        <f>IF(M$11&gt;T,"",IF($A23&gt;M$12,"",IF(T=M$11,100,EXP(-IRTree!M24*h)*((N23+N24)/2+cc*h))))</f>
        <v>87.583029286888461</v>
      </c>
      <c r="N23" s="3">
        <f>IF(N$11&gt;T,"",IF($A23&gt;N$12,"",IF(T=N$11,100,EXP(-IRTree!N24*h)*((O23+O24)/2+cc*h))))</f>
        <v>86.549464391381647</v>
      </c>
      <c r="O23" s="3">
        <f>IF(O$11&gt;T,"",IF($A23&gt;O$12,"",IF(T=O$11,100,EXP(-IRTree!O24*h)*((P23+P24)/2+cc*h))))</f>
        <v>85.485835883440814</v>
      </c>
      <c r="P23" s="3">
        <f>IF(P$11&gt;T,"",IF($A23&gt;P$12,"",IF(T=P$11,100,EXP(-IRTree!P24*h)*((Q23+Q24)/2+cc*h))))</f>
        <v>84.352311038521464</v>
      </c>
      <c r="Q23" s="3">
        <f>IF(Q$11&gt;T,"",IF($A23&gt;Q$12,"",IF(T=Q$11,100,EXP(-IRTree!Q24*h)*((R23+R24)/2+cc*h))))</f>
        <v>83.194490891918306</v>
      </c>
      <c r="R23" s="3">
        <f>IF(R$11&gt;T,"",IF($A23&gt;R$12,"",IF(T=R$11,100,EXP(-IRTree!R24*h)*((S23+S24)/2+cc*h))))</f>
        <v>81.989217254213131</v>
      </c>
      <c r="S23" s="3">
        <f>IF(S$11&gt;T,"",IF($A23&gt;S$12,"",IF(T=S$11,100,EXP(-IRTree!S24*h)*((T23+T24)/2+cc*h))))</f>
        <v>80.779305574709866</v>
      </c>
      <c r="T23" s="3">
        <f>IF(T$11&gt;T,"",IF($A23&gt;T$12,"",IF(T=T$11,100,EXP(-IRTree!T24*h)*((U23+U24)/2+cc*h))))</f>
        <v>79.563706916818091</v>
      </c>
      <c r="U23" s="3">
        <f>IF(U$11&gt;T,"",IF($A23&gt;U$12,"",IF(T=U$11,100,EXP(-IRTree!U24*h)*((V23+V24)/2+cc*h))))</f>
        <v>78.354811402294004</v>
      </c>
      <c r="V23" s="3">
        <f>IF(V$11&gt;T,"",IF($A23&gt;V$12,"",IF(T=V$11,100,EXP(-IRTree!V24*h)*((W23+W24)/2+cc*h))))</f>
        <v>77.152351541858479</v>
      </c>
      <c r="W23" s="3">
        <f>IF(W$11&gt;T,"",IF($A23&gt;W$12,"",IF(T=W$11,100,EXP(-IRTree!W24*h)*((X23+X24)/2+cc*h))))</f>
        <v>75.972156065057149</v>
      </c>
      <c r="X23" s="3">
        <f>IF(X$11&gt;T,"",IF($A23&gt;X$12,"",IF(T=X$11,100,EXP(-IRTree!X24*h)*((Y23+Y24)/2+cc*h))))</f>
        <v>74.829152743285746</v>
      </c>
      <c r="Y23" s="3">
        <f>IF(Y$11&gt;T,"",IF($A23&gt;Y$12,"",IF(T=Y$11,100,EXP(-IRTree!Y24*h)*((Z23+Z24)/2+cc*h))))</f>
        <v>73.743965450546938</v>
      </c>
      <c r="Z23" s="3">
        <f>IF(Z$11&gt;T,"",IF($A23&gt;Z$12,"",IF(T=Z$11,100,EXP(-IRTree!Z24*h)*((AA23+AA24)/2+cc*h))))</f>
        <v>72.736153439850739</v>
      </c>
      <c r="AA23" s="3">
        <f>IF(AA$11&gt;T,"",IF($A23&gt;AA$12,"",IF(T=AA$11,100,EXP(-IRTree!AA24*h)*((AB23+AB24)/2+cc*h))))</f>
        <v>71.827398620908284</v>
      </c>
      <c r="AB23" s="3">
        <f>IF(AB$11&gt;T,"",IF($A23&gt;AB$12,"",IF(T=AB$11,100,EXP(-IRTree!AB24*h)*((AC23+AC24)/2+cc*h))))</f>
        <v>71.038625631448028</v>
      </c>
      <c r="AC23" s="3">
        <f>IF(AC$11&gt;T,"",IF($A23&gt;AC$12,"",IF(T=AC$11,100,EXP(-IRTree!AC24*h)*((AD23+AD24)/2+cc*h))))</f>
        <v>70.412226163810146</v>
      </c>
      <c r="AD23" s="3">
        <f>IF(AD$11&gt;T,"",IF($A23&gt;AD$12,"",IF(T=AD$11,100,EXP(-IRTree!AD24*h)*((AE23+AE24)/2+cc*h))))</f>
        <v>69.973445859280417</v>
      </c>
      <c r="AE23" s="3">
        <f>IF(AE$11&gt;T,"",IF($A23&gt;AE$12,"",IF(T=AE$11,100,EXP(-IRTree!AE24*h)*((AF23+AF24)/2+cc*h))))</f>
        <v>69.756256175261115</v>
      </c>
      <c r="AF23" s="3">
        <f>IF(AF$11&gt;T,"",IF($A23&gt;AF$12,"",IF(T=AF$11,100,EXP(-IRTree!AF24*h)*((AG23+AG24)/2+cc*h))))</f>
        <v>69.81784362207533</v>
      </c>
      <c r="AG23" s="3">
        <f>IF(AG$11&gt;T,"",IF($A23&gt;AG$12,"",IF(T=AG$11,100,EXP(-IRTree!AG24*h)*((AH23+AH24)/2+cc*h))))</f>
        <v>70.223108916461314</v>
      </c>
      <c r="AH23" s="3">
        <f>IF(AH$11&gt;T,"",IF($A23&gt;AH$12,"",IF(T=AH$11,100,EXP(-IRTree!AH24*h)*((AI23+AI24)/2+cc*h))))</f>
        <v>71.01828376561761</v>
      </c>
      <c r="AI23" s="3">
        <f>IF(AI$11&gt;T,"",IF($A23&gt;AI$12,"",IF(T=AI$11,100,EXP(-IRTree!AI24*h)*((AJ23+AJ24)/2+cc*h))))</f>
        <v>72.306096860359375</v>
      </c>
      <c r="AJ23" s="3">
        <f>IF(AJ$11&gt;T,"",IF($A23&gt;AJ$12,"",IF(T=AJ$11,100,EXP(-IRTree!AJ24*h)*((AK23+AK24)/2+cc*h))))</f>
        <v>74.076241600235761</v>
      </c>
      <c r="AK23" s="3">
        <f>IF(AK$11&gt;T,"",IF($A23&gt;AK$12,"",IF(T=AK$11,100,EXP(-IRTree!AK24*h)*((AL23+AL24)/2+cc*h))))</f>
        <v>76.43210987966323</v>
      </c>
      <c r="AL23" s="3">
        <f>IF(AL$11&gt;T,"",IF($A23&gt;AL$12,"",IF(T=AL$11,100,EXP(-IRTree!AL24*h)*((AM23+AM24)/2+cc*h))))</f>
        <v>79.405730868107781</v>
      </c>
      <c r="AM23" s="3">
        <f>IF(AM$11&gt;T,"",IF($A23&gt;AM$12,"",IF(T=AM$11,100,EXP(-IRTree!AM24*h)*((AN23+AN24)/2+cc*h))))</f>
        <v>83.25735676440263</v>
      </c>
      <c r="AN23" s="3">
        <f>IF(AN$11&gt;T,"",IF($A23&gt;AN$12,"",IF(T=AN$11,100,EXP(-IRTree!AN24*h)*((AO23+AO24)/2+cc*h))))</f>
        <v>87.906294043394382</v>
      </c>
      <c r="AO23" s="3">
        <f>IF(AO$11&gt;T,"",IF($A23&gt;AO$12,"",IF(T=AO$11,100,EXP(-IRTree!AO24*h)*((AP23+AP24)/2+cc*h))))</f>
        <v>93.444411450945225</v>
      </c>
      <c r="AP23" s="3">
        <f>IF(AP$11&gt;T,"",IF($A23&gt;AP$12,"",IF(T=AP$11,100,EXP(-IRTree!AP24*h)*((AQ23+AQ24)/2+cc*h))))</f>
        <v>100</v>
      </c>
      <c r="AQ23" s="3" t="str">
        <f>IF(AQ$11&gt;T,"",IF($A23&gt;AQ$12,"",IF(T=AQ$11,100,EXP(-IRTree!AQ24*h)*((AR23+AR24)/2+cc*h))))</f>
        <v/>
      </c>
      <c r="AR23" s="3" t="str">
        <f>IF(AR$11&gt;T,"",IF($A23&gt;AR$12,"",IF(T=AR$11,100,EXP(-IRTree!AR24*h)*((AS23+AS24)/2+cc*h))))</f>
        <v/>
      </c>
      <c r="AS23" s="3" t="str">
        <f>IF(AS$11&gt;T,"",IF($A23&gt;AS$12,"",IF(T=AS$11,100,EXP(-IRTree!AS24*h)*((AT23+AT24)/2+cc*h))))</f>
        <v/>
      </c>
      <c r="AT23" s="3" t="str">
        <f>IF(AT$11&gt;T,"",IF($A23&gt;AT$12,"",IF(T=AT$11,100,EXP(-IRTree!AT24*h)*((AU23+AU24)/2+cc*h))))</f>
        <v/>
      </c>
      <c r="AU23" s="3" t="str">
        <f>IF(AU$11&gt;T,"",IF($A23&gt;AU$12,"",IF(T=AU$11,100,EXP(-IRTree!AU24*h)*((AV23+AV24)/2+cc*h))))</f>
        <v/>
      </c>
      <c r="AV23" s="3" t="str">
        <f>IF(AV$11&gt;T,"",IF($A23&gt;AV$12,"",IF(T=AV$11,100,EXP(-IRTree!AV24*h)*((AW23+AW24)/2+cc*h))))</f>
        <v/>
      </c>
      <c r="AW23" s="3" t="str">
        <f>IF(AW$11&gt;T,"",IF($A23&gt;AW$12,"",IF(T=AW$11,100,EXP(-IRTree!AW24*h)*((AX23+AX24)/2+cc*h))))</f>
        <v/>
      </c>
      <c r="AX23" s="3" t="str">
        <f>IF(AX$11&gt;T,"",IF($A23&gt;AX$12,"",IF(T=AX$11,100,EXP(-IRTree!AX24*h)*((AY23+AY24)/2+cc*h))))</f>
        <v/>
      </c>
      <c r="AY23" s="3" t="str">
        <f>IF(AY$11&gt;T,"",IF($A23&gt;AY$12,"",IF(T=AY$11,100,EXP(-IRTree!AY24*h)*((AZ23+AZ24)/2+cc*h))))</f>
        <v/>
      </c>
      <c r="AZ23" s="3" t="str">
        <f>IF(AZ$11&gt;T,"",IF($A23&gt;AZ$12,"",IF(T=AZ$11,100,EXP(-IRTree!AZ24*h)*((BA23+BA24)/2+cc*h))))</f>
        <v/>
      </c>
      <c r="BA23" s="3" t="str">
        <f>IF(BA$11&gt;T,"",IF($A23&gt;BA$12,"",IF(T=BA$11,100,EXP(-IRTree!BA24*h)*((BB23+BB24)/2+cc*h))))</f>
        <v/>
      </c>
      <c r="BB23" s="3" t="str">
        <f>IF(BB$11&gt;T,"",IF($A23&gt;BB$12,"",IF(T=BB$11,100,EXP(-IRTree!BB24*h)*((BC23+BC24)/2+cc*h))))</f>
        <v/>
      </c>
      <c r="BC23" s="3" t="str">
        <f>IF(BC$11&gt;T,"",IF($A23&gt;BC$12,"",IF(T=BC$11,100,EXP(-IRTree!BC24*h)*((BD23+BD24)/2+cc*h))))</f>
        <v/>
      </c>
      <c r="BD23" s="3" t="str">
        <f>IF(BD$11&gt;T,"",IF($A23&gt;BD$12,"",IF(T=BD$11,100,EXP(-IRTree!BD24*h)*((BE23+BE24)/2+cc*h))))</f>
        <v/>
      </c>
      <c r="BE23" s="3" t="str">
        <f>IF(BE$11&gt;T,"",IF($A23&gt;BE$12,"",IF(T=BE$11,100,EXP(-IRTree!BE24*h)*((BF23+BF24)/2+cc*h))))</f>
        <v/>
      </c>
      <c r="BF23" s="3" t="str">
        <f>IF(BF$11&gt;T,"",IF($A23&gt;BF$12,"",IF(T=BF$11,100,EXP(-IRTree!BF24*h)*((BG23+BG24)/2+cc*h))))</f>
        <v/>
      </c>
      <c r="BG23" s="3" t="str">
        <f>IF(BG$11&gt;T,"",IF($A23&gt;BG$12,"",IF(T=BG$11,100,EXP(-IRTree!BG24*h)*((BH23+BH24)/2+cc*h))))</f>
        <v/>
      </c>
      <c r="BH23" s="3" t="str">
        <f>IF(BH$11&gt;T,"",IF($A23&gt;BH$12,"",IF(T=BH$11,100,EXP(-IRTree!BH24*h)*((BI23+BI24)/2+cc*h))))</f>
        <v/>
      </c>
      <c r="BI23" s="3" t="str">
        <f>IF(BI$11&gt;T,"",IF($A23&gt;BI$12,"",IF(T=BI$11,100,EXP(-IRTree!BI24*h)*((BJ23+BJ24)/2+cc*h))))</f>
        <v/>
      </c>
      <c r="BJ23" s="3" t="str">
        <f>IF(BJ$11&gt;T,"",IF($A23&gt;BJ$12,"",IF(T=BJ$11,100,EXP(-IRTree!BJ24*h)*((BK23+BK24)/2+cc*h))))</f>
        <v/>
      </c>
    </row>
    <row r="24" spans="1:62">
      <c r="A24" s="12">
        <f t="shared" si="2"/>
        <v>11</v>
      </c>
      <c r="B24" s="3" t="str">
        <f>IF(B$11&gt;T,"",IF($A24&gt;B$12,"",IF(T=B$11,100,EXP(-IRTree!B25*h)*((C24+C25)/2+cc*h))))</f>
        <v/>
      </c>
      <c r="C24" s="3" t="str">
        <f>IF(C$11&gt;T,"",IF($A24&gt;C$12,"",IF(T=C$11,100,EXP(-IRTree!C25*h)*((D24+D25)/2+cc*h))))</f>
        <v/>
      </c>
      <c r="D24" s="3" t="str">
        <f>IF(D$11&gt;T,"",IF($A24&gt;D$12,"",IF(T=D$11,100,EXP(-IRTree!D25*h)*((E24+E25)/2+cc*h))))</f>
        <v/>
      </c>
      <c r="E24" s="3" t="str">
        <f>IF(E$11&gt;T,"",IF($A24&gt;E$12,"",IF(T=E$11,100,EXP(-IRTree!E25*h)*((F24+F25)/2+cc*h))))</f>
        <v/>
      </c>
      <c r="F24" s="3" t="str">
        <f>IF(F$11&gt;T,"",IF($A24&gt;F$12,"",IF(T=F$11,100,EXP(-IRTree!F25*h)*((G24+G25)/2+cc*h))))</f>
        <v/>
      </c>
      <c r="G24" s="3" t="str">
        <f>IF(G$11&gt;T,"",IF($A24&gt;G$12,"",IF(T=G$11,100,EXP(-IRTree!G25*h)*((H24+H25)/2+cc*h))))</f>
        <v/>
      </c>
      <c r="H24" s="3" t="str">
        <f>IF(H$11&gt;T,"",IF($A24&gt;H$12,"",IF(T=H$11,100,EXP(-IRTree!H25*h)*((I24+I25)/2+cc*h))))</f>
        <v/>
      </c>
      <c r="I24" s="3" t="str">
        <f>IF(I$11&gt;T,"",IF($A24&gt;I$12,"",IF(T=I$11,100,EXP(-IRTree!I25*h)*((J24+J25)/2+cc*h))))</f>
        <v/>
      </c>
      <c r="J24" s="3" t="str">
        <f>IF(J$11&gt;T,"",IF($A24&gt;J$12,"",IF(T=J$11,100,EXP(-IRTree!J25*h)*((K24+K25)/2+cc*h))))</f>
        <v/>
      </c>
      <c r="K24" s="3" t="str">
        <f>IF(K$11&gt;T,"",IF($A24&gt;K$12,"",IF(T=K$11,100,EXP(-IRTree!K25*h)*((L24+L25)/2+cc*h))))</f>
        <v/>
      </c>
      <c r="L24" s="3" t="str">
        <f>IF(L$11&gt;T,"",IF($A24&gt;L$12,"",IF(T=L$11,100,EXP(-IRTree!L25*h)*((M24+M25)/2+cc*h))))</f>
        <v/>
      </c>
      <c r="M24" s="3">
        <f>IF(M$11&gt;T,"",IF($A24&gt;M$12,"",IF(T=M$11,100,EXP(-IRTree!M25*h)*((N24+N25)/2+cc*h))))</f>
        <v>89.919028462594824</v>
      </c>
      <c r="N24" s="3">
        <f>IF(N$11&gt;T,"",IF($A24&gt;N$12,"",IF(T=N$11,100,EXP(-IRTree!N25*h)*((O24+O25)/2+cc*h))))</f>
        <v>89.059147786696954</v>
      </c>
      <c r="O24" s="3">
        <f>IF(O$11&gt;T,"",IF($A24&gt;O$12,"",IF(T=O$11,100,EXP(-IRTree!O25*h)*((P24+P25)/2+cc*h))))</f>
        <v>88.172587005112007</v>
      </c>
      <c r="P24" s="3">
        <f>IF(P$11&gt;T,"",IF($A24&gt;P$12,"",IF(T=P$11,100,EXP(-IRTree!P25*h)*((Q24+Q25)/2+cc*h))))</f>
        <v>87.220225939113305</v>
      </c>
      <c r="Q24" s="3">
        <f>IF(Q$11&gt;T,"",IF($A24&gt;Q$12,"",IF(T=Q$11,100,EXP(-IRTree!Q25*h)*((R24+R25)/2+cc*h))))</f>
        <v>86.24453372988674</v>
      </c>
      <c r="R24" s="3">
        <f>IF(R$11&gt;T,"",IF($A24&gt;R$12,"",IF(T=R$11,100,EXP(-IRTree!R25*h)*((S24+S25)/2+cc*h))))</f>
        <v>85.220333302787637</v>
      </c>
      <c r="S24" s="3">
        <f>IF(S$11&gt;T,"",IF($A24&gt;S$12,"",IF(T=S$11,100,EXP(-IRTree!S25*h)*((T24+T25)/2+cc*h))))</f>
        <v>84.189332582011659</v>
      </c>
      <c r="T24" s="3">
        <f>IF(T$11&gt;T,"",IF($A24&gt;T$12,"",IF(T=T$11,100,EXP(-IRTree!T25*h)*((U24+U25)/2+cc*h))))</f>
        <v>83.1491834204339</v>
      </c>
      <c r="U24" s="3">
        <f>IF(U$11&gt;T,"",IF($A24&gt;U$12,"",IF(T=U$11,100,EXP(-IRTree!U25*h)*((V24+V25)/2+cc*h))))</f>
        <v>82.112427974594581</v>
      </c>
      <c r="V24" s="3">
        <f>IF(V$11&gt;T,"",IF($A24&gt;V$12,"",IF(T=V$11,100,EXP(-IRTree!V25*h)*((W24+W25)/2+cc*h))))</f>
        <v>81.074615860679359</v>
      </c>
      <c r="W24" s="3">
        <f>IF(W$11&gt;T,"",IF($A24&gt;W$12,"",IF(T=W$11,100,EXP(-IRTree!W25*h)*((X24+X25)/2+cc*h))))</f>
        <v>80.050041681236749</v>
      </c>
      <c r="X24" s="3">
        <f>IF(X$11&gt;T,"",IF($A24&gt;X$12,"",IF(T=X$11,100,EXP(-IRTree!X25*h)*((Y24+Y25)/2+cc*h))))</f>
        <v>79.047567561920999</v>
      </c>
      <c r="Y24" s="3">
        <f>IF(Y$11&gt;T,"",IF($A24&gt;Y$12,"",IF(T=Y$11,100,EXP(-IRTree!Y25*h)*((Z24+Z25)/2+cc*h))))</f>
        <v>78.094836450792201</v>
      </c>
      <c r="Z24" s="3">
        <f>IF(Z$11&gt;T,"",IF($A24&gt;Z$12,"",IF(T=Z$11,100,EXP(-IRTree!Z25*h)*((AA24+AA25)/2+cc*h))))</f>
        <v>77.199276739986971</v>
      </c>
      <c r="AA24" s="3">
        <f>IF(AA$11&gt;T,"",IF($A24&gt;AA$12,"",IF(T=AA$11,100,EXP(-IRTree!AA25*h)*((AB24+AB25)/2+cc*h))))</f>
        <v>76.385071131173916</v>
      </c>
      <c r="AB24" s="3">
        <f>IF(AB$11&gt;T,"",IF($A24&gt;AB$12,"",IF(T=AB$11,100,EXP(-IRTree!AB25*h)*((AC24+AC25)/2+cc*h))))</f>
        <v>75.672472739811582</v>
      </c>
      <c r="AC24" s="3">
        <f>IF(AC$11&gt;T,"",IF($A24&gt;AC$12,"",IF(T=AC$11,100,EXP(-IRTree!AC25*h)*((AD24+AD25)/2+cc*h))))</f>
        <v>75.09214009123427</v>
      </c>
      <c r="AD24" s="3">
        <f>IF(AD$11&gt;T,"",IF($A24&gt;AD$12,"",IF(T=AD$11,100,EXP(-IRTree!AD25*h)*((AE24+AE25)/2+cc*h))))</f>
        <v>74.6715279379234</v>
      </c>
      <c r="AE24" s="3">
        <f>IF(AE$11&gt;T,"",IF($A24&gt;AE$12,"",IF(T=AE$11,100,EXP(-IRTree!AE25*h)*((AF24+AF25)/2+cc*h))))</f>
        <v>74.442079893821372</v>
      </c>
      <c r="AF24" s="3">
        <f>IF(AF$11&gt;T,"",IF($A24&gt;AF$12,"",IF(T=AF$11,100,EXP(-IRTree!AF25*h)*((AG24+AG25)/2+cc*h))))</f>
        <v>74.450502108618423</v>
      </c>
      <c r="AG24" s="3">
        <f>IF(AG$11&gt;T,"",IF($A24&gt;AG$12,"",IF(T=AG$11,100,EXP(-IRTree!AG25*h)*((AH24+AH25)/2+cc*h))))</f>
        <v>74.751268505530149</v>
      </c>
      <c r="AH24" s="3">
        <f>IF(AH$11&gt;T,"",IF($A24&gt;AH$12,"",IF(T=AH$11,100,EXP(-IRTree!AH25*h)*((AI24+AI25)/2+cc*h))))</f>
        <v>75.38883512897209</v>
      </c>
      <c r="AI24" s="3">
        <f>IF(AI$11&gt;T,"",IF($A24&gt;AI$12,"",IF(T=AI$11,100,EXP(-IRTree!AI25*h)*((AJ24+AJ25)/2+cc*h))))</f>
        <v>76.445784754289051</v>
      </c>
      <c r="AJ24" s="3">
        <f>IF(AJ$11&gt;T,"",IF($A24&gt;AJ$12,"",IF(T=AJ$11,100,EXP(-IRTree!AJ25*h)*((AK24+AK25)/2+cc*h))))</f>
        <v>77.928069579586179</v>
      </c>
      <c r="AK24" s="3">
        <f>IF(AK$11&gt;T,"",IF($A24&gt;AK$12,"",IF(T=AK$11,100,EXP(-IRTree!AK25*h)*((AL24+AL25)/2+cc*h))))</f>
        <v>79.918744498082134</v>
      </c>
      <c r="AL24" s="3">
        <f>IF(AL$11&gt;T,"",IF($A24&gt;AL$12,"",IF(T=AL$11,100,EXP(-IRTree!AL25*h)*((AM24+AM25)/2+cc*h))))</f>
        <v>82.450884199128041</v>
      </c>
      <c r="AM24" s="3">
        <f>IF(AM$11&gt;T,"",IF($A24&gt;AM$12,"",IF(T=AM$11,100,EXP(-IRTree!AM25*h)*((AN24+AN25)/2+cc*h))))</f>
        <v>85.723128795997937</v>
      </c>
      <c r="AN24" s="3">
        <f>IF(AN$11&gt;T,"",IF($A24&gt;AN$12,"",IF(T=AN$11,100,EXP(-IRTree!AN25*h)*((AO24+AO25)/2+cc*h))))</f>
        <v>89.685332854747074</v>
      </c>
      <c r="AO24" s="3">
        <f>IF(AO$11&gt;T,"",IF($A24&gt;AO$12,"",IF(T=AO$11,100,EXP(-IRTree!AO25*h)*((AP24+AP25)/2+cc*h))))</f>
        <v>94.410735700475271</v>
      </c>
      <c r="AP24" s="3">
        <f>IF(AP$11&gt;T,"",IF($A24&gt;AP$12,"",IF(T=AP$11,100,EXP(-IRTree!AP25*h)*((AQ24+AQ25)/2+cc*h))))</f>
        <v>100</v>
      </c>
      <c r="AQ24" s="3" t="str">
        <f>IF(AQ$11&gt;T,"",IF($A24&gt;AQ$12,"",IF(T=AQ$11,100,EXP(-IRTree!AQ25*h)*((AR24+AR25)/2+cc*h))))</f>
        <v/>
      </c>
      <c r="AR24" s="3" t="str">
        <f>IF(AR$11&gt;T,"",IF($A24&gt;AR$12,"",IF(T=AR$11,100,EXP(-IRTree!AR25*h)*((AS24+AS25)/2+cc*h))))</f>
        <v/>
      </c>
      <c r="AS24" s="3" t="str">
        <f>IF(AS$11&gt;T,"",IF($A24&gt;AS$12,"",IF(T=AS$11,100,EXP(-IRTree!AS25*h)*((AT24+AT25)/2+cc*h))))</f>
        <v/>
      </c>
      <c r="AT24" s="3" t="str">
        <f>IF(AT$11&gt;T,"",IF($A24&gt;AT$12,"",IF(T=AT$11,100,EXP(-IRTree!AT25*h)*((AU24+AU25)/2+cc*h))))</f>
        <v/>
      </c>
      <c r="AU24" s="3" t="str">
        <f>IF(AU$11&gt;T,"",IF($A24&gt;AU$12,"",IF(T=AU$11,100,EXP(-IRTree!AU25*h)*((AV24+AV25)/2+cc*h))))</f>
        <v/>
      </c>
      <c r="AV24" s="3" t="str">
        <f>IF(AV$11&gt;T,"",IF($A24&gt;AV$12,"",IF(T=AV$11,100,EXP(-IRTree!AV25*h)*((AW24+AW25)/2+cc*h))))</f>
        <v/>
      </c>
      <c r="AW24" s="3" t="str">
        <f>IF(AW$11&gt;T,"",IF($A24&gt;AW$12,"",IF(T=AW$11,100,EXP(-IRTree!AW25*h)*((AX24+AX25)/2+cc*h))))</f>
        <v/>
      </c>
      <c r="AX24" s="3" t="str">
        <f>IF(AX$11&gt;T,"",IF($A24&gt;AX$12,"",IF(T=AX$11,100,EXP(-IRTree!AX25*h)*((AY24+AY25)/2+cc*h))))</f>
        <v/>
      </c>
      <c r="AY24" s="3" t="str">
        <f>IF(AY$11&gt;T,"",IF($A24&gt;AY$12,"",IF(T=AY$11,100,EXP(-IRTree!AY25*h)*((AZ24+AZ25)/2+cc*h))))</f>
        <v/>
      </c>
      <c r="AZ24" s="3" t="str">
        <f>IF(AZ$11&gt;T,"",IF($A24&gt;AZ$12,"",IF(T=AZ$11,100,EXP(-IRTree!AZ25*h)*((BA24+BA25)/2+cc*h))))</f>
        <v/>
      </c>
      <c r="BA24" s="3" t="str">
        <f>IF(BA$11&gt;T,"",IF($A24&gt;BA$12,"",IF(T=BA$11,100,EXP(-IRTree!BA25*h)*((BB24+BB25)/2+cc*h))))</f>
        <v/>
      </c>
      <c r="BB24" s="3" t="str">
        <f>IF(BB$11&gt;T,"",IF($A24&gt;BB$12,"",IF(T=BB$11,100,EXP(-IRTree!BB25*h)*((BC24+BC25)/2+cc*h))))</f>
        <v/>
      </c>
      <c r="BC24" s="3" t="str">
        <f>IF(BC$11&gt;T,"",IF($A24&gt;BC$12,"",IF(T=BC$11,100,EXP(-IRTree!BC25*h)*((BD24+BD25)/2+cc*h))))</f>
        <v/>
      </c>
      <c r="BD24" s="3" t="str">
        <f>IF(BD$11&gt;T,"",IF($A24&gt;BD$12,"",IF(T=BD$11,100,EXP(-IRTree!BD25*h)*((BE24+BE25)/2+cc*h))))</f>
        <v/>
      </c>
      <c r="BE24" s="3" t="str">
        <f>IF(BE$11&gt;T,"",IF($A24&gt;BE$12,"",IF(T=BE$11,100,EXP(-IRTree!BE25*h)*((BF24+BF25)/2+cc*h))))</f>
        <v/>
      </c>
      <c r="BF24" s="3" t="str">
        <f>IF(BF$11&gt;T,"",IF($A24&gt;BF$12,"",IF(T=BF$11,100,EXP(-IRTree!BF25*h)*((BG24+BG25)/2+cc*h))))</f>
        <v/>
      </c>
      <c r="BG24" s="3" t="str">
        <f>IF(BG$11&gt;T,"",IF($A24&gt;BG$12,"",IF(T=BG$11,100,EXP(-IRTree!BG25*h)*((BH24+BH25)/2+cc*h))))</f>
        <v/>
      </c>
      <c r="BH24" s="3" t="str">
        <f>IF(BH$11&gt;T,"",IF($A24&gt;BH$12,"",IF(T=BH$11,100,EXP(-IRTree!BH25*h)*((BI24+BI25)/2+cc*h))))</f>
        <v/>
      </c>
      <c r="BI24" s="3" t="str">
        <f>IF(BI$11&gt;T,"",IF($A24&gt;BI$12,"",IF(T=BI$11,100,EXP(-IRTree!BI25*h)*((BJ24+BJ25)/2+cc*h))))</f>
        <v/>
      </c>
      <c r="BJ24" s="3" t="str">
        <f>IF(BJ$11&gt;T,"",IF($A24&gt;BJ$12,"",IF(T=BJ$11,100,EXP(-IRTree!BJ25*h)*((BK24+BK25)/2+cc*h))))</f>
        <v/>
      </c>
    </row>
    <row r="25" spans="1:62">
      <c r="A25" s="12">
        <f t="shared" si="2"/>
        <v>12</v>
      </c>
      <c r="B25" s="3" t="str">
        <f>IF(B$11&gt;T,"",IF($A25&gt;B$12,"",IF(T=B$11,100,EXP(-IRTree!B26*h)*((C25+C26)/2+cc*h))))</f>
        <v/>
      </c>
      <c r="C25" s="3" t="str">
        <f>IF(C$11&gt;T,"",IF($A25&gt;C$12,"",IF(T=C$11,100,EXP(-IRTree!C26*h)*((D25+D26)/2+cc*h))))</f>
        <v/>
      </c>
      <c r="D25" s="3" t="str">
        <f>IF(D$11&gt;T,"",IF($A25&gt;D$12,"",IF(T=D$11,100,EXP(-IRTree!D26*h)*((E25+E26)/2+cc*h))))</f>
        <v/>
      </c>
      <c r="E25" s="3" t="str">
        <f>IF(E$11&gt;T,"",IF($A25&gt;E$12,"",IF(T=E$11,100,EXP(-IRTree!E26*h)*((F25+F26)/2+cc*h))))</f>
        <v/>
      </c>
      <c r="F25" s="3" t="str">
        <f>IF(F$11&gt;T,"",IF($A25&gt;F$12,"",IF(T=F$11,100,EXP(-IRTree!F26*h)*((G25+G26)/2+cc*h))))</f>
        <v/>
      </c>
      <c r="G25" s="3" t="str">
        <f>IF(G$11&gt;T,"",IF($A25&gt;G$12,"",IF(T=G$11,100,EXP(-IRTree!G26*h)*((H25+H26)/2+cc*h))))</f>
        <v/>
      </c>
      <c r="H25" s="3" t="str">
        <f>IF(H$11&gt;T,"",IF($A25&gt;H$12,"",IF(T=H$11,100,EXP(-IRTree!H26*h)*((I25+I26)/2+cc*h))))</f>
        <v/>
      </c>
      <c r="I25" s="3" t="str">
        <f>IF(I$11&gt;T,"",IF($A25&gt;I$12,"",IF(T=I$11,100,EXP(-IRTree!I26*h)*((J25+J26)/2+cc*h))))</f>
        <v/>
      </c>
      <c r="J25" s="3" t="str">
        <f>IF(J$11&gt;T,"",IF($A25&gt;J$12,"",IF(T=J$11,100,EXP(-IRTree!J26*h)*((K25+K26)/2+cc*h))))</f>
        <v/>
      </c>
      <c r="K25" s="3" t="str">
        <f>IF(K$11&gt;T,"",IF($A25&gt;K$12,"",IF(T=K$11,100,EXP(-IRTree!K26*h)*((L25+L26)/2+cc*h))))</f>
        <v/>
      </c>
      <c r="L25" s="3" t="str">
        <f>IF(L$11&gt;T,"",IF($A25&gt;L$12,"",IF(T=L$11,100,EXP(-IRTree!L26*h)*((M25+M26)/2+cc*h))))</f>
        <v/>
      </c>
      <c r="M25" s="3" t="str">
        <f>IF(M$11&gt;T,"",IF($A25&gt;M$12,"",IF(T=M$11,100,EXP(-IRTree!M26*h)*((N25+N26)/2+cc*h))))</f>
        <v/>
      </c>
      <c r="N25" s="3">
        <f>IF(N$11&gt;T,"",IF($A25&gt;N$12,"",IF(T=N$11,100,EXP(-IRTree!N26*h)*((O25+O26)/2+cc*h))))</f>
        <v>91.118978605257752</v>
      </c>
      <c r="O25" s="3">
        <f>IF(O$11&gt;T,"",IF($A25&gt;O$12,"",IF(T=O$11,100,EXP(-IRTree!O26*h)*((P25+P26)/2+cc*h))))</f>
        <v>90.384269646228631</v>
      </c>
      <c r="P25" s="3">
        <f>IF(P$11&gt;T,"",IF($A25&gt;P$12,"",IF(T=P$11,100,EXP(-IRTree!P26*h)*((Q25+Q26)/2+cc*h))))</f>
        <v>89.589617654299843</v>
      </c>
      <c r="Q25" s="3">
        <f>IF(Q$11&gt;T,"",IF($A25&gt;Q$12,"",IF(T=Q$11,100,EXP(-IRTree!Q26*h)*((R25+R26)/2+cc*h))))</f>
        <v>88.773247258461581</v>
      </c>
      <c r="R25" s="3">
        <f>IF(R$11&gt;T,"",IF($A25&gt;R$12,"",IF(T=R$11,100,EXP(-IRTree!R26*h)*((S25+S26)/2+cc*h))))</f>
        <v>87.910047494094698</v>
      </c>
      <c r="S25" s="3">
        <f>IF(S$11&gt;T,"",IF($A25&gt;S$12,"",IF(T=S$11,100,EXP(-IRTree!S26*h)*((T25+T26)/2+cc*h))))</f>
        <v>87.038825339686369</v>
      </c>
      <c r="T25" s="3">
        <f>IF(T$11&gt;T,"",IF($A25&gt;T$12,"",IF(T=T$11,100,EXP(-IRTree!T26*h)*((U25+U26)/2+cc*h))))</f>
        <v>86.156568865470618</v>
      </c>
      <c r="U25" s="3">
        <f>IF(U$11&gt;T,"",IF($A25&gt;U$12,"",IF(T=U$11,100,EXP(-IRTree!U26*h)*((V25+V26)/2+cc*h))))</f>
        <v>85.275367793935928</v>
      </c>
      <c r="V25" s="3">
        <f>IF(V$11&gt;T,"",IF($A25&gt;V$12,"",IF(T=V$11,100,EXP(-IRTree!V26*h)*((W25+W26)/2+cc*h))))</f>
        <v>84.388200236057799</v>
      </c>
      <c r="W25" s="3">
        <f>IF(W$11&gt;T,"",IF($A25&gt;W$12,"",IF(T=W$11,100,EXP(-IRTree!W26*h)*((X25+X26)/2+cc*h))))</f>
        <v>83.507678948286312</v>
      </c>
      <c r="X25" s="3">
        <f>IF(X$11&gt;T,"",IF($A25&gt;X$12,"",IF(T=X$11,100,EXP(-IRTree!X26*h)*((Y25+Y26)/2+cc*h))))</f>
        <v>82.638160119627969</v>
      </c>
      <c r="Y25" s="3">
        <f>IF(Y$11&gt;T,"",IF($A25&gt;Y$12,"",IF(T=Y$11,100,EXP(-IRTree!Y26*h)*((Z25+Z26)/2+cc*h))))</f>
        <v>81.810846594451874</v>
      </c>
      <c r="Z25" s="3">
        <f>IF(Z$11&gt;T,"",IF($A25&gt;Z$12,"",IF(T=Z$11,100,EXP(-IRTree!Z26*h)*((AA25+AA26)/2+cc*h))))</f>
        <v>81.024547620175724</v>
      </c>
      <c r="AA25" s="3">
        <f>IF(AA$11&gt;T,"",IF($A25&gt;AA$12,"",IF(T=AA$11,100,EXP(-IRTree!AA26*h)*((AB25+AB26)/2+cc*h))))</f>
        <v>80.304149380209438</v>
      </c>
      <c r="AB25" s="3">
        <f>IF(AB$11&gt;T,"",IF($A25&gt;AB$12,"",IF(T=AB$11,100,EXP(-IRTree!AB26*h)*((AC25+AC26)/2+cc*h))))</f>
        <v>79.668648932094811</v>
      </c>
      <c r="AC25" s="3">
        <f>IF(AC$11&gt;T,"",IF($A25&gt;AC$12,"",IF(T=AC$11,100,EXP(-IRTree!AC26*h)*((AD25+AD26)/2+cc*h))))</f>
        <v>79.139298359602932</v>
      </c>
      <c r="AD25" s="3">
        <f>IF(AD$11&gt;T,"",IF($A25&gt;AD$12,"",IF(T=AD$11,100,EXP(-IRTree!AD26*h)*((AE25+AE26)/2+cc*h))))</f>
        <v>78.744091525754328</v>
      </c>
      <c r="AE25" s="3">
        <f>IF(AE$11&gt;T,"",IF($A25&gt;AE$12,"",IF(T=AE$11,100,EXP(-IRTree!AE26*h)*((AF25+AF26)/2+cc*h))))</f>
        <v>78.511619557115992</v>
      </c>
      <c r="AF25" s="3">
        <f>IF(AF$11&gt;T,"",IF($A25&gt;AF$12,"",IF(T=AF$11,100,EXP(-IRTree!AF26*h)*((AG25+AG26)/2+cc*h))))</f>
        <v>78.479600852882754</v>
      </c>
      <c r="AG25" s="3">
        <f>IF(AG$11&gt;T,"",IF($A25&gt;AG$12,"",IF(T=AG$11,100,EXP(-IRTree!AG26*h)*((AH25+AH26)/2+cc*h))))</f>
        <v>78.693416585450464</v>
      </c>
      <c r="AH25" s="3">
        <f>IF(AH$11&gt;T,"",IF($A25&gt;AH$12,"",IF(T=AH$11,100,EXP(-IRTree!AH26*h)*((AI25+AI26)/2+cc*h))))</f>
        <v>79.195181089055538</v>
      </c>
      <c r="AI25" s="3">
        <f>IF(AI$11&gt;T,"",IF($A25&gt;AI$12,"",IF(T=AI$11,100,EXP(-IRTree!AI26*h)*((AJ25+AJ26)/2+cc*h))))</f>
        <v>80.050953133384112</v>
      </c>
      <c r="AJ25" s="3">
        <f>IF(AJ$11&gt;T,"",IF($A25&gt;AJ$12,"",IF(T=AJ$11,100,EXP(-IRTree!AJ26*h)*((AK25+AK26)/2+cc*h))))</f>
        <v>81.27911756039272</v>
      </c>
      <c r="AK25" s="3">
        <f>IF(AK$11&gt;T,"",IF($A25&gt;AK$12,"",IF(T=AK$11,100,EXP(-IRTree!AK26*h)*((AL25+AL26)/2+cc*h))))</f>
        <v>82.946576280971698</v>
      </c>
      <c r="AL25" s="3">
        <f>IF(AL$11&gt;T,"",IF($A25&gt;AL$12,"",IF(T=AL$11,100,EXP(-IRTree!AL26*h)*((AM25+AM26)/2+cc*h))))</f>
        <v>85.087510325049053</v>
      </c>
      <c r="AM25" s="3">
        <f>IF(AM$11&gt;T,"",IF($A25&gt;AM$12,"",IF(T=AM$11,100,EXP(-IRTree!AM26*h)*((AN25+AN26)/2+cc*h))))</f>
        <v>87.852062162970739</v>
      </c>
      <c r="AN25" s="3">
        <f>IF(AN$11&gt;T,"",IF($A25&gt;AN$12,"",IF(T=AN$11,100,EXP(-IRTree!AN26*h)*((AO25+AO26)/2+cc*h))))</f>
        <v>91.215720755535102</v>
      </c>
      <c r="AO25" s="3">
        <f>IF(AO$11&gt;T,"",IF($A25&gt;AO$12,"",IF(T=AO$11,100,EXP(-IRTree!AO26*h)*((AP25+AP26)/2+cc*h))))</f>
        <v>95.238265565970522</v>
      </c>
      <c r="AP25" s="3">
        <f>IF(AP$11&gt;T,"",IF($A25&gt;AP$12,"",IF(T=AP$11,100,EXP(-IRTree!AP26*h)*((AQ25+AQ26)/2+cc*h))))</f>
        <v>100</v>
      </c>
      <c r="AQ25" s="3" t="str">
        <f>IF(AQ$11&gt;T,"",IF($A25&gt;AQ$12,"",IF(T=AQ$11,100,EXP(-IRTree!AQ26*h)*((AR25+AR26)/2+cc*h))))</f>
        <v/>
      </c>
      <c r="AR25" s="3" t="str">
        <f>IF(AR$11&gt;T,"",IF($A25&gt;AR$12,"",IF(T=AR$11,100,EXP(-IRTree!AR26*h)*((AS25+AS26)/2+cc*h))))</f>
        <v/>
      </c>
      <c r="AS25" s="3" t="str">
        <f>IF(AS$11&gt;T,"",IF($A25&gt;AS$12,"",IF(T=AS$11,100,EXP(-IRTree!AS26*h)*((AT25+AT26)/2+cc*h))))</f>
        <v/>
      </c>
      <c r="AT25" s="3" t="str">
        <f>IF(AT$11&gt;T,"",IF($A25&gt;AT$12,"",IF(T=AT$11,100,EXP(-IRTree!AT26*h)*((AU25+AU26)/2+cc*h))))</f>
        <v/>
      </c>
      <c r="AU25" s="3" t="str">
        <f>IF(AU$11&gt;T,"",IF($A25&gt;AU$12,"",IF(T=AU$11,100,EXP(-IRTree!AU26*h)*((AV25+AV26)/2+cc*h))))</f>
        <v/>
      </c>
      <c r="AV25" s="3" t="str">
        <f>IF(AV$11&gt;T,"",IF($A25&gt;AV$12,"",IF(T=AV$11,100,EXP(-IRTree!AV26*h)*((AW25+AW26)/2+cc*h))))</f>
        <v/>
      </c>
      <c r="AW25" s="3" t="str">
        <f>IF(AW$11&gt;T,"",IF($A25&gt;AW$12,"",IF(T=AW$11,100,EXP(-IRTree!AW26*h)*((AX25+AX26)/2+cc*h))))</f>
        <v/>
      </c>
      <c r="AX25" s="3" t="str">
        <f>IF(AX$11&gt;T,"",IF($A25&gt;AX$12,"",IF(T=AX$11,100,EXP(-IRTree!AX26*h)*((AY25+AY26)/2+cc*h))))</f>
        <v/>
      </c>
      <c r="AY25" s="3" t="str">
        <f>IF(AY$11&gt;T,"",IF($A25&gt;AY$12,"",IF(T=AY$11,100,EXP(-IRTree!AY26*h)*((AZ25+AZ26)/2+cc*h))))</f>
        <v/>
      </c>
      <c r="AZ25" s="3" t="str">
        <f>IF(AZ$11&gt;T,"",IF($A25&gt;AZ$12,"",IF(T=AZ$11,100,EXP(-IRTree!AZ26*h)*((BA25+BA26)/2+cc*h))))</f>
        <v/>
      </c>
      <c r="BA25" s="3" t="str">
        <f>IF(BA$11&gt;T,"",IF($A25&gt;BA$12,"",IF(T=BA$11,100,EXP(-IRTree!BA26*h)*((BB25+BB26)/2+cc*h))))</f>
        <v/>
      </c>
      <c r="BB25" s="3" t="str">
        <f>IF(BB$11&gt;T,"",IF($A25&gt;BB$12,"",IF(T=BB$11,100,EXP(-IRTree!BB26*h)*((BC25+BC26)/2+cc*h))))</f>
        <v/>
      </c>
      <c r="BC25" s="3" t="str">
        <f>IF(BC$11&gt;T,"",IF($A25&gt;BC$12,"",IF(T=BC$11,100,EXP(-IRTree!BC26*h)*((BD25+BD26)/2+cc*h))))</f>
        <v/>
      </c>
      <c r="BD25" s="3" t="str">
        <f>IF(BD$11&gt;T,"",IF($A25&gt;BD$12,"",IF(T=BD$11,100,EXP(-IRTree!BD26*h)*((BE25+BE26)/2+cc*h))))</f>
        <v/>
      </c>
      <c r="BE25" s="3" t="str">
        <f>IF(BE$11&gt;T,"",IF($A25&gt;BE$12,"",IF(T=BE$11,100,EXP(-IRTree!BE26*h)*((BF25+BF26)/2+cc*h))))</f>
        <v/>
      </c>
      <c r="BF25" s="3" t="str">
        <f>IF(BF$11&gt;T,"",IF($A25&gt;BF$12,"",IF(T=BF$11,100,EXP(-IRTree!BF26*h)*((BG25+BG26)/2+cc*h))))</f>
        <v/>
      </c>
      <c r="BG25" s="3" t="str">
        <f>IF(BG$11&gt;T,"",IF($A25&gt;BG$12,"",IF(T=BG$11,100,EXP(-IRTree!BG26*h)*((BH25+BH26)/2+cc*h))))</f>
        <v/>
      </c>
      <c r="BH25" s="3" t="str">
        <f>IF(BH$11&gt;T,"",IF($A25&gt;BH$12,"",IF(T=BH$11,100,EXP(-IRTree!BH26*h)*((BI25+BI26)/2+cc*h))))</f>
        <v/>
      </c>
      <c r="BI25" s="3" t="str">
        <f>IF(BI$11&gt;T,"",IF($A25&gt;BI$12,"",IF(T=BI$11,100,EXP(-IRTree!BI26*h)*((BJ25+BJ26)/2+cc*h))))</f>
        <v/>
      </c>
      <c r="BJ25" s="3" t="str">
        <f>IF(BJ$11&gt;T,"",IF($A25&gt;BJ$12,"",IF(T=BJ$11,100,EXP(-IRTree!BJ26*h)*((BK25+BK26)/2+cc*h))))</f>
        <v/>
      </c>
    </row>
    <row r="26" spans="1:62">
      <c r="A26" s="12">
        <f t="shared" si="2"/>
        <v>13</v>
      </c>
      <c r="B26" s="3" t="str">
        <f>IF(B$11&gt;T,"",IF($A26&gt;B$12,"",IF(T=B$11,100,EXP(-IRTree!B27*h)*((C26+C27)/2+cc*h))))</f>
        <v/>
      </c>
      <c r="C26" s="3" t="str">
        <f>IF(C$11&gt;T,"",IF($A26&gt;C$12,"",IF(T=C$11,100,EXP(-IRTree!C27*h)*((D26+D27)/2+cc*h))))</f>
        <v/>
      </c>
      <c r="D26" s="3" t="str">
        <f>IF(D$11&gt;T,"",IF($A26&gt;D$12,"",IF(T=D$11,100,EXP(-IRTree!D27*h)*((E26+E27)/2+cc*h))))</f>
        <v/>
      </c>
      <c r="E26" s="3" t="str">
        <f>IF(E$11&gt;T,"",IF($A26&gt;E$12,"",IF(T=E$11,100,EXP(-IRTree!E27*h)*((F26+F27)/2+cc*h))))</f>
        <v/>
      </c>
      <c r="F26" s="3" t="str">
        <f>IF(F$11&gt;T,"",IF($A26&gt;F$12,"",IF(T=F$11,100,EXP(-IRTree!F27*h)*((G26+G27)/2+cc*h))))</f>
        <v/>
      </c>
      <c r="G26" s="3" t="str">
        <f>IF(G$11&gt;T,"",IF($A26&gt;G$12,"",IF(T=G$11,100,EXP(-IRTree!G27*h)*((H26+H27)/2+cc*h))))</f>
        <v/>
      </c>
      <c r="H26" s="3" t="str">
        <f>IF(H$11&gt;T,"",IF($A26&gt;H$12,"",IF(T=H$11,100,EXP(-IRTree!H27*h)*((I26+I27)/2+cc*h))))</f>
        <v/>
      </c>
      <c r="I26" s="3" t="str">
        <f>IF(I$11&gt;T,"",IF($A26&gt;I$12,"",IF(T=I$11,100,EXP(-IRTree!I27*h)*((J26+J27)/2+cc*h))))</f>
        <v/>
      </c>
      <c r="J26" s="3" t="str">
        <f>IF(J$11&gt;T,"",IF($A26&gt;J$12,"",IF(T=J$11,100,EXP(-IRTree!J27*h)*((K26+K27)/2+cc*h))))</f>
        <v/>
      </c>
      <c r="K26" s="3" t="str">
        <f>IF(K$11&gt;T,"",IF($A26&gt;K$12,"",IF(T=K$11,100,EXP(-IRTree!K27*h)*((L26+L27)/2+cc*h))))</f>
        <v/>
      </c>
      <c r="L26" s="3" t="str">
        <f>IF(L$11&gt;T,"",IF($A26&gt;L$12,"",IF(T=L$11,100,EXP(-IRTree!L27*h)*((M26+M27)/2+cc*h))))</f>
        <v/>
      </c>
      <c r="M26" s="3" t="str">
        <f>IF(M$11&gt;T,"",IF($A26&gt;M$12,"",IF(T=M$11,100,EXP(-IRTree!M27*h)*((N26+N27)/2+cc*h))))</f>
        <v/>
      </c>
      <c r="N26" s="3" t="str">
        <f>IF(N$11&gt;T,"",IF($A26&gt;N$12,"",IF(T=N$11,100,EXP(-IRTree!N27*h)*((O26+O27)/2+cc*h))))</f>
        <v/>
      </c>
      <c r="O26" s="3">
        <f>IF(O$11&gt;T,"",IF($A26&gt;O$12,"",IF(T=O$11,100,EXP(-IRTree!O27*h)*((P26+P27)/2+cc*h))))</f>
        <v>92.195525706744306</v>
      </c>
      <c r="P26" s="3">
        <f>IF(P$11&gt;T,"",IF($A26&gt;P$12,"",IF(T=P$11,100,EXP(-IRTree!P27*h)*((Q26+Q27)/2+cc*h))))</f>
        <v>91.536094864924564</v>
      </c>
      <c r="Q26" s="3">
        <f>IF(Q$11&gt;T,"",IF($A26&gt;Q$12,"",IF(T=Q$11,100,EXP(-IRTree!Q27*h)*((R26+R27)/2+cc*h))))</f>
        <v>90.856895158691913</v>
      </c>
      <c r="R26" s="3">
        <f>IF(R$11&gt;T,"",IF($A26&gt;R$12,"",IF(T=R$11,100,EXP(-IRTree!R27*h)*((S26+S27)/2+cc*h))))</f>
        <v>90.134188247929117</v>
      </c>
      <c r="S26" s="3">
        <f>IF(S$11&gt;T,"",IF($A26&gt;S$12,"",IF(T=S$11,100,EXP(-IRTree!S27*h)*((T26+T27)/2+cc*h))))</f>
        <v>89.402922201247719</v>
      </c>
      <c r="T26" s="3">
        <f>IF(T$11&gt;T,"",IF($A26&gt;T$12,"",IF(T=T$11,100,EXP(-IRTree!T27*h)*((U26+U27)/2+cc*h))))</f>
        <v>88.659853536388667</v>
      </c>
      <c r="U26" s="3">
        <f>IF(U$11&gt;T,"",IF($A26&gt;U$12,"",IF(T=U$11,100,EXP(-IRTree!U27*h)*((V26+V27)/2+cc*h))))</f>
        <v>87.916238619772727</v>
      </c>
      <c r="V26" s="3">
        <f>IF(V$11&gt;T,"",IF($A26&gt;V$12,"",IF(T=V$11,100,EXP(-IRTree!V27*h)*((W26+W27)/2+cc*h))))</f>
        <v>87.163693542508184</v>
      </c>
      <c r="W26" s="3">
        <f>IF(W$11&gt;T,"",IF($A26&gt;W$12,"",IF(T=W$11,100,EXP(-IRTree!W27*h)*((X26+X27)/2+cc*h))))</f>
        <v>86.413147749415714</v>
      </c>
      <c r="X26" s="3">
        <f>IF(X$11&gt;T,"",IF($A26&gt;X$12,"",IF(T=X$11,100,EXP(-IRTree!X27*h)*((Y26+Y27)/2+cc*h))))</f>
        <v>85.665755518582031</v>
      </c>
      <c r="Y26" s="3">
        <f>IF(Y$11&gt;T,"",IF($A26&gt;Y$12,"",IF(T=Y$11,100,EXP(-IRTree!Y27*h)*((Z26+Z27)/2+cc*h))))</f>
        <v>84.953744058531612</v>
      </c>
      <c r="Z26" s="3">
        <f>IF(Z$11&gt;T,"",IF($A26&gt;Z$12,"",IF(T=Z$11,100,EXP(-IRTree!Z27*h)*((AA26+AA27)/2+cc*h))))</f>
        <v>84.270164364809602</v>
      </c>
      <c r="AA26" s="3">
        <f>IF(AA$11&gt;T,"",IF($A26&gt;AA$12,"",IF(T=AA$11,100,EXP(-IRTree!AA27*h)*((AB26+AB27)/2+cc*h))))</f>
        <v>83.639334244268341</v>
      </c>
      <c r="AB26" s="3">
        <f>IF(AB$11&gt;T,"",IF($A26&gt;AB$12,"",IF(T=AB$11,100,EXP(-IRTree!AB27*h)*((AC26+AC27)/2+cc*h))))</f>
        <v>83.07864434623113</v>
      </c>
      <c r="AC26" s="3">
        <f>IF(AC$11&gt;T,"",IF($A26&gt;AC$12,"",IF(T=AC$11,100,EXP(-IRTree!AC27*h)*((AD26+AD27)/2+cc*h))))</f>
        <v>82.602043731813538</v>
      </c>
      <c r="AD26" s="3">
        <f>IF(AD$11&gt;T,"",IF($A26&gt;AD$12,"",IF(T=AD$11,100,EXP(-IRTree!AD27*h)*((AE26+AE27)/2+cc*h))))</f>
        <v>82.236840248402629</v>
      </c>
      <c r="AE26" s="3">
        <f>IF(AE$11&gt;T,"",IF($A26&gt;AE$12,"",IF(T=AE$11,100,EXP(-IRTree!AE27*h)*((AF26+AF27)/2+cc*h))))</f>
        <v>82.008642564783386</v>
      </c>
      <c r="AF26" s="3">
        <f>IF(AF$11&gt;T,"",IF($A26&gt;AF$12,"",IF(T=AF$11,100,EXP(-IRTree!AF27*h)*((AG26+AG27)/2+cc*h))))</f>
        <v>81.947619758954758</v>
      </c>
      <c r="AG26" s="3">
        <f>IF(AG$11&gt;T,"",IF($A26&gt;AG$12,"",IF(T=AG$11,100,EXP(-IRTree!AG27*h)*((AH26+AH27)/2+cc*h))))</f>
        <v>82.091339512815168</v>
      </c>
      <c r="AH26" s="3">
        <f>IF(AH$11&gt;T,"",IF($A26&gt;AH$12,"",IF(T=AH$11,100,EXP(-IRTree!AH27*h)*((AI26+AI27)/2+cc*h))))</f>
        <v>82.479110797172453</v>
      </c>
      <c r="AI26" s="3">
        <f>IF(AI$11&gt;T,"",IF($A26&gt;AI$12,"",IF(T=AI$11,100,EXP(-IRTree!AI27*h)*((AJ26+AJ27)/2+cc*h))))</f>
        <v>83.163568490455759</v>
      </c>
      <c r="AJ26" s="3">
        <f>IF(AJ$11&gt;T,"",IF($A26&gt;AJ$12,"",IF(T=AJ$11,100,EXP(-IRTree!AJ27*h)*((AK26+AK27)/2+cc*h))))</f>
        <v>84.171944574952548</v>
      </c>
      <c r="AK26" s="3">
        <f>IF(AK$11&gt;T,"",IF($A26&gt;AK$12,"",IF(T=AK$11,100,EXP(-IRTree!AK27*h)*((AL26+AL27)/2+cc*h))))</f>
        <v>85.558354698915423</v>
      </c>
      <c r="AL26" s="3">
        <f>IF(AL$11&gt;T,"",IF($A26&gt;AL$12,"",IF(T=AL$11,100,EXP(-IRTree!AL27*h)*((AM26+AM27)/2+cc*h))))</f>
        <v>87.357724230257276</v>
      </c>
      <c r="AM26" s="3">
        <f>IF(AM$11&gt;T,"",IF($A26&gt;AM$12,"",IF(T=AM$11,100,EXP(-IRTree!AM27*h)*((AN26+AN27)/2+cc*h))))</f>
        <v>89.682389685025953</v>
      </c>
      <c r="AN26" s="3">
        <f>IF(AN$11&gt;T,"",IF($A26&gt;AN$12,"",IF(T=AN$11,100,EXP(-IRTree!AN27*h)*((AO26+AO27)/2+cc*h))))</f>
        <v>92.528454016239536</v>
      </c>
      <c r="AO26" s="3">
        <f>IF(AO$11&gt;T,"",IF($A26&gt;AO$12,"",IF(T=AO$11,100,EXP(-IRTree!AO27*h)*((AP26+AP27)/2+cc*h))))</f>
        <v>95.945914906478535</v>
      </c>
      <c r="AP26" s="3">
        <f>IF(AP$11&gt;T,"",IF($A26&gt;AP$12,"",IF(T=AP$11,100,EXP(-IRTree!AP27*h)*((AQ26+AQ27)/2+cc*h))))</f>
        <v>100</v>
      </c>
      <c r="AQ26" s="3" t="str">
        <f>IF(AQ$11&gt;T,"",IF($A26&gt;AQ$12,"",IF(T=AQ$11,100,EXP(-IRTree!AQ27*h)*((AR26+AR27)/2+cc*h))))</f>
        <v/>
      </c>
      <c r="AR26" s="3" t="str">
        <f>IF(AR$11&gt;T,"",IF($A26&gt;AR$12,"",IF(T=AR$11,100,EXP(-IRTree!AR27*h)*((AS26+AS27)/2+cc*h))))</f>
        <v/>
      </c>
      <c r="AS26" s="3" t="str">
        <f>IF(AS$11&gt;T,"",IF($A26&gt;AS$12,"",IF(T=AS$11,100,EXP(-IRTree!AS27*h)*((AT26+AT27)/2+cc*h))))</f>
        <v/>
      </c>
      <c r="AT26" s="3" t="str">
        <f>IF(AT$11&gt;T,"",IF($A26&gt;AT$12,"",IF(T=AT$11,100,EXP(-IRTree!AT27*h)*((AU26+AU27)/2+cc*h))))</f>
        <v/>
      </c>
      <c r="AU26" s="3" t="str">
        <f>IF(AU$11&gt;T,"",IF($A26&gt;AU$12,"",IF(T=AU$11,100,EXP(-IRTree!AU27*h)*((AV26+AV27)/2+cc*h))))</f>
        <v/>
      </c>
      <c r="AV26" s="3" t="str">
        <f>IF(AV$11&gt;T,"",IF($A26&gt;AV$12,"",IF(T=AV$11,100,EXP(-IRTree!AV27*h)*((AW26+AW27)/2+cc*h))))</f>
        <v/>
      </c>
      <c r="AW26" s="3" t="str">
        <f>IF(AW$11&gt;T,"",IF($A26&gt;AW$12,"",IF(T=AW$11,100,EXP(-IRTree!AW27*h)*((AX26+AX27)/2+cc*h))))</f>
        <v/>
      </c>
      <c r="AX26" s="3" t="str">
        <f>IF(AX$11&gt;T,"",IF($A26&gt;AX$12,"",IF(T=AX$11,100,EXP(-IRTree!AX27*h)*((AY26+AY27)/2+cc*h))))</f>
        <v/>
      </c>
      <c r="AY26" s="3" t="str">
        <f>IF(AY$11&gt;T,"",IF($A26&gt;AY$12,"",IF(T=AY$11,100,EXP(-IRTree!AY27*h)*((AZ26+AZ27)/2+cc*h))))</f>
        <v/>
      </c>
      <c r="AZ26" s="3" t="str">
        <f>IF(AZ$11&gt;T,"",IF($A26&gt;AZ$12,"",IF(T=AZ$11,100,EXP(-IRTree!AZ27*h)*((BA26+BA27)/2+cc*h))))</f>
        <v/>
      </c>
      <c r="BA26" s="3" t="str">
        <f>IF(BA$11&gt;T,"",IF($A26&gt;BA$12,"",IF(T=BA$11,100,EXP(-IRTree!BA27*h)*((BB26+BB27)/2+cc*h))))</f>
        <v/>
      </c>
      <c r="BB26" s="3" t="str">
        <f>IF(BB$11&gt;T,"",IF($A26&gt;BB$12,"",IF(T=BB$11,100,EXP(-IRTree!BB27*h)*((BC26+BC27)/2+cc*h))))</f>
        <v/>
      </c>
      <c r="BC26" s="3" t="str">
        <f>IF(BC$11&gt;T,"",IF($A26&gt;BC$12,"",IF(T=BC$11,100,EXP(-IRTree!BC27*h)*((BD26+BD27)/2+cc*h))))</f>
        <v/>
      </c>
      <c r="BD26" s="3" t="str">
        <f>IF(BD$11&gt;T,"",IF($A26&gt;BD$12,"",IF(T=BD$11,100,EXP(-IRTree!BD27*h)*((BE26+BE27)/2+cc*h))))</f>
        <v/>
      </c>
      <c r="BE26" s="3" t="str">
        <f>IF(BE$11&gt;T,"",IF($A26&gt;BE$12,"",IF(T=BE$11,100,EXP(-IRTree!BE27*h)*((BF26+BF27)/2+cc*h))))</f>
        <v/>
      </c>
      <c r="BF26" s="3" t="str">
        <f>IF(BF$11&gt;T,"",IF($A26&gt;BF$12,"",IF(T=BF$11,100,EXP(-IRTree!BF27*h)*((BG26+BG27)/2+cc*h))))</f>
        <v/>
      </c>
      <c r="BG26" s="3" t="str">
        <f>IF(BG$11&gt;T,"",IF($A26&gt;BG$12,"",IF(T=BG$11,100,EXP(-IRTree!BG27*h)*((BH26+BH27)/2+cc*h))))</f>
        <v/>
      </c>
      <c r="BH26" s="3" t="str">
        <f>IF(BH$11&gt;T,"",IF($A26&gt;BH$12,"",IF(T=BH$11,100,EXP(-IRTree!BH27*h)*((BI26+BI27)/2+cc*h))))</f>
        <v/>
      </c>
      <c r="BI26" s="3" t="str">
        <f>IF(BI$11&gt;T,"",IF($A26&gt;BI$12,"",IF(T=BI$11,100,EXP(-IRTree!BI27*h)*((BJ26+BJ27)/2+cc*h))))</f>
        <v/>
      </c>
      <c r="BJ26" s="3" t="str">
        <f>IF(BJ$11&gt;T,"",IF($A26&gt;BJ$12,"",IF(T=BJ$11,100,EXP(-IRTree!BJ27*h)*((BK26+BK27)/2+cc*h))))</f>
        <v/>
      </c>
    </row>
    <row r="27" spans="1:62">
      <c r="A27" s="12">
        <f t="shared" si="2"/>
        <v>14</v>
      </c>
      <c r="B27" s="3" t="str">
        <f>IF(B$11&gt;T,"",IF($A27&gt;B$12,"",IF(T=B$11,100,EXP(-IRTree!B28*h)*((C27+C28)/2+cc*h))))</f>
        <v/>
      </c>
      <c r="C27" s="3" t="str">
        <f>IF(C$11&gt;T,"",IF($A27&gt;C$12,"",IF(T=C$11,100,EXP(-IRTree!C28*h)*((D27+D28)/2+cc*h))))</f>
        <v/>
      </c>
      <c r="D27" s="3" t="str">
        <f>IF(D$11&gt;T,"",IF($A27&gt;D$12,"",IF(T=D$11,100,EXP(-IRTree!D28*h)*((E27+E28)/2+cc*h))))</f>
        <v/>
      </c>
      <c r="E27" s="3" t="str">
        <f>IF(E$11&gt;T,"",IF($A27&gt;E$12,"",IF(T=E$11,100,EXP(-IRTree!E28*h)*((F27+F28)/2+cc*h))))</f>
        <v/>
      </c>
      <c r="F27" s="3" t="str">
        <f>IF(F$11&gt;T,"",IF($A27&gt;F$12,"",IF(T=F$11,100,EXP(-IRTree!F28*h)*((G27+G28)/2+cc*h))))</f>
        <v/>
      </c>
      <c r="G27" s="3" t="str">
        <f>IF(G$11&gt;T,"",IF($A27&gt;G$12,"",IF(T=G$11,100,EXP(-IRTree!G28*h)*((H27+H28)/2+cc*h))))</f>
        <v/>
      </c>
      <c r="H27" s="3" t="str">
        <f>IF(H$11&gt;T,"",IF($A27&gt;H$12,"",IF(T=H$11,100,EXP(-IRTree!H28*h)*((I27+I28)/2+cc*h))))</f>
        <v/>
      </c>
      <c r="I27" s="3" t="str">
        <f>IF(I$11&gt;T,"",IF($A27&gt;I$12,"",IF(T=I$11,100,EXP(-IRTree!I28*h)*((J27+J28)/2+cc*h))))</f>
        <v/>
      </c>
      <c r="J27" s="3" t="str">
        <f>IF(J$11&gt;T,"",IF($A27&gt;J$12,"",IF(T=J$11,100,EXP(-IRTree!J28*h)*((K27+K28)/2+cc*h))))</f>
        <v/>
      </c>
      <c r="K27" s="3" t="str">
        <f>IF(K$11&gt;T,"",IF($A27&gt;K$12,"",IF(T=K$11,100,EXP(-IRTree!K28*h)*((L27+L28)/2+cc*h))))</f>
        <v/>
      </c>
      <c r="L27" s="3" t="str">
        <f>IF(L$11&gt;T,"",IF($A27&gt;L$12,"",IF(T=L$11,100,EXP(-IRTree!L28*h)*((M27+M28)/2+cc*h))))</f>
        <v/>
      </c>
      <c r="M27" s="3" t="str">
        <f>IF(M$11&gt;T,"",IF($A27&gt;M$12,"",IF(T=M$11,100,EXP(-IRTree!M28*h)*((N27+N28)/2+cc*h))))</f>
        <v/>
      </c>
      <c r="N27" s="3" t="str">
        <f>IF(N$11&gt;T,"",IF($A27&gt;N$12,"",IF(T=N$11,100,EXP(-IRTree!N28*h)*((O27+O28)/2+cc*h))))</f>
        <v/>
      </c>
      <c r="O27" s="3" t="str">
        <f>IF(O$11&gt;T,"",IF($A27&gt;O$12,"",IF(T=O$11,100,EXP(-IRTree!O28*h)*((P27+P28)/2+cc*h))))</f>
        <v/>
      </c>
      <c r="P27" s="3">
        <f>IF(P$11&gt;T,"",IF($A27&gt;P$12,"",IF(T=P$11,100,EXP(-IRTree!P28*h)*((Q27+Q28)/2+cc*h))))</f>
        <v>93.128173085442597</v>
      </c>
      <c r="Q27" s="3">
        <f>IF(Q$11&gt;T,"",IF($A27&gt;Q$12,"",IF(T=Q$11,100,EXP(-IRTree!Q28*h)*((R27+R28)/2+cc*h))))</f>
        <v>92.565631615886488</v>
      </c>
      <c r="R27" s="3">
        <f>IF(R$11&gt;T,"",IF($A27&gt;R$12,"",IF(T=R$11,100,EXP(-IRTree!R28*h)*((S27+S28)/2+cc*h))))</f>
        <v>91.963760952286975</v>
      </c>
      <c r="S27" s="3">
        <f>IF(S$11&gt;T,"",IF($A27&gt;S$12,"",IF(T=S$11,100,EXP(-IRTree!S28*h)*((T27+T28)/2+cc*h))))</f>
        <v>91.35327524795602</v>
      </c>
      <c r="T27" s="3">
        <f>IF(T$11&gt;T,"",IF($A27&gt;T$12,"",IF(T=T$11,100,EXP(-IRTree!T28*h)*((U27+U28)/2+cc*h))))</f>
        <v>90.730976480742342</v>
      </c>
      <c r="U27" s="3">
        <f>IF(U$11&gt;T,"",IF($A27&gt;U$12,"",IF(T=U$11,100,EXP(-IRTree!U28*h)*((V27+V28)/2+cc*h))))</f>
        <v>90.107077452431369</v>
      </c>
      <c r="V27" s="3">
        <f>IF(V$11&gt;T,"",IF($A27&gt;V$12,"",IF(T=V$11,100,EXP(-IRTree!V28*h)*((W27+W28)/2+cc*h))))</f>
        <v>89.472696745202938</v>
      </c>
      <c r="W27" s="3">
        <f>IF(W$11&gt;T,"",IF($A27&gt;W$12,"",IF(T=W$11,100,EXP(-IRTree!W28*h)*((X27+X28)/2+cc*h))))</f>
        <v>88.837170337778971</v>
      </c>
      <c r="X27" s="3">
        <f>IF(X$11&gt;T,"",IF($A27&gt;X$12,"",IF(T=X$11,100,EXP(-IRTree!X28*h)*((Y27+Y28)/2+cc*h))))</f>
        <v>88.19948976029886</v>
      </c>
      <c r="Y27" s="3">
        <f>IF(Y$11&gt;T,"",IF($A27&gt;Y$12,"",IF(T=Y$11,100,EXP(-IRTree!Y28*h)*((Z27+Z28)/2+cc*h))))</f>
        <v>87.591157015741771</v>
      </c>
      <c r="Z27" s="3">
        <f>IF(Z$11&gt;T,"",IF($A27&gt;Z$12,"",IF(T=Z$11,100,EXP(-IRTree!Z28*h)*((AA27+AA28)/2+cc*h))))</f>
        <v>87.001687925249968</v>
      </c>
      <c r="AA27" s="3">
        <f>IF(AA$11&gt;T,"",IF($A27&gt;AA$12,"",IF(T=AA$11,100,EXP(-IRTree!AA28*h)*((AB27+AB28)/2+cc*h))))</f>
        <v>86.45399859475161</v>
      </c>
      <c r="AB27" s="3">
        <f>IF(AB$11&gt;T,"",IF($A27&gt;AB$12,"",IF(T=AB$11,100,EXP(-IRTree!AB28*h)*((AC27+AC28)/2+cc*h))))</f>
        <v>85.963705751612849</v>
      </c>
      <c r="AC27" s="3">
        <f>IF(AC$11&gt;T,"",IF($A27&gt;AC$12,"",IF(T=AC$11,100,EXP(-IRTree!AC28*h)*((AD27+AD28)/2+cc*h))))</f>
        <v>85.539256153891927</v>
      </c>
      <c r="AD27" s="3">
        <f>IF(AD$11&gt;T,"",IF($A27&gt;AD$12,"",IF(T=AD$11,100,EXP(-IRTree!AD28*h)*((AE27+AE28)/2+cc*h))))</f>
        <v>85.206440556658436</v>
      </c>
      <c r="AE27" s="3">
        <f>IF(AE$11&gt;T,"",IF($A27&gt;AE$12,"",IF(T=AE$11,100,EXP(-IRTree!AE28*h)*((AF27+AF28)/2+cc*h))))</f>
        <v>84.987905270227486</v>
      </c>
      <c r="AF27" s="3">
        <f>IF(AF$11&gt;T,"",IF($A27&gt;AF$12,"",IF(T=AF$11,100,EXP(-IRTree!AF28*h)*((AG27+AG28)/2+cc*h))))</f>
        <v>84.907582586174939</v>
      </c>
      <c r="AG27" s="3">
        <f>IF(AG$11&gt;T,"",IF($A27&gt;AG$12,"",IF(T=AG$11,100,EXP(-IRTree!AG28*h)*((AH27+AH28)/2+cc*h))))</f>
        <v>84.996405057313709</v>
      </c>
      <c r="AH27" s="3">
        <f>IF(AH$11&gt;T,"",IF($A27&gt;AH$12,"",IF(T=AH$11,100,EXP(-IRTree!AH28*h)*((AI27+AI28)/2+cc*h))))</f>
        <v>85.290555818339698</v>
      </c>
      <c r="AI27" s="3">
        <f>IF(AI$11&gt;T,"",IF($A27&gt;AI$12,"",IF(T=AI$11,100,EXP(-IRTree!AI28*h)*((AJ27+AJ28)/2+cc*h))))</f>
        <v>85.83184326675844</v>
      </c>
      <c r="AJ27" s="3">
        <f>IF(AJ$11&gt;T,"",IF($A27&gt;AJ$12,"",IF(T=AJ$11,100,EXP(-IRTree!AJ28*h)*((AK27+AK28)/2+cc*h))))</f>
        <v>86.653225523794291</v>
      </c>
      <c r="AK27" s="3">
        <f>IF(AK$11&gt;T,"",IF($A27&gt;AK$12,"",IF(T=AK$11,100,EXP(-IRTree!AK28*h)*((AL27+AL28)/2+cc*h))))</f>
        <v>87.798701060556567</v>
      </c>
      <c r="AL27" s="3">
        <f>IF(AL$11&gt;T,"",IF($A27&gt;AL$12,"",IF(T=AL$11,100,EXP(-IRTree!AL28*h)*((AM27+AM28)/2+cc*h))))</f>
        <v>89.303385002669941</v>
      </c>
      <c r="AM27" s="3">
        <f>IF(AM$11&gt;T,"",IF($A27&gt;AM$12,"",IF(T=AM$11,100,EXP(-IRTree!AM28*h)*((AN27+AN28)/2+cc*h))))</f>
        <v>91.250406037734862</v>
      </c>
      <c r="AN27" s="3">
        <f>IF(AN$11&gt;T,"",IF($A27&gt;AN$12,"",IF(T=AN$11,100,EXP(-IRTree!AN28*h)*((AO27+AO28)/2+cc*h))))</f>
        <v>93.651776765292837</v>
      </c>
      <c r="AO27" s="3">
        <f>IF(AO$11&gt;T,"",IF($A27&gt;AO$12,"",IF(T=AO$11,100,EXP(-IRTree!AO28*h)*((AP27+AP28)/2+cc*h))))</f>
        <v>96.550310361033681</v>
      </c>
      <c r="AP27" s="3">
        <f>IF(AP$11&gt;T,"",IF($A27&gt;AP$12,"",IF(T=AP$11,100,EXP(-IRTree!AP28*h)*((AQ27+AQ28)/2+cc*h))))</f>
        <v>100</v>
      </c>
      <c r="AQ27" s="3" t="str">
        <f>IF(AQ$11&gt;T,"",IF($A27&gt;AQ$12,"",IF(T=AQ$11,100,EXP(-IRTree!AQ28*h)*((AR27+AR28)/2+cc*h))))</f>
        <v/>
      </c>
      <c r="AR27" s="3" t="str">
        <f>IF(AR$11&gt;T,"",IF($A27&gt;AR$12,"",IF(T=AR$11,100,EXP(-IRTree!AR28*h)*((AS27+AS28)/2+cc*h))))</f>
        <v/>
      </c>
      <c r="AS27" s="3" t="str">
        <f>IF(AS$11&gt;T,"",IF($A27&gt;AS$12,"",IF(T=AS$11,100,EXP(-IRTree!AS28*h)*((AT27+AT28)/2+cc*h))))</f>
        <v/>
      </c>
      <c r="AT27" s="3" t="str">
        <f>IF(AT$11&gt;T,"",IF($A27&gt;AT$12,"",IF(T=AT$11,100,EXP(-IRTree!AT28*h)*((AU27+AU28)/2+cc*h))))</f>
        <v/>
      </c>
      <c r="AU27" s="3" t="str">
        <f>IF(AU$11&gt;T,"",IF($A27&gt;AU$12,"",IF(T=AU$11,100,EXP(-IRTree!AU28*h)*((AV27+AV28)/2+cc*h))))</f>
        <v/>
      </c>
      <c r="AV27" s="3" t="str">
        <f>IF(AV$11&gt;T,"",IF($A27&gt;AV$12,"",IF(T=AV$11,100,EXP(-IRTree!AV28*h)*((AW27+AW28)/2+cc*h))))</f>
        <v/>
      </c>
      <c r="AW27" s="3" t="str">
        <f>IF(AW$11&gt;T,"",IF($A27&gt;AW$12,"",IF(T=AW$11,100,EXP(-IRTree!AW28*h)*((AX27+AX28)/2+cc*h))))</f>
        <v/>
      </c>
      <c r="AX27" s="3" t="str">
        <f>IF(AX$11&gt;T,"",IF($A27&gt;AX$12,"",IF(T=AX$11,100,EXP(-IRTree!AX28*h)*((AY27+AY28)/2+cc*h))))</f>
        <v/>
      </c>
      <c r="AY27" s="3" t="str">
        <f>IF(AY$11&gt;T,"",IF($A27&gt;AY$12,"",IF(T=AY$11,100,EXP(-IRTree!AY28*h)*((AZ27+AZ28)/2+cc*h))))</f>
        <v/>
      </c>
      <c r="AZ27" s="3" t="str">
        <f>IF(AZ$11&gt;T,"",IF($A27&gt;AZ$12,"",IF(T=AZ$11,100,EXP(-IRTree!AZ28*h)*((BA27+BA28)/2+cc*h))))</f>
        <v/>
      </c>
      <c r="BA27" s="3" t="str">
        <f>IF(BA$11&gt;T,"",IF($A27&gt;BA$12,"",IF(T=BA$11,100,EXP(-IRTree!BA28*h)*((BB27+BB28)/2+cc*h))))</f>
        <v/>
      </c>
      <c r="BB27" s="3" t="str">
        <f>IF(BB$11&gt;T,"",IF($A27&gt;BB$12,"",IF(T=BB$11,100,EXP(-IRTree!BB28*h)*((BC27+BC28)/2+cc*h))))</f>
        <v/>
      </c>
      <c r="BC27" s="3" t="str">
        <f>IF(BC$11&gt;T,"",IF($A27&gt;BC$12,"",IF(T=BC$11,100,EXP(-IRTree!BC28*h)*((BD27+BD28)/2+cc*h))))</f>
        <v/>
      </c>
      <c r="BD27" s="3" t="str">
        <f>IF(BD$11&gt;T,"",IF($A27&gt;BD$12,"",IF(T=BD$11,100,EXP(-IRTree!BD28*h)*((BE27+BE28)/2+cc*h))))</f>
        <v/>
      </c>
      <c r="BE27" s="3" t="str">
        <f>IF(BE$11&gt;T,"",IF($A27&gt;BE$12,"",IF(T=BE$11,100,EXP(-IRTree!BE28*h)*((BF27+BF28)/2+cc*h))))</f>
        <v/>
      </c>
      <c r="BF27" s="3" t="str">
        <f>IF(BF$11&gt;T,"",IF($A27&gt;BF$12,"",IF(T=BF$11,100,EXP(-IRTree!BF28*h)*((BG27+BG28)/2+cc*h))))</f>
        <v/>
      </c>
      <c r="BG27" s="3" t="str">
        <f>IF(BG$11&gt;T,"",IF($A27&gt;BG$12,"",IF(T=BG$11,100,EXP(-IRTree!BG28*h)*((BH27+BH28)/2+cc*h))))</f>
        <v/>
      </c>
      <c r="BH27" s="3" t="str">
        <f>IF(BH$11&gt;T,"",IF($A27&gt;BH$12,"",IF(T=BH$11,100,EXP(-IRTree!BH28*h)*((BI27+BI28)/2+cc*h))))</f>
        <v/>
      </c>
      <c r="BI27" s="3" t="str">
        <f>IF(BI$11&gt;T,"",IF($A27&gt;BI$12,"",IF(T=BI$11,100,EXP(-IRTree!BI28*h)*((BJ27+BJ28)/2+cc*h))))</f>
        <v/>
      </c>
      <c r="BJ27" s="3" t="str">
        <f>IF(BJ$11&gt;T,"",IF($A27&gt;BJ$12,"",IF(T=BJ$11,100,EXP(-IRTree!BJ28*h)*((BK27+BK28)/2+cc*h))))</f>
        <v/>
      </c>
    </row>
    <row r="28" spans="1:62">
      <c r="A28" s="12">
        <f t="shared" si="2"/>
        <v>15</v>
      </c>
      <c r="B28" s="3" t="str">
        <f>IF(B$11&gt;T,"",IF($A28&gt;B$12,"",IF(T=B$11,100,EXP(-IRTree!B29*h)*((C28+C29)/2+cc*h))))</f>
        <v/>
      </c>
      <c r="C28" s="3" t="str">
        <f>IF(C$11&gt;T,"",IF($A28&gt;C$12,"",IF(T=C$11,100,EXP(-IRTree!C29*h)*((D28+D29)/2+cc*h))))</f>
        <v/>
      </c>
      <c r="D28" s="3" t="str">
        <f>IF(D$11&gt;T,"",IF($A28&gt;D$12,"",IF(T=D$11,100,EXP(-IRTree!D29*h)*((E28+E29)/2+cc*h))))</f>
        <v/>
      </c>
      <c r="E28" s="3" t="str">
        <f>IF(E$11&gt;T,"",IF($A28&gt;E$12,"",IF(T=E$11,100,EXP(-IRTree!E29*h)*((F28+F29)/2+cc*h))))</f>
        <v/>
      </c>
      <c r="F28" s="3" t="str">
        <f>IF(F$11&gt;T,"",IF($A28&gt;F$12,"",IF(T=F$11,100,EXP(-IRTree!F29*h)*((G28+G29)/2+cc*h))))</f>
        <v/>
      </c>
      <c r="G28" s="3" t="str">
        <f>IF(G$11&gt;T,"",IF($A28&gt;G$12,"",IF(T=G$11,100,EXP(-IRTree!G29*h)*((H28+H29)/2+cc*h))))</f>
        <v/>
      </c>
      <c r="H28" s="3" t="str">
        <f>IF(H$11&gt;T,"",IF($A28&gt;H$12,"",IF(T=H$11,100,EXP(-IRTree!H29*h)*((I28+I29)/2+cc*h))))</f>
        <v/>
      </c>
      <c r="I28" s="3" t="str">
        <f>IF(I$11&gt;T,"",IF($A28&gt;I$12,"",IF(T=I$11,100,EXP(-IRTree!I29*h)*((J28+J29)/2+cc*h))))</f>
        <v/>
      </c>
      <c r="J28" s="3" t="str">
        <f>IF(J$11&gt;T,"",IF($A28&gt;J$12,"",IF(T=J$11,100,EXP(-IRTree!J29*h)*((K28+K29)/2+cc*h))))</f>
        <v/>
      </c>
      <c r="K28" s="3" t="str">
        <f>IF(K$11&gt;T,"",IF($A28&gt;K$12,"",IF(T=K$11,100,EXP(-IRTree!K29*h)*((L28+L29)/2+cc*h))))</f>
        <v/>
      </c>
      <c r="L28" s="3" t="str">
        <f>IF(L$11&gt;T,"",IF($A28&gt;L$12,"",IF(T=L$11,100,EXP(-IRTree!L29*h)*((M28+M29)/2+cc*h))))</f>
        <v/>
      </c>
      <c r="M28" s="3" t="str">
        <f>IF(M$11&gt;T,"",IF($A28&gt;M$12,"",IF(T=M$11,100,EXP(-IRTree!M29*h)*((N28+N29)/2+cc*h))))</f>
        <v/>
      </c>
      <c r="N28" s="3" t="str">
        <f>IF(N$11&gt;T,"",IF($A28&gt;N$12,"",IF(T=N$11,100,EXP(-IRTree!N29*h)*((O28+O29)/2+cc*h))))</f>
        <v/>
      </c>
      <c r="O28" s="3" t="str">
        <f>IF(O$11&gt;T,"",IF($A28&gt;O$12,"",IF(T=O$11,100,EXP(-IRTree!O29*h)*((P28+P29)/2+cc*h))))</f>
        <v/>
      </c>
      <c r="P28" s="3" t="str">
        <f>IF(P$11&gt;T,"",IF($A28&gt;P$12,"",IF(T=P$11,100,EXP(-IRTree!P29*h)*((Q28+Q29)/2+cc*h))))</f>
        <v/>
      </c>
      <c r="Q28" s="3">
        <f>IF(Q$11&gt;T,"",IF($A28&gt;Q$12,"",IF(T=Q$11,100,EXP(-IRTree!Q29*h)*((R28+R29)/2+cc*h))))</f>
        <v>93.961777610593487</v>
      </c>
      <c r="R28" s="3">
        <f>IF(R$11&gt;T,"",IF($A28&gt;R$12,"",IF(T=R$11,100,EXP(-IRTree!R29*h)*((S28+S29)/2+cc*h))))</f>
        <v>93.462671415966824</v>
      </c>
      <c r="S28" s="3">
        <f>IF(S$11&gt;T,"",IF($A28&gt;S$12,"",IF(T=S$11,100,EXP(-IRTree!S29*h)*((T28+T29)/2+cc*h))))</f>
        <v>92.955217235721278</v>
      </c>
      <c r="T28" s="3">
        <f>IF(T$11&gt;T,"",IF($A28&gt;T$12,"",IF(T=T$11,100,EXP(-IRTree!T29*h)*((U28+U29)/2+cc*h))))</f>
        <v>92.436426558730318</v>
      </c>
      <c r="U28" s="3">
        <f>IF(U$11&gt;T,"",IF($A28&gt;U$12,"",IF(T=U$11,100,EXP(-IRTree!U29*h)*((V28+V29)/2+cc*h))))</f>
        <v>91.915381892911768</v>
      </c>
      <c r="V28" s="3">
        <f>IF(V$11&gt;T,"",IF($A28&gt;V$12,"",IF(T=V$11,100,EXP(-IRTree!V29*h)*((W28+W29)/2+cc*h))))</f>
        <v>91.383290686469891</v>
      </c>
      <c r="W28" s="3">
        <f>IF(W$11&gt;T,"",IF($A28&gt;W$12,"",IF(T=W$11,100,EXP(-IRTree!W29*h)*((X28+X29)/2+cc*h))))</f>
        <v>90.848036132726619</v>
      </c>
      <c r="X28" s="3">
        <f>IF(X$11&gt;T,"",IF($A28&gt;X$12,"",IF(T=X$11,100,EXP(-IRTree!X29*h)*((Y28+Y29)/2+cc*h))))</f>
        <v>90.30724265658931</v>
      </c>
      <c r="Y28" s="3">
        <f>IF(Y$11&gt;T,"",IF($A28&gt;Y$12,"",IF(T=Y$11,100,EXP(-IRTree!Y29*h)*((Z28+Z29)/2+cc*h))))</f>
        <v>89.790564560936332</v>
      </c>
      <c r="Z28" s="3">
        <f>IF(Z$11&gt;T,"",IF($A28&gt;Z$12,"",IF(T=Z$11,100,EXP(-IRTree!Z29*h)*((AA28+AA29)/2+cc*h))))</f>
        <v>89.285638498843028</v>
      </c>
      <c r="AA28" s="3">
        <f>IF(AA$11&gt;T,"",IF($A28&gt;AA$12,"",IF(T=AA$11,100,EXP(-IRTree!AA29*h)*((AB28+AB29)/2+cc*h))))</f>
        <v>88.813488545373716</v>
      </c>
      <c r="AB28" s="3">
        <f>IF(AB$11&gt;T,"",IF($A28&gt;AB$12,"",IF(T=AB$11,100,EXP(-IRTree!AB29*h)*((AC28+AC29)/2+cc*h))))</f>
        <v>88.387923360291396</v>
      </c>
      <c r="AC28" s="3">
        <f>IF(AC$11&gt;T,"",IF($A28&gt;AC$12,"",IF(T=AC$11,100,EXP(-IRTree!AC29*h)*((AD28+AD29)/2+cc*h))))</f>
        <v>88.013367066438647</v>
      </c>
      <c r="AD28" s="3">
        <f>IF(AD$11&gt;T,"",IF($A28&gt;AD$12,"",IF(T=AD$11,100,EXP(-IRTree!AD29*h)*((AE28+AE29)/2+cc*h))))</f>
        <v>87.713585105820968</v>
      </c>
      <c r="AE28" s="3">
        <f>IF(AE$11&gt;T,"",IF($A28&gt;AE$12,"",IF(T=AE$11,100,EXP(-IRTree!AE29*h)*((AF28+AF29)/2+cc*h))))</f>
        <v>87.508388401007906</v>
      </c>
      <c r="AF28" s="3">
        <f>IF(AF$11&gt;T,"",IF($A28&gt;AF$12,"",IF(T=AF$11,100,EXP(-IRTree!AF29*h)*((AG28+AG29)/2+cc*h))))</f>
        <v>87.416625756509177</v>
      </c>
      <c r="AG28" s="3">
        <f>IF(AG$11&gt;T,"",IF($A28&gt;AG$12,"",IF(T=AG$11,100,EXP(-IRTree!AG29*h)*((AH28+AH29)/2+cc*h))))</f>
        <v>87.463649644716725</v>
      </c>
      <c r="AH28" s="3">
        <f>IF(AH$11&gt;T,"",IF($A28&gt;AH$12,"",IF(T=AH$11,100,EXP(-IRTree!AH29*h)*((AI28+AI29)/2+cc*h))))</f>
        <v>87.682346111455331</v>
      </c>
      <c r="AI28" s="3">
        <f>IF(AI$11&gt;T,"",IF($A28&gt;AI$12,"",IF(T=AI$11,100,EXP(-IRTree!AI29*h)*((AJ28+AJ29)/2+cc*h))))</f>
        <v>88.105840362617784</v>
      </c>
      <c r="AJ28" s="3">
        <f>IF(AJ$11&gt;T,"",IF($A28&gt;AJ$12,"",IF(T=AJ$11,100,EXP(-IRTree!AJ29*h)*((AK28+AK29)/2+cc*h))))</f>
        <v>88.770249760142988</v>
      </c>
      <c r="AK28" s="3">
        <f>IF(AK$11&gt;T,"",IF($A28&gt;AK$12,"",IF(T=AK$11,100,EXP(-IRTree!AK29*h)*((AL28+AL29)/2+cc*h))))</f>
        <v>89.711550892885739</v>
      </c>
      <c r="AL28" s="3">
        <f>IF(AL$11&gt;T,"",IF($A28&gt;AL$12,"",IF(T=AL$11,100,EXP(-IRTree!AL29*h)*((AM28+AM29)/2+cc*h))))</f>
        <v>90.964450724349831</v>
      </c>
      <c r="AM28" s="3">
        <f>IF(AM$11&gt;T,"",IF($A28&gt;AM$12,"",IF(T=AM$11,100,EXP(-IRTree!AM29*h)*((AN28+AN29)/2+cc*h))))</f>
        <v>92.589704544093323</v>
      </c>
      <c r="AN28" s="3">
        <f>IF(AN$11&gt;T,"",IF($A28&gt;AN$12,"",IF(T=AN$11,100,EXP(-IRTree!AN29*h)*((AO28+AO29)/2+cc*h))))</f>
        <v>94.611066396014948</v>
      </c>
      <c r="AO28" s="3">
        <f>IF(AO$11&gt;T,"",IF($A28&gt;AO$12,"",IF(T=AO$11,100,EXP(-IRTree!AO29*h)*((AP28+AP29)/2+cc*h))))</f>
        <v>97.065982342748711</v>
      </c>
      <c r="AP28" s="3">
        <f>IF(AP$11&gt;T,"",IF($A28&gt;AP$12,"",IF(T=AP$11,100,EXP(-IRTree!AP29*h)*((AQ28+AQ29)/2+cc*h))))</f>
        <v>100</v>
      </c>
      <c r="AQ28" s="3" t="str">
        <f>IF(AQ$11&gt;T,"",IF($A28&gt;AQ$12,"",IF(T=AQ$11,100,EXP(-IRTree!AQ29*h)*((AR28+AR29)/2+cc*h))))</f>
        <v/>
      </c>
      <c r="AR28" s="3" t="str">
        <f>IF(AR$11&gt;T,"",IF($A28&gt;AR$12,"",IF(T=AR$11,100,EXP(-IRTree!AR29*h)*((AS28+AS29)/2+cc*h))))</f>
        <v/>
      </c>
      <c r="AS28" s="3" t="str">
        <f>IF(AS$11&gt;T,"",IF($A28&gt;AS$12,"",IF(T=AS$11,100,EXP(-IRTree!AS29*h)*((AT28+AT29)/2+cc*h))))</f>
        <v/>
      </c>
      <c r="AT28" s="3" t="str">
        <f>IF(AT$11&gt;T,"",IF($A28&gt;AT$12,"",IF(T=AT$11,100,EXP(-IRTree!AT29*h)*((AU28+AU29)/2+cc*h))))</f>
        <v/>
      </c>
      <c r="AU28" s="3" t="str">
        <f>IF(AU$11&gt;T,"",IF($A28&gt;AU$12,"",IF(T=AU$11,100,EXP(-IRTree!AU29*h)*((AV28+AV29)/2+cc*h))))</f>
        <v/>
      </c>
      <c r="AV28" s="3" t="str">
        <f>IF(AV$11&gt;T,"",IF($A28&gt;AV$12,"",IF(T=AV$11,100,EXP(-IRTree!AV29*h)*((AW28+AW29)/2+cc*h))))</f>
        <v/>
      </c>
      <c r="AW28" s="3" t="str">
        <f>IF(AW$11&gt;T,"",IF($A28&gt;AW$12,"",IF(T=AW$11,100,EXP(-IRTree!AW29*h)*((AX28+AX29)/2+cc*h))))</f>
        <v/>
      </c>
      <c r="AX28" s="3" t="str">
        <f>IF(AX$11&gt;T,"",IF($A28&gt;AX$12,"",IF(T=AX$11,100,EXP(-IRTree!AX29*h)*((AY28+AY29)/2+cc*h))))</f>
        <v/>
      </c>
      <c r="AY28" s="3" t="str">
        <f>IF(AY$11&gt;T,"",IF($A28&gt;AY$12,"",IF(T=AY$11,100,EXP(-IRTree!AY29*h)*((AZ28+AZ29)/2+cc*h))))</f>
        <v/>
      </c>
      <c r="AZ28" s="3" t="str">
        <f>IF(AZ$11&gt;T,"",IF($A28&gt;AZ$12,"",IF(T=AZ$11,100,EXP(-IRTree!AZ29*h)*((BA28+BA29)/2+cc*h))))</f>
        <v/>
      </c>
      <c r="BA28" s="3" t="str">
        <f>IF(BA$11&gt;T,"",IF($A28&gt;BA$12,"",IF(T=BA$11,100,EXP(-IRTree!BA29*h)*((BB28+BB29)/2+cc*h))))</f>
        <v/>
      </c>
      <c r="BB28" s="3" t="str">
        <f>IF(BB$11&gt;T,"",IF($A28&gt;BB$12,"",IF(T=BB$11,100,EXP(-IRTree!BB29*h)*((BC28+BC29)/2+cc*h))))</f>
        <v/>
      </c>
      <c r="BC28" s="3" t="str">
        <f>IF(BC$11&gt;T,"",IF($A28&gt;BC$12,"",IF(T=BC$11,100,EXP(-IRTree!BC29*h)*((BD28+BD29)/2+cc*h))))</f>
        <v/>
      </c>
      <c r="BD28" s="3" t="str">
        <f>IF(BD$11&gt;T,"",IF($A28&gt;BD$12,"",IF(T=BD$11,100,EXP(-IRTree!BD29*h)*((BE28+BE29)/2+cc*h))))</f>
        <v/>
      </c>
      <c r="BE28" s="3" t="str">
        <f>IF(BE$11&gt;T,"",IF($A28&gt;BE$12,"",IF(T=BE$11,100,EXP(-IRTree!BE29*h)*((BF28+BF29)/2+cc*h))))</f>
        <v/>
      </c>
      <c r="BF28" s="3" t="str">
        <f>IF(BF$11&gt;T,"",IF($A28&gt;BF$12,"",IF(T=BF$11,100,EXP(-IRTree!BF29*h)*((BG28+BG29)/2+cc*h))))</f>
        <v/>
      </c>
      <c r="BG28" s="3" t="str">
        <f>IF(BG$11&gt;T,"",IF($A28&gt;BG$12,"",IF(T=BG$11,100,EXP(-IRTree!BG29*h)*((BH28+BH29)/2+cc*h))))</f>
        <v/>
      </c>
      <c r="BH28" s="3" t="str">
        <f>IF(BH$11&gt;T,"",IF($A28&gt;BH$12,"",IF(T=BH$11,100,EXP(-IRTree!BH29*h)*((BI28+BI29)/2+cc*h))))</f>
        <v/>
      </c>
      <c r="BI28" s="3" t="str">
        <f>IF(BI$11&gt;T,"",IF($A28&gt;BI$12,"",IF(T=BI$11,100,EXP(-IRTree!BI29*h)*((BJ28+BJ29)/2+cc*h))))</f>
        <v/>
      </c>
      <c r="BJ28" s="3" t="str">
        <f>IF(BJ$11&gt;T,"",IF($A28&gt;BJ$12,"",IF(T=BJ$11,100,EXP(-IRTree!BJ29*h)*((BK28+BK29)/2+cc*h))))</f>
        <v/>
      </c>
    </row>
    <row r="29" spans="1:62">
      <c r="A29" s="12">
        <f t="shared" si="2"/>
        <v>16</v>
      </c>
      <c r="B29" s="3" t="str">
        <f>IF(B$11&gt;T,"",IF($A29&gt;B$12,"",IF(T=B$11,100,EXP(-IRTree!B30*h)*((C29+C30)/2+cc*h))))</f>
        <v/>
      </c>
      <c r="C29" s="3" t="str">
        <f>IF(C$11&gt;T,"",IF($A29&gt;C$12,"",IF(T=C$11,100,EXP(-IRTree!C30*h)*((D29+D30)/2+cc*h))))</f>
        <v/>
      </c>
      <c r="D29" s="3" t="str">
        <f>IF(D$11&gt;T,"",IF($A29&gt;D$12,"",IF(T=D$11,100,EXP(-IRTree!D30*h)*((E29+E30)/2+cc*h))))</f>
        <v/>
      </c>
      <c r="E29" s="3" t="str">
        <f>IF(E$11&gt;T,"",IF($A29&gt;E$12,"",IF(T=E$11,100,EXP(-IRTree!E30*h)*((F29+F30)/2+cc*h))))</f>
        <v/>
      </c>
      <c r="F29" s="3" t="str">
        <f>IF(F$11&gt;T,"",IF($A29&gt;F$12,"",IF(T=F$11,100,EXP(-IRTree!F30*h)*((G29+G30)/2+cc*h))))</f>
        <v/>
      </c>
      <c r="G29" s="3" t="str">
        <f>IF(G$11&gt;T,"",IF($A29&gt;G$12,"",IF(T=G$11,100,EXP(-IRTree!G30*h)*((H29+H30)/2+cc*h))))</f>
        <v/>
      </c>
      <c r="H29" s="3" t="str">
        <f>IF(H$11&gt;T,"",IF($A29&gt;H$12,"",IF(T=H$11,100,EXP(-IRTree!H30*h)*((I29+I30)/2+cc*h))))</f>
        <v/>
      </c>
      <c r="I29" s="3" t="str">
        <f>IF(I$11&gt;T,"",IF($A29&gt;I$12,"",IF(T=I$11,100,EXP(-IRTree!I30*h)*((J29+J30)/2+cc*h))))</f>
        <v/>
      </c>
      <c r="J29" s="3" t="str">
        <f>IF(J$11&gt;T,"",IF($A29&gt;J$12,"",IF(T=J$11,100,EXP(-IRTree!J30*h)*((K29+K30)/2+cc*h))))</f>
        <v/>
      </c>
      <c r="K29" s="3" t="str">
        <f>IF(K$11&gt;T,"",IF($A29&gt;K$12,"",IF(T=K$11,100,EXP(-IRTree!K30*h)*((L29+L30)/2+cc*h))))</f>
        <v/>
      </c>
      <c r="L29" s="3" t="str">
        <f>IF(L$11&gt;T,"",IF($A29&gt;L$12,"",IF(T=L$11,100,EXP(-IRTree!L30*h)*((M29+M30)/2+cc*h))))</f>
        <v/>
      </c>
      <c r="M29" s="3" t="str">
        <f>IF(M$11&gt;T,"",IF($A29&gt;M$12,"",IF(T=M$11,100,EXP(-IRTree!M30*h)*((N29+N30)/2+cc*h))))</f>
        <v/>
      </c>
      <c r="N29" s="3" t="str">
        <f>IF(N$11&gt;T,"",IF($A29&gt;N$12,"",IF(T=N$11,100,EXP(-IRTree!N30*h)*((O29+O30)/2+cc*h))))</f>
        <v/>
      </c>
      <c r="O29" s="3" t="str">
        <f>IF(O$11&gt;T,"",IF($A29&gt;O$12,"",IF(T=O$11,100,EXP(-IRTree!O30*h)*((P29+P30)/2+cc*h))))</f>
        <v/>
      </c>
      <c r="P29" s="3" t="str">
        <f>IF(P$11&gt;T,"",IF($A29&gt;P$12,"",IF(T=P$11,100,EXP(-IRTree!P30*h)*((Q29+Q30)/2+cc*h))))</f>
        <v/>
      </c>
      <c r="Q29" s="3" t="str">
        <f>IF(Q$11&gt;T,"",IF($A29&gt;Q$12,"",IF(T=Q$11,100,EXP(-IRTree!Q30*h)*((R29+R30)/2+cc*h))))</f>
        <v/>
      </c>
      <c r="R29" s="3">
        <f>IF(R$11&gt;T,"",IF($A29&gt;R$12,"",IF(T=R$11,100,EXP(-IRTree!R30*h)*((S29+S30)/2+cc*h))))</f>
        <v>94.686862904179108</v>
      </c>
      <c r="S29" s="3">
        <f>IF(S$11&gt;T,"",IF($A29&gt;S$12,"",IF(T=S$11,100,EXP(-IRTree!S30*h)*((T29+T30)/2+cc*h))))</f>
        <v>94.266505645129513</v>
      </c>
      <c r="T29" s="3">
        <f>IF(T$11&gt;T,"",IF($A29&gt;T$12,"",IF(T=T$11,100,EXP(-IRTree!T30*h)*((U29+U30)/2+cc*h))))</f>
        <v>93.835578561828868</v>
      </c>
      <c r="U29" s="3">
        <f>IF(U$11&gt;T,"",IF($A29&gt;U$12,"",IF(T=U$11,100,EXP(-IRTree!U30*h)*((V29+V30)/2+cc*h))))</f>
        <v>93.40203171130409</v>
      </c>
      <c r="V29" s="3">
        <f>IF(V$11&gt;T,"",IF($A29&gt;V$12,"",IF(T=V$11,100,EXP(-IRTree!V30*h)*((W29+W30)/2+cc*h))))</f>
        <v>92.957534115180408</v>
      </c>
      <c r="W29" s="3">
        <f>IF(W$11&gt;T,"",IF($A29&gt;W$12,"",IF(T=W$11,100,EXP(-IRTree!W30*h)*((X29+X30)/2+cc*h))))</f>
        <v>92.508679614440808</v>
      </c>
      <c r="X29" s="3">
        <f>IF(X$11&gt;T,"",IF($A29&gt;X$12,"",IF(T=X$11,100,EXP(-IRTree!X30*h)*((Y29+Y30)/2+cc*h))))</f>
        <v>92.05231305009913</v>
      </c>
      <c r="Y29" s="3">
        <f>IF(Y$11&gt;T,"",IF($A29&gt;Y$12,"",IF(T=Y$11,100,EXP(-IRTree!Y30*h)*((Z29+Z30)/2+cc*h))))</f>
        <v>91.61559377303476</v>
      </c>
      <c r="Z29" s="3">
        <f>IF(Z$11&gt;T,"",IF($A29&gt;Z$12,"",IF(T=Z$11,100,EXP(-IRTree!Z30*h)*((AA29+AA30)/2+cc*h))))</f>
        <v>91.185462430088904</v>
      </c>
      <c r="AA29" s="3">
        <f>IF(AA$11&gt;T,"",IF($A29&gt;AA$12,"",IF(T=AA$11,100,EXP(-IRTree!AA30*h)*((AB29+AB30)/2+cc*h))))</f>
        <v>90.780814853921356</v>
      </c>
      <c r="AB29" s="3">
        <f>IF(AB$11&gt;T,"",IF($A29&gt;AB$12,"",IF(T=AB$11,100,EXP(-IRTree!AB30*h)*((AC29+AC30)/2+cc*h))))</f>
        <v>90.413708363162087</v>
      </c>
      <c r="AC29" s="3">
        <f>IF(AC$11&gt;T,"",IF($A29&gt;AC$12,"",IF(T=AC$11,100,EXP(-IRTree!AC30*h)*((AD29+AD30)/2+cc*h))))</f>
        <v>90.085720890395464</v>
      </c>
      <c r="AD29" s="3">
        <f>IF(AD$11&gt;T,"",IF($A29&gt;AD$12,"",IF(T=AD$11,100,EXP(-IRTree!AD30*h)*((AE29+AE30)/2+cc*h))))</f>
        <v>89.818333166619496</v>
      </c>
      <c r="AE29" s="3">
        <f>IF(AE$11&gt;T,"",IF($A29&gt;AE$12,"",IF(T=AE$11,100,EXP(-IRTree!AE30*h)*((AF29+AF30)/2+cc*h))))</f>
        <v>89.628717034494031</v>
      </c>
      <c r="AF29" s="3">
        <f>IF(AF$11&gt;T,"",IF($A29&gt;AF$12,"",IF(T=AF$11,100,EXP(-IRTree!AF30*h)*((AG29+AG30)/2+cc*h))))</f>
        <v>89.531623626917479</v>
      </c>
      <c r="AG29" s="3">
        <f>IF(AG$11&gt;T,"",IF($A29&gt;AG$12,"",IF(T=AG$11,100,EXP(-IRTree!AG30*h)*((AH29+AH30)/2+cc*h))))</f>
        <v>89.547750230082244</v>
      </c>
      <c r="AH29" s="3">
        <f>IF(AH$11&gt;T,"",IF($A29&gt;AH$12,"",IF(T=AH$11,100,EXP(-IRTree!AH30*h)*((AI29+AI30)/2+cc*h))))</f>
        <v>89.706648883313463</v>
      </c>
      <c r="AI29" s="3">
        <f>IF(AI$11&gt;T,"",IF($A29&gt;AI$12,"",IF(T=AI$11,100,EXP(-IRTree!AI30*h)*((AJ29+AJ30)/2+cc*h))))</f>
        <v>90.034510629396905</v>
      </c>
      <c r="AJ29" s="3">
        <f>IF(AJ$11&gt;T,"",IF($A29&gt;AJ$12,"",IF(T=AJ$11,100,EXP(-IRTree!AJ30*h)*((AK29+AK30)/2+cc*h))))</f>
        <v>90.56860186597325</v>
      </c>
      <c r="AK29" s="3">
        <f>IF(AK$11&gt;T,"",IF($A29&gt;AK$12,"",IF(T=AK$11,100,EXP(-IRTree!AK30*h)*((AL29+AL30)/2+cc*h))))</f>
        <v>91.338512876764085</v>
      </c>
      <c r="AL29" s="3">
        <f>IF(AL$11&gt;T,"",IF($A29&gt;AL$12,"",IF(T=AL$11,100,EXP(-IRTree!AL30*h)*((AM29+AM30)/2+cc*h))))</f>
        <v>92.377989932234826</v>
      </c>
      <c r="AM29" s="3">
        <f>IF(AM$11&gt;T,"",IF($A29&gt;AM$12,"",IF(T=AM$11,100,EXP(-IRTree!AM30*h)*((AN29+AN30)/2+cc*h))))</f>
        <v>93.730792951054184</v>
      </c>
      <c r="AN29" s="3">
        <f>IF(AN$11&gt;T,"",IF($A29&gt;AN$12,"",IF(T=AN$11,100,EXP(-IRTree!AN30*h)*((AO29+AO30)/2+cc*h))))</f>
        <v>95.428872974341729</v>
      </c>
      <c r="AO29" s="3">
        <f>IF(AO$11&gt;T,"",IF($A29&gt;AO$12,"",IF(T=AO$11,100,EXP(-IRTree!AO30*h)*((AP29+AP30)/2+cc*h))))</f>
        <v>97.505568011874516</v>
      </c>
      <c r="AP29" s="3">
        <f>IF(AP$11&gt;T,"",IF($A29&gt;AP$12,"",IF(T=AP$11,100,EXP(-IRTree!AP30*h)*((AQ29+AQ30)/2+cc*h))))</f>
        <v>100</v>
      </c>
      <c r="AQ29" s="3" t="str">
        <f>IF(AQ$11&gt;T,"",IF($A29&gt;AQ$12,"",IF(T=AQ$11,100,EXP(-IRTree!AQ30*h)*((AR29+AR30)/2+cc*h))))</f>
        <v/>
      </c>
      <c r="AR29" s="3" t="str">
        <f>IF(AR$11&gt;T,"",IF($A29&gt;AR$12,"",IF(T=AR$11,100,EXP(-IRTree!AR30*h)*((AS29+AS30)/2+cc*h))))</f>
        <v/>
      </c>
      <c r="AS29" s="3" t="str">
        <f>IF(AS$11&gt;T,"",IF($A29&gt;AS$12,"",IF(T=AS$11,100,EXP(-IRTree!AS30*h)*((AT29+AT30)/2+cc*h))))</f>
        <v/>
      </c>
      <c r="AT29" s="3" t="str">
        <f>IF(AT$11&gt;T,"",IF($A29&gt;AT$12,"",IF(T=AT$11,100,EXP(-IRTree!AT30*h)*((AU29+AU30)/2+cc*h))))</f>
        <v/>
      </c>
      <c r="AU29" s="3" t="str">
        <f>IF(AU$11&gt;T,"",IF($A29&gt;AU$12,"",IF(T=AU$11,100,EXP(-IRTree!AU30*h)*((AV29+AV30)/2+cc*h))))</f>
        <v/>
      </c>
      <c r="AV29" s="3" t="str">
        <f>IF(AV$11&gt;T,"",IF($A29&gt;AV$12,"",IF(T=AV$11,100,EXP(-IRTree!AV30*h)*((AW29+AW30)/2+cc*h))))</f>
        <v/>
      </c>
      <c r="AW29" s="3" t="str">
        <f>IF(AW$11&gt;T,"",IF($A29&gt;AW$12,"",IF(T=AW$11,100,EXP(-IRTree!AW30*h)*((AX29+AX30)/2+cc*h))))</f>
        <v/>
      </c>
      <c r="AX29" s="3" t="str">
        <f>IF(AX$11&gt;T,"",IF($A29&gt;AX$12,"",IF(T=AX$11,100,EXP(-IRTree!AX30*h)*((AY29+AY30)/2+cc*h))))</f>
        <v/>
      </c>
      <c r="AY29" s="3" t="str">
        <f>IF(AY$11&gt;T,"",IF($A29&gt;AY$12,"",IF(T=AY$11,100,EXP(-IRTree!AY30*h)*((AZ29+AZ30)/2+cc*h))))</f>
        <v/>
      </c>
      <c r="AZ29" s="3" t="str">
        <f>IF(AZ$11&gt;T,"",IF($A29&gt;AZ$12,"",IF(T=AZ$11,100,EXP(-IRTree!AZ30*h)*((BA29+BA30)/2+cc*h))))</f>
        <v/>
      </c>
      <c r="BA29" s="3" t="str">
        <f>IF(BA$11&gt;T,"",IF($A29&gt;BA$12,"",IF(T=BA$11,100,EXP(-IRTree!BA30*h)*((BB29+BB30)/2+cc*h))))</f>
        <v/>
      </c>
      <c r="BB29" s="3" t="str">
        <f>IF(BB$11&gt;T,"",IF($A29&gt;BB$12,"",IF(T=BB$11,100,EXP(-IRTree!BB30*h)*((BC29+BC30)/2+cc*h))))</f>
        <v/>
      </c>
      <c r="BC29" s="3" t="str">
        <f>IF(BC$11&gt;T,"",IF($A29&gt;BC$12,"",IF(T=BC$11,100,EXP(-IRTree!BC30*h)*((BD29+BD30)/2+cc*h))))</f>
        <v/>
      </c>
      <c r="BD29" s="3" t="str">
        <f>IF(BD$11&gt;T,"",IF($A29&gt;BD$12,"",IF(T=BD$11,100,EXP(-IRTree!BD30*h)*((BE29+BE30)/2+cc*h))))</f>
        <v/>
      </c>
      <c r="BE29" s="3" t="str">
        <f>IF(BE$11&gt;T,"",IF($A29&gt;BE$12,"",IF(T=BE$11,100,EXP(-IRTree!BE30*h)*((BF29+BF30)/2+cc*h))))</f>
        <v/>
      </c>
      <c r="BF29" s="3" t="str">
        <f>IF(BF$11&gt;T,"",IF($A29&gt;BF$12,"",IF(T=BF$11,100,EXP(-IRTree!BF30*h)*((BG29+BG30)/2+cc*h))))</f>
        <v/>
      </c>
      <c r="BG29" s="3" t="str">
        <f>IF(BG$11&gt;T,"",IF($A29&gt;BG$12,"",IF(T=BG$11,100,EXP(-IRTree!BG30*h)*((BH29+BH30)/2+cc*h))))</f>
        <v/>
      </c>
      <c r="BH29" s="3" t="str">
        <f>IF(BH$11&gt;T,"",IF($A29&gt;BH$12,"",IF(T=BH$11,100,EXP(-IRTree!BH30*h)*((BI29+BI30)/2+cc*h))))</f>
        <v/>
      </c>
      <c r="BI29" s="3" t="str">
        <f>IF(BI$11&gt;T,"",IF($A29&gt;BI$12,"",IF(T=BI$11,100,EXP(-IRTree!BI30*h)*((BJ29+BJ30)/2+cc*h))))</f>
        <v/>
      </c>
      <c r="BJ29" s="3" t="str">
        <f>IF(BJ$11&gt;T,"",IF($A29&gt;BJ$12,"",IF(T=BJ$11,100,EXP(-IRTree!BJ30*h)*((BK29+BK30)/2+cc*h))))</f>
        <v/>
      </c>
    </row>
    <row r="30" spans="1:62">
      <c r="A30" s="12">
        <f t="shared" si="2"/>
        <v>17</v>
      </c>
      <c r="B30" s="3" t="str">
        <f>IF(B$11&gt;T,"",IF($A30&gt;B$12,"",IF(T=B$11,100,EXP(-IRTree!B31*h)*((C30+C31)/2+cc*h))))</f>
        <v/>
      </c>
      <c r="C30" s="3" t="str">
        <f>IF(C$11&gt;T,"",IF($A30&gt;C$12,"",IF(T=C$11,100,EXP(-IRTree!C31*h)*((D30+D31)/2+cc*h))))</f>
        <v/>
      </c>
      <c r="D30" s="3" t="str">
        <f>IF(D$11&gt;T,"",IF($A30&gt;D$12,"",IF(T=D$11,100,EXP(-IRTree!D31*h)*((E30+E31)/2+cc*h))))</f>
        <v/>
      </c>
      <c r="E30" s="3" t="str">
        <f>IF(E$11&gt;T,"",IF($A30&gt;E$12,"",IF(T=E$11,100,EXP(-IRTree!E31*h)*((F30+F31)/2+cc*h))))</f>
        <v/>
      </c>
      <c r="F30" s="3" t="str">
        <f>IF(F$11&gt;T,"",IF($A30&gt;F$12,"",IF(T=F$11,100,EXP(-IRTree!F31*h)*((G30+G31)/2+cc*h))))</f>
        <v/>
      </c>
      <c r="G30" s="3" t="str">
        <f>IF(G$11&gt;T,"",IF($A30&gt;G$12,"",IF(T=G$11,100,EXP(-IRTree!G31*h)*((H30+H31)/2+cc*h))))</f>
        <v/>
      </c>
      <c r="H30" s="3" t="str">
        <f>IF(H$11&gt;T,"",IF($A30&gt;H$12,"",IF(T=H$11,100,EXP(-IRTree!H31*h)*((I30+I31)/2+cc*h))))</f>
        <v/>
      </c>
      <c r="I30" s="3" t="str">
        <f>IF(I$11&gt;T,"",IF($A30&gt;I$12,"",IF(T=I$11,100,EXP(-IRTree!I31*h)*((J30+J31)/2+cc*h))))</f>
        <v/>
      </c>
      <c r="J30" s="3" t="str">
        <f>IF(J$11&gt;T,"",IF($A30&gt;J$12,"",IF(T=J$11,100,EXP(-IRTree!J31*h)*((K30+K31)/2+cc*h))))</f>
        <v/>
      </c>
      <c r="K30" s="3" t="str">
        <f>IF(K$11&gt;T,"",IF($A30&gt;K$12,"",IF(T=K$11,100,EXP(-IRTree!K31*h)*((L30+L31)/2+cc*h))))</f>
        <v/>
      </c>
      <c r="L30" s="3" t="str">
        <f>IF(L$11&gt;T,"",IF($A30&gt;L$12,"",IF(T=L$11,100,EXP(-IRTree!L31*h)*((M30+M31)/2+cc*h))))</f>
        <v/>
      </c>
      <c r="M30" s="3" t="str">
        <f>IF(M$11&gt;T,"",IF($A30&gt;M$12,"",IF(T=M$11,100,EXP(-IRTree!M31*h)*((N30+N31)/2+cc*h))))</f>
        <v/>
      </c>
      <c r="N30" s="3" t="str">
        <f>IF(N$11&gt;T,"",IF($A30&gt;N$12,"",IF(T=N$11,100,EXP(-IRTree!N31*h)*((O30+O31)/2+cc*h))))</f>
        <v/>
      </c>
      <c r="O30" s="3" t="str">
        <f>IF(O$11&gt;T,"",IF($A30&gt;O$12,"",IF(T=O$11,100,EXP(-IRTree!O31*h)*((P30+P31)/2+cc*h))))</f>
        <v/>
      </c>
      <c r="P30" s="3" t="str">
        <f>IF(P$11&gt;T,"",IF($A30&gt;P$12,"",IF(T=P$11,100,EXP(-IRTree!P31*h)*((Q30+Q31)/2+cc*h))))</f>
        <v/>
      </c>
      <c r="Q30" s="3" t="str">
        <f>IF(Q$11&gt;T,"",IF($A30&gt;Q$12,"",IF(T=Q$11,100,EXP(-IRTree!Q31*h)*((R30+R31)/2+cc*h))))</f>
        <v/>
      </c>
      <c r="R30" s="3" t="str">
        <f>IF(R$11&gt;T,"",IF($A30&gt;R$12,"",IF(T=R$11,100,EXP(-IRTree!R31*h)*((S30+S31)/2+cc*h))))</f>
        <v/>
      </c>
      <c r="S30" s="3">
        <f>IF(S$11&gt;T,"",IF($A30&gt;S$12,"",IF(T=S$11,100,EXP(-IRTree!S31*h)*((T30+T31)/2+cc*h))))</f>
        <v>95.337079023877763</v>
      </c>
      <c r="T30" s="3">
        <f>IF(T$11&gt;T,"",IF($A30&gt;T$12,"",IF(T=T$11,100,EXP(-IRTree!T31*h)*((U30+U31)/2+cc*h))))</f>
        <v>94.980172548965598</v>
      </c>
      <c r="U30" s="3">
        <f>IF(U$11&gt;T,"",IF($A30&gt;U$12,"",IF(T=U$11,100,EXP(-IRTree!U31*h)*((V30+V31)/2+cc*h))))</f>
        <v>94.62048416999373</v>
      </c>
      <c r="V30" s="3">
        <f>IF(V$11&gt;T,"",IF($A30&gt;V$12,"",IF(T=V$11,100,EXP(-IRTree!V31*h)*((W30+W31)/2+cc*h))))</f>
        <v>94.250359690751822</v>
      </c>
      <c r="W30" s="3">
        <f>IF(W$11&gt;T,"",IF($A30&gt;W$12,"",IF(T=W$11,100,EXP(-IRTree!W31*h)*((X30+X31)/2+cc*h))))</f>
        <v>93.875271402725787</v>
      </c>
      <c r="X30" s="3">
        <f>IF(X$11&gt;T,"",IF($A30&gt;X$12,"",IF(T=X$11,100,EXP(-IRTree!X31*h)*((Y30+Y31)/2+cc*h))))</f>
        <v>93.491703083203319</v>
      </c>
      <c r="Y30" s="3">
        <f>IF(Y$11&gt;T,"",IF($A30&gt;Y$12,"",IF(T=Y$11,100,EXP(-IRTree!Y31*h)*((Z30+Z31)/2+cc*h))))</f>
        <v>93.124015845885836</v>
      </c>
      <c r="Z30" s="3">
        <f>IF(Z$11&gt;T,"",IF($A30&gt;Z$12,"",IF(T=Z$11,100,EXP(-IRTree!Z31*h)*((AA30+AA31)/2+cc*h))))</f>
        <v>92.759261510078147</v>
      </c>
      <c r="AA30" s="3">
        <f>IF(AA$11&gt;T,"",IF($A30&gt;AA$12,"",IF(T=AA$11,100,EXP(-IRTree!AA31*h)*((AB30+AB31)/2+cc*h))))</f>
        <v>92.414150267919894</v>
      </c>
      <c r="AB30" s="3">
        <f>IF(AB$11&gt;T,"",IF($A30&gt;AB$12,"",IF(T=AB$11,100,EXP(-IRTree!AB31*h)*((AC30+AC31)/2+cc*h))))</f>
        <v>92.099101852925386</v>
      </c>
      <c r="AC30" s="3">
        <f>IF(AC$11&gt;T,"",IF($A30&gt;AC$12,"",IF(T=AC$11,100,EXP(-IRTree!AC31*h)*((AD30+AD31)/2+cc*h))))</f>
        <v>91.81375740294321</v>
      </c>
      <c r="AD30" s="3">
        <f>IF(AD$11&gt;T,"",IF($A30&gt;AD$12,"",IF(T=AD$11,100,EXP(-IRTree!AD31*h)*((AE30+AE31)/2+cc*h))))</f>
        <v>91.577235082552903</v>
      </c>
      <c r="AE30" s="3">
        <f>IF(AE$11&gt;T,"",IF($A30&gt;AE$12,"",IF(T=AE$11,100,EXP(-IRTree!AE31*h)*((AF30+AF31)/2+cc*h))))</f>
        <v>91.404303111489867</v>
      </c>
      <c r="AF30" s="3">
        <f>IF(AF$11&gt;T,"",IF($A30&gt;AF$12,"",IF(T=AF$11,100,EXP(-IRTree!AF31*h)*((AG30+AG31)/2+cc*h))))</f>
        <v>91.306440142741138</v>
      </c>
      <c r="AG30" s="3">
        <f>IF(AG$11&gt;T,"",IF($A30&gt;AG$12,"",IF(T=AG$11,100,EXP(-IRTree!AG31*h)*((AH30+AH31)/2+cc*h))))</f>
        <v>91.300485941279192</v>
      </c>
      <c r="AH30" s="3">
        <f>IF(AH$11&gt;T,"",IF($A30&gt;AH$12,"",IF(T=AH$11,100,EXP(-IRTree!AH31*h)*((AI30+AI31)/2+cc*h))))</f>
        <v>91.412730932963399</v>
      </c>
      <c r="AI30" s="3">
        <f>IF(AI$11&gt;T,"",IF($A30&gt;AI$12,"",IF(T=AI$11,100,EXP(-IRTree!AI31*h)*((AJ30+AJ31)/2+cc*h))))</f>
        <v>91.663847581334082</v>
      </c>
      <c r="AJ30" s="3">
        <f>IF(AJ$11&gt;T,"",IF($A30&gt;AJ$12,"",IF(T=AJ$11,100,EXP(-IRTree!AJ31*h)*((AK30+AK31)/2+cc*h))))</f>
        <v>92.090750182194085</v>
      </c>
      <c r="AK30" s="3">
        <f>IF(AK$11&gt;T,"",IF($A30&gt;AK$12,"",IF(T=AK$11,100,EXP(-IRTree!AK31*h)*((AL30+AL31)/2+cc*h))))</f>
        <v>92.71791672315527</v>
      </c>
      <c r="AL30" s="3">
        <f>IF(AL$11&gt;T,"",IF($A30&gt;AL$12,"",IF(T=AL$11,100,EXP(-IRTree!AL31*h)*((AM30+AM31)/2+cc*h))))</f>
        <v>93.577671706689372</v>
      </c>
      <c r="AM30" s="3">
        <f>IF(AM$11&gt;T,"",IF($A30&gt;AM$12,"",IF(T=AM$11,100,EXP(-IRTree!AM31*h)*((AN30+AN31)/2+cc*h))))</f>
        <v>94.700974203314061</v>
      </c>
      <c r="AN30" s="3">
        <f>IF(AN$11&gt;T,"",IF($A30&gt;AN$12,"",IF(T=AN$11,100,EXP(-IRTree!AN31*h)*((AO30+AO31)/2+cc*h))))</f>
        <v>96.125057045768528</v>
      </c>
      <c r="AO30" s="3">
        <f>IF(AO$11&gt;T,"",IF($A30&gt;AO$12,"",IF(T=AO$11,100,EXP(-IRTree!AO31*h)*((AP30+AP31)/2+cc*h))))</f>
        <v>97.880013989267283</v>
      </c>
      <c r="AP30" s="3">
        <f>IF(AP$11&gt;T,"",IF($A30&gt;AP$12,"",IF(T=AP$11,100,EXP(-IRTree!AP31*h)*((AQ30+AQ31)/2+cc*h))))</f>
        <v>100</v>
      </c>
      <c r="AQ30" s="3" t="str">
        <f>IF(AQ$11&gt;T,"",IF($A30&gt;AQ$12,"",IF(T=AQ$11,100,EXP(-IRTree!AQ31*h)*((AR30+AR31)/2+cc*h))))</f>
        <v/>
      </c>
      <c r="AR30" s="3" t="str">
        <f>IF(AR$11&gt;T,"",IF($A30&gt;AR$12,"",IF(T=AR$11,100,EXP(-IRTree!AR31*h)*((AS30+AS31)/2+cc*h))))</f>
        <v/>
      </c>
      <c r="AS30" s="3" t="str">
        <f>IF(AS$11&gt;T,"",IF($A30&gt;AS$12,"",IF(T=AS$11,100,EXP(-IRTree!AS31*h)*((AT30+AT31)/2+cc*h))))</f>
        <v/>
      </c>
      <c r="AT30" s="3" t="str">
        <f>IF(AT$11&gt;T,"",IF($A30&gt;AT$12,"",IF(T=AT$11,100,EXP(-IRTree!AT31*h)*((AU30+AU31)/2+cc*h))))</f>
        <v/>
      </c>
      <c r="AU30" s="3" t="str">
        <f>IF(AU$11&gt;T,"",IF($A30&gt;AU$12,"",IF(T=AU$11,100,EXP(-IRTree!AU31*h)*((AV30+AV31)/2+cc*h))))</f>
        <v/>
      </c>
      <c r="AV30" s="3" t="str">
        <f>IF(AV$11&gt;T,"",IF($A30&gt;AV$12,"",IF(T=AV$11,100,EXP(-IRTree!AV31*h)*((AW30+AW31)/2+cc*h))))</f>
        <v/>
      </c>
      <c r="AW30" s="3" t="str">
        <f>IF(AW$11&gt;T,"",IF($A30&gt;AW$12,"",IF(T=AW$11,100,EXP(-IRTree!AW31*h)*((AX30+AX31)/2+cc*h))))</f>
        <v/>
      </c>
      <c r="AX30" s="3" t="str">
        <f>IF(AX$11&gt;T,"",IF($A30&gt;AX$12,"",IF(T=AX$11,100,EXP(-IRTree!AX31*h)*((AY30+AY31)/2+cc*h))))</f>
        <v/>
      </c>
      <c r="AY30" s="3" t="str">
        <f>IF(AY$11&gt;T,"",IF($A30&gt;AY$12,"",IF(T=AY$11,100,EXP(-IRTree!AY31*h)*((AZ30+AZ31)/2+cc*h))))</f>
        <v/>
      </c>
      <c r="AZ30" s="3" t="str">
        <f>IF(AZ$11&gt;T,"",IF($A30&gt;AZ$12,"",IF(T=AZ$11,100,EXP(-IRTree!AZ31*h)*((BA30+BA31)/2+cc*h))))</f>
        <v/>
      </c>
      <c r="BA30" s="3" t="str">
        <f>IF(BA$11&gt;T,"",IF($A30&gt;BA$12,"",IF(T=BA$11,100,EXP(-IRTree!BA31*h)*((BB30+BB31)/2+cc*h))))</f>
        <v/>
      </c>
      <c r="BB30" s="3" t="str">
        <f>IF(BB$11&gt;T,"",IF($A30&gt;BB$12,"",IF(T=BB$11,100,EXP(-IRTree!BB31*h)*((BC30+BC31)/2+cc*h))))</f>
        <v/>
      </c>
      <c r="BC30" s="3" t="str">
        <f>IF(BC$11&gt;T,"",IF($A30&gt;BC$12,"",IF(T=BC$11,100,EXP(-IRTree!BC31*h)*((BD30+BD31)/2+cc*h))))</f>
        <v/>
      </c>
      <c r="BD30" s="3" t="str">
        <f>IF(BD$11&gt;T,"",IF($A30&gt;BD$12,"",IF(T=BD$11,100,EXP(-IRTree!BD31*h)*((BE30+BE31)/2+cc*h))))</f>
        <v/>
      </c>
      <c r="BE30" s="3" t="str">
        <f>IF(BE$11&gt;T,"",IF($A30&gt;BE$12,"",IF(T=BE$11,100,EXP(-IRTree!BE31*h)*((BF30+BF31)/2+cc*h))))</f>
        <v/>
      </c>
      <c r="BF30" s="3" t="str">
        <f>IF(BF$11&gt;T,"",IF($A30&gt;BF$12,"",IF(T=BF$11,100,EXP(-IRTree!BF31*h)*((BG30+BG31)/2+cc*h))))</f>
        <v/>
      </c>
      <c r="BG30" s="3" t="str">
        <f>IF(BG$11&gt;T,"",IF($A30&gt;BG$12,"",IF(T=BG$11,100,EXP(-IRTree!BG31*h)*((BH30+BH31)/2+cc*h))))</f>
        <v/>
      </c>
      <c r="BH30" s="3" t="str">
        <f>IF(BH$11&gt;T,"",IF($A30&gt;BH$12,"",IF(T=BH$11,100,EXP(-IRTree!BH31*h)*((BI30+BI31)/2+cc*h))))</f>
        <v/>
      </c>
      <c r="BI30" s="3" t="str">
        <f>IF(BI$11&gt;T,"",IF($A30&gt;BI$12,"",IF(T=BI$11,100,EXP(-IRTree!BI31*h)*((BJ30+BJ31)/2+cc*h))))</f>
        <v/>
      </c>
      <c r="BJ30" s="3" t="str">
        <f>IF(BJ$11&gt;T,"",IF($A30&gt;BJ$12,"",IF(T=BJ$11,100,EXP(-IRTree!BJ31*h)*((BK30+BK31)/2+cc*h))))</f>
        <v/>
      </c>
    </row>
    <row r="31" spans="1:62">
      <c r="A31" s="12">
        <f t="shared" si="2"/>
        <v>18</v>
      </c>
      <c r="B31" s="3" t="str">
        <f>IF(B$11&gt;T,"",IF($A31&gt;B$12,"",IF(T=B$11,100,EXP(-IRTree!B32*h)*((C31+C32)/2+cc*h))))</f>
        <v/>
      </c>
      <c r="C31" s="3" t="str">
        <f>IF(C$11&gt;T,"",IF($A31&gt;C$12,"",IF(T=C$11,100,EXP(-IRTree!C32*h)*((D31+D32)/2+cc*h))))</f>
        <v/>
      </c>
      <c r="D31" s="3" t="str">
        <f>IF(D$11&gt;T,"",IF($A31&gt;D$12,"",IF(T=D$11,100,EXP(-IRTree!D32*h)*((E31+E32)/2+cc*h))))</f>
        <v/>
      </c>
      <c r="E31" s="3" t="str">
        <f>IF(E$11&gt;T,"",IF($A31&gt;E$12,"",IF(T=E$11,100,EXP(-IRTree!E32*h)*((F31+F32)/2+cc*h))))</f>
        <v/>
      </c>
      <c r="F31" s="3" t="str">
        <f>IF(F$11&gt;T,"",IF($A31&gt;F$12,"",IF(T=F$11,100,EXP(-IRTree!F32*h)*((G31+G32)/2+cc*h))))</f>
        <v/>
      </c>
      <c r="G31" s="3" t="str">
        <f>IF(G$11&gt;T,"",IF($A31&gt;G$12,"",IF(T=G$11,100,EXP(-IRTree!G32*h)*((H31+H32)/2+cc*h))))</f>
        <v/>
      </c>
      <c r="H31" s="3" t="str">
        <f>IF(H$11&gt;T,"",IF($A31&gt;H$12,"",IF(T=H$11,100,EXP(-IRTree!H32*h)*((I31+I32)/2+cc*h))))</f>
        <v/>
      </c>
      <c r="I31" s="3" t="str">
        <f>IF(I$11&gt;T,"",IF($A31&gt;I$12,"",IF(T=I$11,100,EXP(-IRTree!I32*h)*((J31+J32)/2+cc*h))))</f>
        <v/>
      </c>
      <c r="J31" s="3" t="str">
        <f>IF(J$11&gt;T,"",IF($A31&gt;J$12,"",IF(T=J$11,100,EXP(-IRTree!J32*h)*((K31+K32)/2+cc*h))))</f>
        <v/>
      </c>
      <c r="K31" s="3" t="str">
        <f>IF(K$11&gt;T,"",IF($A31&gt;K$12,"",IF(T=K$11,100,EXP(-IRTree!K32*h)*((L31+L32)/2+cc*h))))</f>
        <v/>
      </c>
      <c r="L31" s="3" t="str">
        <f>IF(L$11&gt;T,"",IF($A31&gt;L$12,"",IF(T=L$11,100,EXP(-IRTree!L32*h)*((M31+M32)/2+cc*h))))</f>
        <v/>
      </c>
      <c r="M31" s="3" t="str">
        <f>IF(M$11&gt;T,"",IF($A31&gt;M$12,"",IF(T=M$11,100,EXP(-IRTree!M32*h)*((N31+N32)/2+cc*h))))</f>
        <v/>
      </c>
      <c r="N31" s="3" t="str">
        <f>IF(N$11&gt;T,"",IF($A31&gt;N$12,"",IF(T=N$11,100,EXP(-IRTree!N32*h)*((O31+O32)/2+cc*h))))</f>
        <v/>
      </c>
      <c r="O31" s="3" t="str">
        <f>IF(O$11&gt;T,"",IF($A31&gt;O$12,"",IF(T=O$11,100,EXP(-IRTree!O32*h)*((P31+P32)/2+cc*h))))</f>
        <v/>
      </c>
      <c r="P31" s="3" t="str">
        <f>IF(P$11&gt;T,"",IF($A31&gt;P$12,"",IF(T=P$11,100,EXP(-IRTree!P32*h)*((Q31+Q32)/2+cc*h))))</f>
        <v/>
      </c>
      <c r="Q31" s="3" t="str">
        <f>IF(Q$11&gt;T,"",IF($A31&gt;Q$12,"",IF(T=Q$11,100,EXP(-IRTree!Q32*h)*((R31+R32)/2+cc*h))))</f>
        <v/>
      </c>
      <c r="R31" s="3" t="str">
        <f>IF(R$11&gt;T,"",IF($A31&gt;R$12,"",IF(T=R$11,100,EXP(-IRTree!R32*h)*((S31+S32)/2+cc*h))))</f>
        <v/>
      </c>
      <c r="S31" s="3" t="str">
        <f>IF(S$11&gt;T,"",IF($A31&gt;S$12,"",IF(T=S$11,100,EXP(-IRTree!S32*h)*((T31+T32)/2+cc*h))))</f>
        <v/>
      </c>
      <c r="T31" s="3">
        <f>IF(T$11&gt;T,"",IF($A31&gt;T$12,"",IF(T=T$11,100,EXP(-IRTree!T32*h)*((U31+U32)/2+cc*h))))</f>
        <v>95.914493151515885</v>
      </c>
      <c r="U31" s="3">
        <f>IF(U$11&gt;T,"",IF($A31&gt;U$12,"",IF(T=U$11,100,EXP(-IRTree!U32*h)*((V31+V32)/2+cc*h))))</f>
        <v>95.616770059529628</v>
      </c>
      <c r="V31" s="3">
        <f>IF(V$11&gt;T,"",IF($A31&gt;V$12,"",IF(T=V$11,100,EXP(-IRTree!V32*h)*((W31+W32)/2+cc*h))))</f>
        <v>95.309370160040402</v>
      </c>
      <c r="W31" s="3">
        <f>IF(W$11&gt;T,"",IF($A31&gt;W$12,"",IF(T=W$11,100,EXP(-IRTree!W32*h)*((X31+X32)/2+cc*h))))</f>
        <v>94.996805120024106</v>
      </c>
      <c r="X31" s="3">
        <f>IF(X$11&gt;T,"",IF($A31&gt;X$12,"",IF(T=X$11,100,EXP(-IRTree!X32*h)*((Y31+Y32)/2+cc*h))))</f>
        <v>94.675484230233096</v>
      </c>
      <c r="Y31" s="3">
        <f>IF(Y$11&gt;T,"",IF($A31&gt;Y$12,"",IF(T=Y$11,100,EXP(-IRTree!Y32*h)*((Z31+Z32)/2+cc*h))))</f>
        <v>94.366904691637345</v>
      </c>
      <c r="Z31" s="3">
        <f>IF(Z$11&gt;T,"",IF($A31&gt;Z$12,"",IF(T=Z$11,100,EXP(-IRTree!Z32*h)*((AA31+AA32)/2+cc*h))))</f>
        <v>94.058749033648255</v>
      </c>
      <c r="AA31" s="3">
        <f>IF(AA$11&gt;T,"",IF($A31&gt;AA$12,"",IF(T=AA$11,100,EXP(-IRTree!AA32*h)*((AB31+AB32)/2+cc*h))))</f>
        <v>93.765603310796607</v>
      </c>
      <c r="AB31" s="3">
        <f>IF(AB$11&gt;T,"",IF($A31&gt;AB$12,"",IF(T=AB$11,100,EXP(-IRTree!AB32*h)*((AC31+AC32)/2+cc*h))))</f>
        <v>93.496395029739432</v>
      </c>
      <c r="AC31" s="3">
        <f>IF(AC$11&gt;T,"",IF($A31&gt;AC$12,"",IF(T=AC$11,100,EXP(-IRTree!AC32*h)*((AD31+AD32)/2+cc*h))))</f>
        <v>93.249513727783338</v>
      </c>
      <c r="AD31" s="3">
        <f>IF(AD$11&gt;T,"",IF($A31&gt;AD$12,"",IF(T=AD$11,100,EXP(-IRTree!AD32*h)*((AE31+AE32)/2+cc*h))))</f>
        <v>93.041762342624565</v>
      </c>
      <c r="AE31" s="3">
        <f>IF(AE$11&gt;T,"",IF($A31&gt;AE$12,"",IF(T=AE$11,100,EXP(-IRTree!AE32*h)*((AF31+AF32)/2+cc*h))))</f>
        <v>92.88575729171761</v>
      </c>
      <c r="AF31" s="3">
        <f>IF(AF$11&gt;T,"",IF($A31&gt;AF$12,"",IF(T=AF$11,100,EXP(-IRTree!AF32*h)*((AG31+AG32)/2+cc*h))))</f>
        <v>92.790384281988921</v>
      </c>
      <c r="AG31" s="3">
        <f>IF(AG$11&gt;T,"",IF($A31&gt;AG$12,"",IF(T=AG$11,100,EXP(-IRTree!AG32*h)*((AH31+AH32)/2+cc*h))))</f>
        <v>92.769304634311453</v>
      </c>
      <c r="AH31" s="3">
        <f>IF(AH$11&gt;T,"",IF($A31&gt;AH$12,"",IF(T=AH$11,100,EXP(-IRTree!AH32*h)*((AI31+AI32)/2+cc*h))))</f>
        <v>92.845701029402122</v>
      </c>
      <c r="AI31" s="3">
        <f>IF(AI$11&gt;T,"",IF($A31&gt;AI$12,"",IF(T=AI$11,100,EXP(-IRTree!AI32*h)*((AJ31+AJ32)/2+cc*h))))</f>
        <v>93.035865960875839</v>
      </c>
      <c r="AJ31" s="3">
        <f>IF(AJ$11&gt;T,"",IF($A31&gt;AJ$12,"",IF(T=AJ$11,100,EXP(-IRTree!AJ32*h)*((AK31+AK32)/2+cc*h))))</f>
        <v>93.375297781409131</v>
      </c>
      <c r="AK31" s="3">
        <f>IF(AK$11&gt;T,"",IF($A31&gt;AK$12,"",IF(T=AK$11,100,EXP(-IRTree!AK32*h)*((AL31+AL32)/2+cc*h))))</f>
        <v>93.884355394531681</v>
      </c>
      <c r="AL31" s="3">
        <f>IF(AL$11&gt;T,"",IF($A31&gt;AL$12,"",IF(T=AL$11,100,EXP(-IRTree!AL32*h)*((AM31+AM32)/2+cc*h))))</f>
        <v>94.593589589762132</v>
      </c>
      <c r="AM31" s="3">
        <f>IF(AM$11&gt;T,"",IF($A31&gt;AM$12,"",IF(T=AM$11,100,EXP(-IRTree!AM32*h)*((AN31+AN32)/2+cc*h))))</f>
        <v>95.524403901196891</v>
      </c>
      <c r="AN31" s="3">
        <f>IF(AN$11&gt;T,"",IF($A31&gt;AN$12,"",IF(T=AN$11,100,EXP(-IRTree!AN32*h)*((AO31+AO32)/2+cc*h))))</f>
        <v>96.716985183418174</v>
      </c>
      <c r="AO31" s="3">
        <f>IF(AO$11&gt;T,"",IF($A31&gt;AO$12,"",IF(T=AO$11,100,EXP(-IRTree!AO32*h)*((AP31+AP32)/2+cc*h))))</f>
        <v>98.198770948865359</v>
      </c>
      <c r="AP31" s="3">
        <f>IF(AP$11&gt;T,"",IF($A31&gt;AP$12,"",IF(T=AP$11,100,EXP(-IRTree!AP32*h)*((AQ31+AQ32)/2+cc*h))))</f>
        <v>100</v>
      </c>
      <c r="AQ31" s="3" t="str">
        <f>IF(AQ$11&gt;T,"",IF($A31&gt;AQ$12,"",IF(T=AQ$11,100,EXP(-IRTree!AQ32*h)*((AR31+AR32)/2+cc*h))))</f>
        <v/>
      </c>
      <c r="AR31" s="3" t="str">
        <f>IF(AR$11&gt;T,"",IF($A31&gt;AR$12,"",IF(T=AR$11,100,EXP(-IRTree!AR32*h)*((AS31+AS32)/2+cc*h))))</f>
        <v/>
      </c>
      <c r="AS31" s="3" t="str">
        <f>IF(AS$11&gt;T,"",IF($A31&gt;AS$12,"",IF(T=AS$11,100,EXP(-IRTree!AS32*h)*((AT31+AT32)/2+cc*h))))</f>
        <v/>
      </c>
      <c r="AT31" s="3" t="str">
        <f>IF(AT$11&gt;T,"",IF($A31&gt;AT$12,"",IF(T=AT$11,100,EXP(-IRTree!AT32*h)*((AU31+AU32)/2+cc*h))))</f>
        <v/>
      </c>
      <c r="AU31" s="3" t="str">
        <f>IF(AU$11&gt;T,"",IF($A31&gt;AU$12,"",IF(T=AU$11,100,EXP(-IRTree!AU32*h)*((AV31+AV32)/2+cc*h))))</f>
        <v/>
      </c>
      <c r="AV31" s="3" t="str">
        <f>IF(AV$11&gt;T,"",IF($A31&gt;AV$12,"",IF(T=AV$11,100,EXP(-IRTree!AV32*h)*((AW31+AW32)/2+cc*h))))</f>
        <v/>
      </c>
      <c r="AW31" s="3" t="str">
        <f>IF(AW$11&gt;T,"",IF($A31&gt;AW$12,"",IF(T=AW$11,100,EXP(-IRTree!AW32*h)*((AX31+AX32)/2+cc*h))))</f>
        <v/>
      </c>
      <c r="AX31" s="3" t="str">
        <f>IF(AX$11&gt;T,"",IF($A31&gt;AX$12,"",IF(T=AX$11,100,EXP(-IRTree!AX32*h)*((AY31+AY32)/2+cc*h))))</f>
        <v/>
      </c>
      <c r="AY31" s="3" t="str">
        <f>IF(AY$11&gt;T,"",IF($A31&gt;AY$12,"",IF(T=AY$11,100,EXP(-IRTree!AY32*h)*((AZ31+AZ32)/2+cc*h))))</f>
        <v/>
      </c>
      <c r="AZ31" s="3" t="str">
        <f>IF(AZ$11&gt;T,"",IF($A31&gt;AZ$12,"",IF(T=AZ$11,100,EXP(-IRTree!AZ32*h)*((BA31+BA32)/2+cc*h))))</f>
        <v/>
      </c>
      <c r="BA31" s="3" t="str">
        <f>IF(BA$11&gt;T,"",IF($A31&gt;BA$12,"",IF(T=BA$11,100,EXP(-IRTree!BA32*h)*((BB31+BB32)/2+cc*h))))</f>
        <v/>
      </c>
      <c r="BB31" s="3" t="str">
        <f>IF(BB$11&gt;T,"",IF($A31&gt;BB$12,"",IF(T=BB$11,100,EXP(-IRTree!BB32*h)*((BC31+BC32)/2+cc*h))))</f>
        <v/>
      </c>
      <c r="BC31" s="3" t="str">
        <f>IF(BC$11&gt;T,"",IF($A31&gt;BC$12,"",IF(T=BC$11,100,EXP(-IRTree!BC32*h)*((BD31+BD32)/2+cc*h))))</f>
        <v/>
      </c>
      <c r="BD31" s="3" t="str">
        <f>IF(BD$11&gt;T,"",IF($A31&gt;BD$12,"",IF(T=BD$11,100,EXP(-IRTree!BD32*h)*((BE31+BE32)/2+cc*h))))</f>
        <v/>
      </c>
      <c r="BE31" s="3" t="str">
        <f>IF(BE$11&gt;T,"",IF($A31&gt;BE$12,"",IF(T=BE$11,100,EXP(-IRTree!BE32*h)*((BF31+BF32)/2+cc*h))))</f>
        <v/>
      </c>
      <c r="BF31" s="3" t="str">
        <f>IF(BF$11&gt;T,"",IF($A31&gt;BF$12,"",IF(T=BF$11,100,EXP(-IRTree!BF32*h)*((BG31+BG32)/2+cc*h))))</f>
        <v/>
      </c>
      <c r="BG31" s="3" t="str">
        <f>IF(BG$11&gt;T,"",IF($A31&gt;BG$12,"",IF(T=BG$11,100,EXP(-IRTree!BG32*h)*((BH31+BH32)/2+cc*h))))</f>
        <v/>
      </c>
      <c r="BH31" s="3" t="str">
        <f>IF(BH$11&gt;T,"",IF($A31&gt;BH$12,"",IF(T=BH$11,100,EXP(-IRTree!BH32*h)*((BI31+BI32)/2+cc*h))))</f>
        <v/>
      </c>
      <c r="BI31" s="3" t="str">
        <f>IF(BI$11&gt;T,"",IF($A31&gt;BI$12,"",IF(T=BI$11,100,EXP(-IRTree!BI32*h)*((BJ31+BJ32)/2+cc*h))))</f>
        <v/>
      </c>
      <c r="BJ31" s="3" t="str">
        <f>IF(BJ$11&gt;T,"",IF($A31&gt;BJ$12,"",IF(T=BJ$11,100,EXP(-IRTree!BJ32*h)*((BK31+BK32)/2+cc*h))))</f>
        <v/>
      </c>
    </row>
    <row r="32" spans="1:62">
      <c r="A32" s="12">
        <f t="shared" si="2"/>
        <v>19</v>
      </c>
      <c r="B32" s="3" t="str">
        <f>IF(B$11&gt;T,"",IF($A32&gt;B$12,"",IF(T=B$11,100,EXP(-IRTree!B33*h)*((C32+C33)/2+cc*h))))</f>
        <v/>
      </c>
      <c r="C32" s="3" t="str">
        <f>IF(C$11&gt;T,"",IF($A32&gt;C$12,"",IF(T=C$11,100,EXP(-IRTree!C33*h)*((D32+D33)/2+cc*h))))</f>
        <v/>
      </c>
      <c r="D32" s="3" t="str">
        <f>IF(D$11&gt;T,"",IF($A32&gt;D$12,"",IF(T=D$11,100,EXP(-IRTree!D33*h)*((E32+E33)/2+cc*h))))</f>
        <v/>
      </c>
      <c r="E32" s="3" t="str">
        <f>IF(E$11&gt;T,"",IF($A32&gt;E$12,"",IF(T=E$11,100,EXP(-IRTree!E33*h)*((F32+F33)/2+cc*h))))</f>
        <v/>
      </c>
      <c r="F32" s="3" t="str">
        <f>IF(F$11&gt;T,"",IF($A32&gt;F$12,"",IF(T=F$11,100,EXP(-IRTree!F33*h)*((G32+G33)/2+cc*h))))</f>
        <v/>
      </c>
      <c r="G32" s="3" t="str">
        <f>IF(G$11&gt;T,"",IF($A32&gt;G$12,"",IF(T=G$11,100,EXP(-IRTree!G33*h)*((H32+H33)/2+cc*h))))</f>
        <v/>
      </c>
      <c r="H32" s="3" t="str">
        <f>IF(H$11&gt;T,"",IF($A32&gt;H$12,"",IF(T=H$11,100,EXP(-IRTree!H33*h)*((I32+I33)/2+cc*h))))</f>
        <v/>
      </c>
      <c r="I32" s="3" t="str">
        <f>IF(I$11&gt;T,"",IF($A32&gt;I$12,"",IF(T=I$11,100,EXP(-IRTree!I33*h)*((J32+J33)/2+cc*h))))</f>
        <v/>
      </c>
      <c r="J32" s="3" t="str">
        <f>IF(J$11&gt;T,"",IF($A32&gt;J$12,"",IF(T=J$11,100,EXP(-IRTree!J33*h)*((K32+K33)/2+cc*h))))</f>
        <v/>
      </c>
      <c r="K32" s="3" t="str">
        <f>IF(K$11&gt;T,"",IF($A32&gt;K$12,"",IF(T=K$11,100,EXP(-IRTree!K33*h)*((L32+L33)/2+cc*h))))</f>
        <v/>
      </c>
      <c r="L32" s="3" t="str">
        <f>IF(L$11&gt;T,"",IF($A32&gt;L$12,"",IF(T=L$11,100,EXP(-IRTree!L33*h)*((M32+M33)/2+cc*h))))</f>
        <v/>
      </c>
      <c r="M32" s="3" t="str">
        <f>IF(M$11&gt;T,"",IF($A32&gt;M$12,"",IF(T=M$11,100,EXP(-IRTree!M33*h)*((N32+N33)/2+cc*h))))</f>
        <v/>
      </c>
      <c r="N32" s="3" t="str">
        <f>IF(N$11&gt;T,"",IF($A32&gt;N$12,"",IF(T=N$11,100,EXP(-IRTree!N33*h)*((O32+O33)/2+cc*h))))</f>
        <v/>
      </c>
      <c r="O32" s="3" t="str">
        <f>IF(O$11&gt;T,"",IF($A32&gt;O$12,"",IF(T=O$11,100,EXP(-IRTree!O33*h)*((P32+P33)/2+cc*h))))</f>
        <v/>
      </c>
      <c r="P32" s="3" t="str">
        <f>IF(P$11&gt;T,"",IF($A32&gt;P$12,"",IF(T=P$11,100,EXP(-IRTree!P33*h)*((Q32+Q33)/2+cc*h))))</f>
        <v/>
      </c>
      <c r="Q32" s="3" t="str">
        <f>IF(Q$11&gt;T,"",IF($A32&gt;Q$12,"",IF(T=Q$11,100,EXP(-IRTree!Q33*h)*((R32+R33)/2+cc*h))))</f>
        <v/>
      </c>
      <c r="R32" s="3" t="str">
        <f>IF(R$11&gt;T,"",IF($A32&gt;R$12,"",IF(T=R$11,100,EXP(-IRTree!R33*h)*((S32+S33)/2+cc*h))))</f>
        <v/>
      </c>
      <c r="S32" s="3" t="str">
        <f>IF(S$11&gt;T,"",IF($A32&gt;S$12,"",IF(T=S$11,100,EXP(-IRTree!S33*h)*((T32+T33)/2+cc*h))))</f>
        <v/>
      </c>
      <c r="T32" s="3" t="str">
        <f>IF(T$11&gt;T,"",IF($A32&gt;T$12,"",IF(T=T$11,100,EXP(-IRTree!T33*h)*((U32+U33)/2+cc*h))))</f>
        <v/>
      </c>
      <c r="U32" s="3">
        <f>IF(U$11&gt;T,"",IF($A32&gt;U$12,"",IF(T=U$11,100,EXP(-IRTree!U33*h)*((V32+V33)/2+cc*h))))</f>
        <v>96.429951884517152</v>
      </c>
      <c r="V32" s="3">
        <f>IF(V$11&gt;T,"",IF($A32&gt;V$12,"",IF(T=V$11,100,EXP(-IRTree!V33*h)*((W32+W33)/2+cc*h))))</f>
        <v>96.175171080494579</v>
      </c>
      <c r="W32" s="3">
        <f>IF(W$11&gt;T,"",IF($A32&gt;W$12,"",IF(T=W$11,100,EXP(-IRTree!W33*h)*((X32+X33)/2+cc*h))))</f>
        <v>95.915294321907609</v>
      </c>
      <c r="X32" s="3">
        <f>IF(X$11&gt;T,"",IF($A32&gt;X$12,"",IF(T=X$11,100,EXP(-IRTree!X33*h)*((Y32+Y33)/2+cc*h))))</f>
        <v>95.646843302939089</v>
      </c>
      <c r="Y32" s="3">
        <f>IF(Y$11&gt;T,"",IF($A32&gt;Y$12,"",IF(T=Y$11,100,EXP(-IRTree!Y33*h)*((Z32+Z33)/2+cc*h))))</f>
        <v>95.388541121628563</v>
      </c>
      <c r="Z32" s="3">
        <f>IF(Z$11&gt;T,"",IF($A32&gt;Z$12,"",IF(T=Z$11,100,EXP(-IRTree!Z33*h)*((AA32+AA33)/2+cc*h))))</f>
        <v>95.129007917197583</v>
      </c>
      <c r="AA32" s="3">
        <f>IF(AA$11&gt;T,"",IF($A32&gt;AA$12,"",IF(T=AA$11,100,EXP(-IRTree!AA33*h)*((AB32+AB33)/2+cc*h))))</f>
        <v>94.880840588774504</v>
      </c>
      <c r="AB32" s="3">
        <f>IF(AB$11&gt;T,"",IF($A32&gt;AB$12,"",IF(T=AB$11,100,EXP(-IRTree!AB33*h)*((AC32+AC33)/2+cc*h))))</f>
        <v>94.651633222996622</v>
      </c>
      <c r="AC32" s="3">
        <f>IF(AC$11&gt;T,"",IF($A32&gt;AC$12,"",IF(T=AC$11,100,EXP(-IRTree!AC33*h)*((AD32+AD33)/2+cc*h))))</f>
        <v>94.439027313800182</v>
      </c>
      <c r="AD32" s="3">
        <f>IF(AD$11&gt;T,"",IF($A32&gt;AD$12,"",IF(T=AD$11,100,EXP(-IRTree!AD33*h)*((AE32+AE33)/2+cc*h))))</f>
        <v>94.257638579402496</v>
      </c>
      <c r="AE32" s="3">
        <f>IF(AE$11&gt;T,"",IF($A32&gt;AE$12,"",IF(T=AE$11,100,EXP(-IRTree!AE33*h)*((AF32+AF33)/2+cc*h))))</f>
        <v>94.118183620354543</v>
      </c>
      <c r="AF32" s="3">
        <f>IF(AF$11&gt;T,"",IF($A32&gt;AF$12,"",IF(T=AF$11,100,EXP(-IRTree!AF33*h)*((AG32+AG33)/2+cc*h))))</f>
        <v>94.027507522320391</v>
      </c>
      <c r="AG32" s="3">
        <f>IF(AG$11&gt;T,"",IF($A32&gt;AG$12,"",IF(T=AG$11,100,EXP(-IRTree!AG33*h)*((AH32+AH33)/2+cc*h))))</f>
        <v>93.996665248516535</v>
      </c>
      <c r="AH32" s="3">
        <f>IF(AH$11&gt;T,"",IF($A32&gt;AH$12,"",IF(T=AH$11,100,EXP(-IRTree!AH33*h)*((AI32+AI33)/2+cc*h))))</f>
        <v>94.045940806746671</v>
      </c>
      <c r="AI32" s="3">
        <f>IF(AI$11&gt;T,"",IF($A32&gt;AI$12,"",IF(T=AI$11,100,EXP(-IRTree!AI33*h)*((AJ32+AJ33)/2+cc*h))))</f>
        <v>94.188158184812167</v>
      </c>
      <c r="AJ32" s="3">
        <f>IF(AJ$11&gt;T,"",IF($A32&gt;AJ$12,"",IF(T=AJ$11,100,EXP(-IRTree!AJ33*h)*((AK32+AK33)/2+cc*h))))</f>
        <v>94.456694321869179</v>
      </c>
      <c r="AK32" s="3">
        <f>IF(AK$11&gt;T,"",IF($A32&gt;AK$12,"",IF(T=AK$11,100,EXP(-IRTree!AK33*h)*((AL32+AL33)/2+cc*h))))</f>
        <v>94.868565911935278</v>
      </c>
      <c r="AL32" s="3">
        <f>IF(AL$11&gt;T,"",IF($A32&gt;AL$12,"",IF(T=AL$11,100,EXP(-IRTree!AL33*h)*((AM32+AM33)/2+cc*h))))</f>
        <v>95.45230721764284</v>
      </c>
      <c r="AM32" s="3">
        <f>IF(AM$11&gt;T,"",IF($A32&gt;AM$12,"",IF(T=AM$11,100,EXP(-IRTree!AM33*h)*((AN32+AN33)/2+cc*h))))</f>
        <v>96.222258498702899</v>
      </c>
      <c r="AN32" s="3">
        <f>IF(AN$11&gt;T,"",IF($A32&gt;AN$12,"",IF(T=AN$11,100,EXP(-IRTree!AN33*h)*((AO32+AO33)/2+cc*h))))</f>
        <v>97.219754458205742</v>
      </c>
      <c r="AO32" s="3">
        <f>IF(AO$11&gt;T,"",IF($A32&gt;AO$12,"",IF(T=AO$11,100,EXP(-IRTree!AO33*h)*((AP32+AP33)/2+cc*h))))</f>
        <v>98.469975384628597</v>
      </c>
      <c r="AP32" s="3">
        <f>IF(AP$11&gt;T,"",IF($A32&gt;AP$12,"",IF(T=AP$11,100,EXP(-IRTree!AP33*h)*((AQ32+AQ33)/2+cc*h))))</f>
        <v>100</v>
      </c>
      <c r="AQ32" s="3" t="str">
        <f>IF(AQ$11&gt;T,"",IF($A32&gt;AQ$12,"",IF(T=AQ$11,100,EXP(-IRTree!AQ33*h)*((AR32+AR33)/2+cc*h))))</f>
        <v/>
      </c>
      <c r="AR32" s="3" t="str">
        <f>IF(AR$11&gt;T,"",IF($A32&gt;AR$12,"",IF(T=AR$11,100,EXP(-IRTree!AR33*h)*((AS32+AS33)/2+cc*h))))</f>
        <v/>
      </c>
      <c r="AS32" s="3" t="str">
        <f>IF(AS$11&gt;T,"",IF($A32&gt;AS$12,"",IF(T=AS$11,100,EXP(-IRTree!AS33*h)*((AT32+AT33)/2+cc*h))))</f>
        <v/>
      </c>
      <c r="AT32" s="3" t="str">
        <f>IF(AT$11&gt;T,"",IF($A32&gt;AT$12,"",IF(T=AT$11,100,EXP(-IRTree!AT33*h)*((AU32+AU33)/2+cc*h))))</f>
        <v/>
      </c>
      <c r="AU32" s="3" t="str">
        <f>IF(AU$11&gt;T,"",IF($A32&gt;AU$12,"",IF(T=AU$11,100,EXP(-IRTree!AU33*h)*((AV32+AV33)/2+cc*h))))</f>
        <v/>
      </c>
      <c r="AV32" s="3" t="str">
        <f>IF(AV$11&gt;T,"",IF($A32&gt;AV$12,"",IF(T=AV$11,100,EXP(-IRTree!AV33*h)*((AW32+AW33)/2+cc*h))))</f>
        <v/>
      </c>
      <c r="AW32" s="3" t="str">
        <f>IF(AW$11&gt;T,"",IF($A32&gt;AW$12,"",IF(T=AW$11,100,EXP(-IRTree!AW33*h)*((AX32+AX33)/2+cc*h))))</f>
        <v/>
      </c>
      <c r="AX32" s="3" t="str">
        <f>IF(AX$11&gt;T,"",IF($A32&gt;AX$12,"",IF(T=AX$11,100,EXP(-IRTree!AX33*h)*((AY32+AY33)/2+cc*h))))</f>
        <v/>
      </c>
      <c r="AY32" s="3" t="str">
        <f>IF(AY$11&gt;T,"",IF($A32&gt;AY$12,"",IF(T=AY$11,100,EXP(-IRTree!AY33*h)*((AZ32+AZ33)/2+cc*h))))</f>
        <v/>
      </c>
      <c r="AZ32" s="3" t="str">
        <f>IF(AZ$11&gt;T,"",IF($A32&gt;AZ$12,"",IF(T=AZ$11,100,EXP(-IRTree!AZ33*h)*((BA32+BA33)/2+cc*h))))</f>
        <v/>
      </c>
      <c r="BA32" s="3" t="str">
        <f>IF(BA$11&gt;T,"",IF($A32&gt;BA$12,"",IF(T=BA$11,100,EXP(-IRTree!BA33*h)*((BB32+BB33)/2+cc*h))))</f>
        <v/>
      </c>
      <c r="BB32" s="3" t="str">
        <f>IF(BB$11&gt;T,"",IF($A32&gt;BB$12,"",IF(T=BB$11,100,EXP(-IRTree!BB33*h)*((BC32+BC33)/2+cc*h))))</f>
        <v/>
      </c>
      <c r="BC32" s="3" t="str">
        <f>IF(BC$11&gt;T,"",IF($A32&gt;BC$12,"",IF(T=BC$11,100,EXP(-IRTree!BC33*h)*((BD32+BD33)/2+cc*h))))</f>
        <v/>
      </c>
      <c r="BD32" s="3" t="str">
        <f>IF(BD$11&gt;T,"",IF($A32&gt;BD$12,"",IF(T=BD$11,100,EXP(-IRTree!BD33*h)*((BE32+BE33)/2+cc*h))))</f>
        <v/>
      </c>
      <c r="BE32" s="3" t="str">
        <f>IF(BE$11&gt;T,"",IF($A32&gt;BE$12,"",IF(T=BE$11,100,EXP(-IRTree!BE33*h)*((BF32+BF33)/2+cc*h))))</f>
        <v/>
      </c>
      <c r="BF32" s="3" t="str">
        <f>IF(BF$11&gt;T,"",IF($A32&gt;BF$12,"",IF(T=BF$11,100,EXP(-IRTree!BF33*h)*((BG32+BG33)/2+cc*h))))</f>
        <v/>
      </c>
      <c r="BG32" s="3" t="str">
        <f>IF(BG$11&gt;T,"",IF($A32&gt;BG$12,"",IF(T=BG$11,100,EXP(-IRTree!BG33*h)*((BH32+BH33)/2+cc*h))))</f>
        <v/>
      </c>
      <c r="BH32" s="3" t="str">
        <f>IF(BH$11&gt;T,"",IF($A32&gt;BH$12,"",IF(T=BH$11,100,EXP(-IRTree!BH33*h)*((BI32+BI33)/2+cc*h))))</f>
        <v/>
      </c>
      <c r="BI32" s="3" t="str">
        <f>IF(BI$11&gt;T,"",IF($A32&gt;BI$12,"",IF(T=BI$11,100,EXP(-IRTree!BI33*h)*((BJ32+BJ33)/2+cc*h))))</f>
        <v/>
      </c>
      <c r="BJ32" s="3" t="str">
        <f>IF(BJ$11&gt;T,"",IF($A32&gt;BJ$12,"",IF(T=BJ$11,100,EXP(-IRTree!BJ33*h)*((BK32+BK33)/2+cc*h))))</f>
        <v/>
      </c>
    </row>
    <row r="33" spans="1:62">
      <c r="A33" s="12">
        <f t="shared" si="2"/>
        <v>20</v>
      </c>
      <c r="B33" s="3" t="str">
        <f>IF(B$11&gt;T,"",IF($A33&gt;B$12,"",IF(T=B$11,100,EXP(-IRTree!B34*h)*((C33+C34)/2+cc*h))))</f>
        <v/>
      </c>
      <c r="C33" s="3" t="str">
        <f>IF(C$11&gt;T,"",IF($A33&gt;C$12,"",IF(T=C$11,100,EXP(-IRTree!C34*h)*((D33+D34)/2+cc*h))))</f>
        <v/>
      </c>
      <c r="D33" s="3" t="str">
        <f>IF(D$11&gt;T,"",IF($A33&gt;D$12,"",IF(T=D$11,100,EXP(-IRTree!D34*h)*((E33+E34)/2+cc*h))))</f>
        <v/>
      </c>
      <c r="E33" s="3" t="str">
        <f>IF(E$11&gt;T,"",IF($A33&gt;E$12,"",IF(T=E$11,100,EXP(-IRTree!E34*h)*((F33+F34)/2+cc*h))))</f>
        <v/>
      </c>
      <c r="F33" s="3" t="str">
        <f>IF(F$11&gt;T,"",IF($A33&gt;F$12,"",IF(T=F$11,100,EXP(-IRTree!F34*h)*((G33+G34)/2+cc*h))))</f>
        <v/>
      </c>
      <c r="G33" s="3" t="str">
        <f>IF(G$11&gt;T,"",IF($A33&gt;G$12,"",IF(T=G$11,100,EXP(-IRTree!G34*h)*((H33+H34)/2+cc*h))))</f>
        <v/>
      </c>
      <c r="H33" s="3" t="str">
        <f>IF(H$11&gt;T,"",IF($A33&gt;H$12,"",IF(T=H$11,100,EXP(-IRTree!H34*h)*((I33+I34)/2+cc*h))))</f>
        <v/>
      </c>
      <c r="I33" s="3" t="str">
        <f>IF(I$11&gt;T,"",IF($A33&gt;I$12,"",IF(T=I$11,100,EXP(-IRTree!I34*h)*((J33+J34)/2+cc*h))))</f>
        <v/>
      </c>
      <c r="J33" s="3" t="str">
        <f>IF(J$11&gt;T,"",IF($A33&gt;J$12,"",IF(T=J$11,100,EXP(-IRTree!J34*h)*((K33+K34)/2+cc*h))))</f>
        <v/>
      </c>
      <c r="K33" s="3" t="str">
        <f>IF(K$11&gt;T,"",IF($A33&gt;K$12,"",IF(T=K$11,100,EXP(-IRTree!K34*h)*((L33+L34)/2+cc*h))))</f>
        <v/>
      </c>
      <c r="L33" s="3" t="str">
        <f>IF(L$11&gt;T,"",IF($A33&gt;L$12,"",IF(T=L$11,100,EXP(-IRTree!L34*h)*((M33+M34)/2+cc*h))))</f>
        <v/>
      </c>
      <c r="M33" s="3" t="str">
        <f>IF(M$11&gt;T,"",IF($A33&gt;M$12,"",IF(T=M$11,100,EXP(-IRTree!M34*h)*((N33+N34)/2+cc*h))))</f>
        <v/>
      </c>
      <c r="N33" s="3" t="str">
        <f>IF(N$11&gt;T,"",IF($A33&gt;N$12,"",IF(T=N$11,100,EXP(-IRTree!N34*h)*((O33+O34)/2+cc*h))))</f>
        <v/>
      </c>
      <c r="O33" s="3" t="str">
        <f>IF(O$11&gt;T,"",IF($A33&gt;O$12,"",IF(T=O$11,100,EXP(-IRTree!O34*h)*((P33+P34)/2+cc*h))))</f>
        <v/>
      </c>
      <c r="P33" s="3" t="str">
        <f>IF(P$11&gt;T,"",IF($A33&gt;P$12,"",IF(T=P$11,100,EXP(-IRTree!P34*h)*((Q33+Q34)/2+cc*h))))</f>
        <v/>
      </c>
      <c r="Q33" s="3" t="str">
        <f>IF(Q$11&gt;T,"",IF($A33&gt;Q$12,"",IF(T=Q$11,100,EXP(-IRTree!Q34*h)*((R33+R34)/2+cc*h))))</f>
        <v/>
      </c>
      <c r="R33" s="3" t="str">
        <f>IF(R$11&gt;T,"",IF($A33&gt;R$12,"",IF(T=R$11,100,EXP(-IRTree!R34*h)*((S33+S34)/2+cc*h))))</f>
        <v/>
      </c>
      <c r="S33" s="3" t="str">
        <f>IF(S$11&gt;T,"",IF($A33&gt;S$12,"",IF(T=S$11,100,EXP(-IRTree!S34*h)*((T33+T34)/2+cc*h))))</f>
        <v/>
      </c>
      <c r="T33" s="3" t="str">
        <f>IF(T$11&gt;T,"",IF($A33&gt;T$12,"",IF(T=T$11,100,EXP(-IRTree!T34*h)*((U33+U34)/2+cc*h))))</f>
        <v/>
      </c>
      <c r="U33" s="3" t="str">
        <f>IF(U$11&gt;T,"",IF($A33&gt;U$12,"",IF(T=U$11,100,EXP(-IRTree!U34*h)*((V33+V34)/2+cc*h))))</f>
        <v/>
      </c>
      <c r="V33" s="3">
        <f>IF(V$11&gt;T,"",IF($A33&gt;V$12,"",IF(T=V$11,100,EXP(-IRTree!V34*h)*((W33+W34)/2+cc*h))))</f>
        <v>96.881989597475936</v>
      </c>
      <c r="W33" s="3">
        <f>IF(W$11&gt;T,"",IF($A33&gt;W$12,"",IF(T=W$11,100,EXP(-IRTree!W34*h)*((X33+X34)/2+cc*h))))</f>
        <v>96.666308967248796</v>
      </c>
      <c r="X33" s="3">
        <f>IF(X$11&gt;T,"",IF($A33&gt;X$12,"",IF(T=X$11,100,EXP(-IRTree!X34*h)*((Y33+Y34)/2+cc*h))))</f>
        <v>96.442521258662509</v>
      </c>
      <c r="Y33" s="3">
        <f>IF(Y$11&gt;T,"",IF($A33&gt;Y$12,"",IF(T=Y$11,100,EXP(-IRTree!Y34*h)*((Z33+Z34)/2+cc*h))))</f>
        <v>96.226759806412645</v>
      </c>
      <c r="Z33" s="3">
        <f>IF(Z$11&gt;T,"",IF($A33&gt;Z$12,"",IF(T=Z$11,100,EXP(-IRTree!Z34*h)*((AA33+AA34)/2+cc*h))))</f>
        <v>96.008737236344459</v>
      </c>
      <c r="AA33" s="3">
        <f>IF(AA$11&gt;T,"",IF($A33&gt;AA$12,"",IF(T=AA$11,100,EXP(-IRTree!AA34*h)*((AB33+AB34)/2+cc*h))))</f>
        <v>95.799236712948513</v>
      </c>
      <c r="AB33" s="3">
        <f>IF(AB$11&gt;T,"",IF($A33&gt;AB$12,"",IF(T=AB$11,100,EXP(-IRTree!AB34*h)*((AC33+AC34)/2+cc*h))))</f>
        <v>95.604678847520546</v>
      </c>
      <c r="AC33" s="3">
        <f>IF(AC$11&gt;T,"",IF($A33&gt;AC$12,"",IF(T=AC$11,100,EXP(-IRTree!AC34*h)*((AD33+AD34)/2+cc*h))))</f>
        <v>95.422317611320338</v>
      </c>
      <c r="AD33" s="3">
        <f>IF(AD$11&gt;T,"",IF($A33&gt;AD$12,"",IF(T=AD$11,100,EXP(-IRTree!AD34*h)*((AE33+AE34)/2+cc*h))))</f>
        <v>95.264756596407025</v>
      </c>
      <c r="AE33" s="3">
        <f>IF(AE$11&gt;T,"",IF($A33&gt;AE$12,"",IF(T=AE$11,100,EXP(-IRTree!AE34*h)*((AF33+AF34)/2+cc*h))))</f>
        <v>95.141053952197794</v>
      </c>
      <c r="AF33" s="3">
        <f>IF(AF$11&gt;T,"",IF($A33&gt;AF$12,"",IF(T=AF$11,100,EXP(-IRTree!AF34*h)*((AG33+AG34)/2+cc*h))))</f>
        <v>95.056458325454415</v>
      </c>
      <c r="AG33" s="3">
        <f>IF(AG$11&gt;T,"",IF($A33&gt;AG$12,"",IF(T=AG$11,100,EXP(-IRTree!AG34*h)*((AH33+AH34)/2+cc*h))))</f>
        <v>95.019896144354846</v>
      </c>
      <c r="AH33" s="3">
        <f>IF(AH$11&gt;T,"",IF($A33&gt;AH$12,"",IF(T=AH$11,100,EXP(-IRTree!AH34*h)*((AI33+AI34)/2+cc*h))))</f>
        <v>95.048994513649959</v>
      </c>
      <c r="AI33" s="3">
        <f>IF(AI$11&gt;T,"",IF($A33&gt;AI$12,"",IF(T=AI$11,100,EXP(-IRTree!AI34*h)*((AJ33+AJ34)/2+cc*h))))</f>
        <v>95.153835824555813</v>
      </c>
      <c r="AJ33" s="3">
        <f>IF(AJ$11&gt;T,"",IF($A33&gt;AJ$12,"",IF(T=AJ$11,100,EXP(-IRTree!AJ34*h)*((AK33+AK34)/2+cc*h))))</f>
        <v>95.365252533291383</v>
      </c>
      <c r="AK33" s="3">
        <f>IF(AK$11&gt;T,"",IF($A33&gt;AK$12,"",IF(T=AK$11,100,EXP(-IRTree!AK34*h)*((AL33+AL34)/2+cc*h))))</f>
        <v>95.697530004187342</v>
      </c>
      <c r="AL33" s="3">
        <f>IF(AL$11&gt;T,"",IF($A33&gt;AL$12,"",IF(T=AL$11,100,EXP(-IRTree!AL34*h)*((AM33+AM34)/2+cc*h))))</f>
        <v>96.17704226382051</v>
      </c>
      <c r="AM33" s="3">
        <f>IF(AM$11&gt;T,"",IF($A33&gt;AM$12,"",IF(T=AM$11,100,EXP(-IRTree!AM34*h)*((AN33+AN34)/2+cc*h))))</f>
        <v>96.812966614004935</v>
      </c>
      <c r="AN33" s="3">
        <f>IF(AN$11&gt;T,"",IF($A33&gt;AN$12,"",IF(T=AN$11,100,EXP(-IRTree!AN34*h)*((AO33+AO34)/2+cc*h))))</f>
        <v>97.646426084663574</v>
      </c>
      <c r="AO33" s="3">
        <f>IF(AO$11&gt;T,"",IF($A33&gt;AO$12,"",IF(T=AO$11,100,EXP(-IRTree!AO34*h)*((AP33+AP34)/2+cc*h))))</f>
        <v>98.700616069289154</v>
      </c>
      <c r="AP33" s="3">
        <f>IF(AP$11&gt;T,"",IF($A33&gt;AP$12,"",IF(T=AP$11,100,EXP(-IRTree!AP34*h)*((AQ33+AQ34)/2+cc*h))))</f>
        <v>100</v>
      </c>
      <c r="AQ33" s="3" t="str">
        <f>IF(AQ$11&gt;T,"",IF($A33&gt;AQ$12,"",IF(T=AQ$11,100,EXP(-IRTree!AQ34*h)*((AR33+AR34)/2+cc*h))))</f>
        <v/>
      </c>
      <c r="AR33" s="3" t="str">
        <f>IF(AR$11&gt;T,"",IF($A33&gt;AR$12,"",IF(T=AR$11,100,EXP(-IRTree!AR34*h)*((AS33+AS34)/2+cc*h))))</f>
        <v/>
      </c>
      <c r="AS33" s="3" t="str">
        <f>IF(AS$11&gt;T,"",IF($A33&gt;AS$12,"",IF(T=AS$11,100,EXP(-IRTree!AS34*h)*((AT33+AT34)/2+cc*h))))</f>
        <v/>
      </c>
      <c r="AT33" s="3" t="str">
        <f>IF(AT$11&gt;T,"",IF($A33&gt;AT$12,"",IF(T=AT$11,100,EXP(-IRTree!AT34*h)*((AU33+AU34)/2+cc*h))))</f>
        <v/>
      </c>
      <c r="AU33" s="3" t="str">
        <f>IF(AU$11&gt;T,"",IF($A33&gt;AU$12,"",IF(T=AU$11,100,EXP(-IRTree!AU34*h)*((AV33+AV34)/2+cc*h))))</f>
        <v/>
      </c>
      <c r="AV33" s="3" t="str">
        <f>IF(AV$11&gt;T,"",IF($A33&gt;AV$12,"",IF(T=AV$11,100,EXP(-IRTree!AV34*h)*((AW33+AW34)/2+cc*h))))</f>
        <v/>
      </c>
      <c r="AW33" s="3" t="str">
        <f>IF(AW$11&gt;T,"",IF($A33&gt;AW$12,"",IF(T=AW$11,100,EXP(-IRTree!AW34*h)*((AX33+AX34)/2+cc*h))))</f>
        <v/>
      </c>
      <c r="AX33" s="3" t="str">
        <f>IF(AX$11&gt;T,"",IF($A33&gt;AX$12,"",IF(T=AX$11,100,EXP(-IRTree!AX34*h)*((AY33+AY34)/2+cc*h))))</f>
        <v/>
      </c>
      <c r="AY33" s="3" t="str">
        <f>IF(AY$11&gt;T,"",IF($A33&gt;AY$12,"",IF(T=AY$11,100,EXP(-IRTree!AY34*h)*((AZ33+AZ34)/2+cc*h))))</f>
        <v/>
      </c>
      <c r="AZ33" s="3" t="str">
        <f>IF(AZ$11&gt;T,"",IF($A33&gt;AZ$12,"",IF(T=AZ$11,100,EXP(-IRTree!AZ34*h)*((BA33+BA34)/2+cc*h))))</f>
        <v/>
      </c>
      <c r="BA33" s="3" t="str">
        <f>IF(BA$11&gt;T,"",IF($A33&gt;BA$12,"",IF(T=BA$11,100,EXP(-IRTree!BA34*h)*((BB33+BB34)/2+cc*h))))</f>
        <v/>
      </c>
      <c r="BB33" s="3" t="str">
        <f>IF(BB$11&gt;T,"",IF($A33&gt;BB$12,"",IF(T=BB$11,100,EXP(-IRTree!BB34*h)*((BC33+BC34)/2+cc*h))))</f>
        <v/>
      </c>
      <c r="BC33" s="3" t="str">
        <f>IF(BC$11&gt;T,"",IF($A33&gt;BC$12,"",IF(T=BC$11,100,EXP(-IRTree!BC34*h)*((BD33+BD34)/2+cc*h))))</f>
        <v/>
      </c>
      <c r="BD33" s="3" t="str">
        <f>IF(BD$11&gt;T,"",IF($A33&gt;BD$12,"",IF(T=BD$11,100,EXP(-IRTree!BD34*h)*((BE33+BE34)/2+cc*h))))</f>
        <v/>
      </c>
      <c r="BE33" s="3" t="str">
        <f>IF(BE$11&gt;T,"",IF($A33&gt;BE$12,"",IF(T=BE$11,100,EXP(-IRTree!BE34*h)*((BF33+BF34)/2+cc*h))))</f>
        <v/>
      </c>
      <c r="BF33" s="3" t="str">
        <f>IF(BF$11&gt;T,"",IF($A33&gt;BF$12,"",IF(T=BF$11,100,EXP(-IRTree!BF34*h)*((BG33+BG34)/2+cc*h))))</f>
        <v/>
      </c>
      <c r="BG33" s="3" t="str">
        <f>IF(BG$11&gt;T,"",IF($A33&gt;BG$12,"",IF(T=BG$11,100,EXP(-IRTree!BG34*h)*((BH33+BH34)/2+cc*h))))</f>
        <v/>
      </c>
      <c r="BH33" s="3" t="str">
        <f>IF(BH$11&gt;T,"",IF($A33&gt;BH$12,"",IF(T=BH$11,100,EXP(-IRTree!BH34*h)*((BI33+BI34)/2+cc*h))))</f>
        <v/>
      </c>
      <c r="BI33" s="3" t="str">
        <f>IF(BI$11&gt;T,"",IF($A33&gt;BI$12,"",IF(T=BI$11,100,EXP(-IRTree!BI34*h)*((BJ33+BJ34)/2+cc*h))))</f>
        <v/>
      </c>
      <c r="BJ33" s="3" t="str">
        <f>IF(BJ$11&gt;T,"",IF($A33&gt;BJ$12,"",IF(T=BJ$11,100,EXP(-IRTree!BJ34*h)*((BK33+BK34)/2+cc*h))))</f>
        <v/>
      </c>
    </row>
    <row r="34" spans="1:62">
      <c r="A34" s="12">
        <f t="shared" si="2"/>
        <v>21</v>
      </c>
      <c r="B34" s="3" t="str">
        <f>IF(B$11&gt;T,"",IF($A34&gt;B$12,"",IF(T=B$11,100,EXP(-IRTree!B35*h)*((C34+C35)/2+cc*h))))</f>
        <v/>
      </c>
      <c r="C34" s="3" t="str">
        <f>IF(C$11&gt;T,"",IF($A34&gt;C$12,"",IF(T=C$11,100,EXP(-IRTree!C35*h)*((D34+D35)/2+cc*h))))</f>
        <v/>
      </c>
      <c r="D34" s="3" t="str">
        <f>IF(D$11&gt;T,"",IF($A34&gt;D$12,"",IF(T=D$11,100,EXP(-IRTree!D35*h)*((E34+E35)/2+cc*h))))</f>
        <v/>
      </c>
      <c r="E34" s="3" t="str">
        <f>IF(E$11&gt;T,"",IF($A34&gt;E$12,"",IF(T=E$11,100,EXP(-IRTree!E35*h)*((F34+F35)/2+cc*h))))</f>
        <v/>
      </c>
      <c r="F34" s="3" t="str">
        <f>IF(F$11&gt;T,"",IF($A34&gt;F$12,"",IF(T=F$11,100,EXP(-IRTree!F35*h)*((G34+G35)/2+cc*h))))</f>
        <v/>
      </c>
      <c r="G34" s="3" t="str">
        <f>IF(G$11&gt;T,"",IF($A34&gt;G$12,"",IF(T=G$11,100,EXP(-IRTree!G35*h)*((H34+H35)/2+cc*h))))</f>
        <v/>
      </c>
      <c r="H34" s="3" t="str">
        <f>IF(H$11&gt;T,"",IF($A34&gt;H$12,"",IF(T=H$11,100,EXP(-IRTree!H35*h)*((I34+I35)/2+cc*h))))</f>
        <v/>
      </c>
      <c r="I34" s="3" t="str">
        <f>IF(I$11&gt;T,"",IF($A34&gt;I$12,"",IF(T=I$11,100,EXP(-IRTree!I35*h)*((J34+J35)/2+cc*h))))</f>
        <v/>
      </c>
      <c r="J34" s="3" t="str">
        <f>IF(J$11&gt;T,"",IF($A34&gt;J$12,"",IF(T=J$11,100,EXP(-IRTree!J35*h)*((K34+K35)/2+cc*h))))</f>
        <v/>
      </c>
      <c r="K34" s="3" t="str">
        <f>IF(K$11&gt;T,"",IF($A34&gt;K$12,"",IF(T=K$11,100,EXP(-IRTree!K35*h)*((L34+L35)/2+cc*h))))</f>
        <v/>
      </c>
      <c r="L34" s="3" t="str">
        <f>IF(L$11&gt;T,"",IF($A34&gt;L$12,"",IF(T=L$11,100,EXP(-IRTree!L35*h)*((M34+M35)/2+cc*h))))</f>
        <v/>
      </c>
      <c r="M34" s="3" t="str">
        <f>IF(M$11&gt;T,"",IF($A34&gt;M$12,"",IF(T=M$11,100,EXP(-IRTree!M35*h)*((N34+N35)/2+cc*h))))</f>
        <v/>
      </c>
      <c r="N34" s="3" t="str">
        <f>IF(N$11&gt;T,"",IF($A34&gt;N$12,"",IF(T=N$11,100,EXP(-IRTree!N35*h)*((O34+O35)/2+cc*h))))</f>
        <v/>
      </c>
      <c r="O34" s="3" t="str">
        <f>IF(O$11&gt;T,"",IF($A34&gt;O$12,"",IF(T=O$11,100,EXP(-IRTree!O35*h)*((P34+P35)/2+cc*h))))</f>
        <v/>
      </c>
      <c r="P34" s="3" t="str">
        <f>IF(P$11&gt;T,"",IF($A34&gt;P$12,"",IF(T=P$11,100,EXP(-IRTree!P35*h)*((Q34+Q35)/2+cc*h))))</f>
        <v/>
      </c>
      <c r="Q34" s="3" t="str">
        <f>IF(Q$11&gt;T,"",IF($A34&gt;Q$12,"",IF(T=Q$11,100,EXP(-IRTree!Q35*h)*((R34+R35)/2+cc*h))))</f>
        <v/>
      </c>
      <c r="R34" s="3" t="str">
        <f>IF(R$11&gt;T,"",IF($A34&gt;R$12,"",IF(T=R$11,100,EXP(-IRTree!R35*h)*((S34+S35)/2+cc*h))))</f>
        <v/>
      </c>
      <c r="S34" s="3" t="str">
        <f>IF(S$11&gt;T,"",IF($A34&gt;S$12,"",IF(T=S$11,100,EXP(-IRTree!S35*h)*((T34+T35)/2+cc*h))))</f>
        <v/>
      </c>
      <c r="T34" s="3" t="str">
        <f>IF(T$11&gt;T,"",IF($A34&gt;T$12,"",IF(T=T$11,100,EXP(-IRTree!T35*h)*((U34+U35)/2+cc*h))))</f>
        <v/>
      </c>
      <c r="U34" s="3" t="str">
        <f>IF(U$11&gt;T,"",IF($A34&gt;U$12,"",IF(T=U$11,100,EXP(-IRTree!U35*h)*((V34+V35)/2+cc*h))))</f>
        <v/>
      </c>
      <c r="V34" s="3" t="str">
        <f>IF(V$11&gt;T,"",IF($A34&gt;V$12,"",IF(T=V$11,100,EXP(-IRTree!V35*h)*((W34+W35)/2+cc*h))))</f>
        <v/>
      </c>
      <c r="W34" s="3">
        <f>IF(W$11&gt;T,"",IF($A34&gt;W$12,"",IF(T=W$11,100,EXP(-IRTree!W35*h)*((X34+X35)/2+cc*h))))</f>
        <v>97.279671475968357</v>
      </c>
      <c r="X34" s="3">
        <f>IF(X$11&gt;T,"",IF($A34&gt;X$12,"",IF(T=X$11,100,EXP(-IRTree!X35*h)*((Y34+Y35)/2+cc*h))))</f>
        <v>97.093450233193437</v>
      </c>
      <c r="Y34" s="3">
        <f>IF(Y$11&gt;T,"",IF($A34&gt;Y$12,"",IF(T=Y$11,100,EXP(-IRTree!Y35*h)*((Z34+Z35)/2+cc*h))))</f>
        <v>96.913530709807517</v>
      </c>
      <c r="Z34" s="3">
        <f>IF(Z$11&gt;T,"",IF($A34&gt;Z$12,"",IF(T=Z$11,100,EXP(-IRTree!Z35*h)*((AA34+AA35)/2+cc*h))))</f>
        <v>96.730768059904037</v>
      </c>
      <c r="AA34" s="3">
        <f>IF(AA$11&gt;T,"",IF($A34&gt;AA$12,"",IF(T=AA$11,100,EXP(-IRTree!AA35*h)*((AB34+AB35)/2+cc*h))))</f>
        <v>96.554324476289537</v>
      </c>
      <c r="AB34" s="3">
        <f>IF(AB$11&gt;T,"",IF($A34&gt;AB$12,"",IF(T=AB$11,100,EXP(-IRTree!AB35*h)*((AC34+AC35)/2+cc*h))))</f>
        <v>96.389600319195154</v>
      </c>
      <c r="AC34" s="3">
        <f>IF(AC$11&gt;T,"",IF($A34&gt;AC$12,"",IF(T=AC$11,100,EXP(-IRTree!AC35*h)*((AD34+AD35)/2+cc*h))))</f>
        <v>96.233712590446586</v>
      </c>
      <c r="AD34" s="3">
        <f>IF(AD$11&gt;T,"",IF($A34&gt;AD$12,"",IF(T=AD$11,100,EXP(-IRTree!AD35*h)*((AE34+AE35)/2+cc*h))))</f>
        <v>96.09745064949476</v>
      </c>
      <c r="AE34" s="3">
        <f>IF(AE$11&gt;T,"",IF($A34&gt;AE$12,"",IF(T=AE$11,100,EXP(-IRTree!AE35*h)*((AF34+AF35)/2+cc*h))))</f>
        <v>95.988438354269746</v>
      </c>
      <c r="AF34" s="3">
        <f>IF(AF$11&gt;T,"",IF($A34&gt;AF$12,"",IF(T=AF$11,100,EXP(-IRTree!AF35*h)*((AG34+AG35)/2+cc*h))))</f>
        <v>95.910681996879447</v>
      </c>
      <c r="AG34" s="3">
        <f>IF(AG$11&gt;T,"",IF($A34&gt;AG$12,"",IF(T=AG$11,100,EXP(-IRTree!AG35*h)*((AH34+AH35)/2+cc*h))))</f>
        <v>95.871375726377337</v>
      </c>
      <c r="AH34" s="3">
        <f>IF(AH$11&gt;T,"",IF($A34&gt;AH$12,"",IF(T=AH$11,100,EXP(-IRTree!AH35*h)*((AI34+AI35)/2+cc*h))))</f>
        <v>95.885746239994248</v>
      </c>
      <c r="AI34" s="3">
        <f>IF(AI$11&gt;T,"",IF($A34&gt;AI$12,"",IF(T=AI$11,100,EXP(-IRTree!AI35*h)*((AJ34+AJ35)/2+cc*h))))</f>
        <v>95.961712327161223</v>
      </c>
      <c r="AJ34" s="3">
        <f>IF(AJ$11&gt;T,"",IF($A34&gt;AJ$12,"",IF(T=AJ$11,100,EXP(-IRTree!AJ35*h)*((AK34+AK35)/2+cc*h))))</f>
        <v>96.127353573870195</v>
      </c>
      <c r="AK34" s="3">
        <f>IF(AK$11&gt;T,"",IF($A34&gt;AK$12,"",IF(T=AK$11,100,EXP(-IRTree!AK35*h)*((AL34+AL35)/2+cc*h))))</f>
        <v>96.394707629451105</v>
      </c>
      <c r="AL34" s="3">
        <f>IF(AL$11&gt;T,"",IF($A34&gt;AL$12,"",IF(T=AL$11,100,EXP(-IRTree!AL35*h)*((AM34+AM35)/2+cc*h))))</f>
        <v>96.787928815697541</v>
      </c>
      <c r="AM34" s="3">
        <f>IF(AM$11&gt;T,"",IF($A34&gt;AM$12,"",IF(T=AM$11,100,EXP(-IRTree!AM35*h)*((AN34+AN35)/2+cc*h))))</f>
        <v>97.312470175127316</v>
      </c>
      <c r="AN34" s="3">
        <f>IF(AN$11&gt;T,"",IF($A34&gt;AN$12,"",IF(T=AN$11,100,EXP(-IRTree!AN35*h)*((AO34+AO35)/2+cc*h))))</f>
        <v>98.008255256974465</v>
      </c>
      <c r="AO34" s="3">
        <f>IF(AO$11&gt;T,"",IF($A34&gt;AO$12,"",IF(T=AO$11,100,EXP(-IRTree!AO35*h)*((AP34+AP35)/2+cc*h))))</f>
        <v>98.896684243521122</v>
      </c>
      <c r="AP34" s="3">
        <f>IF(AP$11&gt;T,"",IF($A34&gt;AP$12,"",IF(T=AP$11,100,EXP(-IRTree!AP35*h)*((AQ34+AQ35)/2+cc*h))))</f>
        <v>100</v>
      </c>
      <c r="AQ34" s="3" t="str">
        <f>IF(AQ$11&gt;T,"",IF($A34&gt;AQ$12,"",IF(T=AQ$11,100,EXP(-IRTree!AQ35*h)*((AR34+AR35)/2+cc*h))))</f>
        <v/>
      </c>
      <c r="AR34" s="3" t="str">
        <f>IF(AR$11&gt;T,"",IF($A34&gt;AR$12,"",IF(T=AR$11,100,EXP(-IRTree!AR35*h)*((AS34+AS35)/2+cc*h))))</f>
        <v/>
      </c>
      <c r="AS34" s="3" t="str">
        <f>IF(AS$11&gt;T,"",IF($A34&gt;AS$12,"",IF(T=AS$11,100,EXP(-IRTree!AS35*h)*((AT34+AT35)/2+cc*h))))</f>
        <v/>
      </c>
      <c r="AT34" s="3" t="str">
        <f>IF(AT$11&gt;T,"",IF($A34&gt;AT$12,"",IF(T=AT$11,100,EXP(-IRTree!AT35*h)*((AU34+AU35)/2+cc*h))))</f>
        <v/>
      </c>
      <c r="AU34" s="3" t="str">
        <f>IF(AU$11&gt;T,"",IF($A34&gt;AU$12,"",IF(T=AU$11,100,EXP(-IRTree!AU35*h)*((AV34+AV35)/2+cc*h))))</f>
        <v/>
      </c>
      <c r="AV34" s="3" t="str">
        <f>IF(AV$11&gt;T,"",IF($A34&gt;AV$12,"",IF(T=AV$11,100,EXP(-IRTree!AV35*h)*((AW34+AW35)/2+cc*h))))</f>
        <v/>
      </c>
      <c r="AW34" s="3" t="str">
        <f>IF(AW$11&gt;T,"",IF($A34&gt;AW$12,"",IF(T=AW$11,100,EXP(-IRTree!AW35*h)*((AX34+AX35)/2+cc*h))))</f>
        <v/>
      </c>
      <c r="AX34" s="3" t="str">
        <f>IF(AX$11&gt;T,"",IF($A34&gt;AX$12,"",IF(T=AX$11,100,EXP(-IRTree!AX35*h)*((AY34+AY35)/2+cc*h))))</f>
        <v/>
      </c>
      <c r="AY34" s="3" t="str">
        <f>IF(AY$11&gt;T,"",IF($A34&gt;AY$12,"",IF(T=AY$11,100,EXP(-IRTree!AY35*h)*((AZ34+AZ35)/2+cc*h))))</f>
        <v/>
      </c>
      <c r="AZ34" s="3" t="str">
        <f>IF(AZ$11&gt;T,"",IF($A34&gt;AZ$12,"",IF(T=AZ$11,100,EXP(-IRTree!AZ35*h)*((BA34+BA35)/2+cc*h))))</f>
        <v/>
      </c>
      <c r="BA34" s="3" t="str">
        <f>IF(BA$11&gt;T,"",IF($A34&gt;BA$12,"",IF(T=BA$11,100,EXP(-IRTree!BA35*h)*((BB34+BB35)/2+cc*h))))</f>
        <v/>
      </c>
      <c r="BB34" s="3" t="str">
        <f>IF(BB$11&gt;T,"",IF($A34&gt;BB$12,"",IF(T=BB$11,100,EXP(-IRTree!BB35*h)*((BC34+BC35)/2+cc*h))))</f>
        <v/>
      </c>
      <c r="BC34" s="3" t="str">
        <f>IF(BC$11&gt;T,"",IF($A34&gt;BC$12,"",IF(T=BC$11,100,EXP(-IRTree!BC35*h)*((BD34+BD35)/2+cc*h))))</f>
        <v/>
      </c>
      <c r="BD34" s="3" t="str">
        <f>IF(BD$11&gt;T,"",IF($A34&gt;BD$12,"",IF(T=BD$11,100,EXP(-IRTree!BD35*h)*((BE34+BE35)/2+cc*h))))</f>
        <v/>
      </c>
      <c r="BE34" s="3" t="str">
        <f>IF(BE$11&gt;T,"",IF($A34&gt;BE$12,"",IF(T=BE$11,100,EXP(-IRTree!BE35*h)*((BF34+BF35)/2+cc*h))))</f>
        <v/>
      </c>
      <c r="BF34" s="3" t="str">
        <f>IF(BF$11&gt;T,"",IF($A34&gt;BF$12,"",IF(T=BF$11,100,EXP(-IRTree!BF35*h)*((BG34+BG35)/2+cc*h))))</f>
        <v/>
      </c>
      <c r="BG34" s="3" t="str">
        <f>IF(BG$11&gt;T,"",IF($A34&gt;BG$12,"",IF(T=BG$11,100,EXP(-IRTree!BG35*h)*((BH34+BH35)/2+cc*h))))</f>
        <v/>
      </c>
      <c r="BH34" s="3" t="str">
        <f>IF(BH$11&gt;T,"",IF($A34&gt;BH$12,"",IF(T=BH$11,100,EXP(-IRTree!BH35*h)*((BI34+BI35)/2+cc*h))))</f>
        <v/>
      </c>
      <c r="BI34" s="3" t="str">
        <f>IF(BI$11&gt;T,"",IF($A34&gt;BI$12,"",IF(T=BI$11,100,EXP(-IRTree!BI35*h)*((BJ34+BJ35)/2+cc*h))))</f>
        <v/>
      </c>
      <c r="BJ34" s="3" t="str">
        <f>IF(BJ$11&gt;T,"",IF($A34&gt;BJ$12,"",IF(T=BJ$11,100,EXP(-IRTree!BJ35*h)*((BK34+BK35)/2+cc*h))))</f>
        <v/>
      </c>
    </row>
    <row r="35" spans="1:62">
      <c r="A35" s="12">
        <f t="shared" si="2"/>
        <v>22</v>
      </c>
      <c r="B35" s="3" t="str">
        <f>IF(B$11&gt;T,"",IF($A35&gt;B$12,"",IF(T=B$11,100,EXP(-IRTree!B36*h)*((C35+C36)/2+cc*h))))</f>
        <v/>
      </c>
      <c r="C35" s="3" t="str">
        <f>IF(C$11&gt;T,"",IF($A35&gt;C$12,"",IF(T=C$11,100,EXP(-IRTree!C36*h)*((D35+D36)/2+cc*h))))</f>
        <v/>
      </c>
      <c r="D35" s="3" t="str">
        <f>IF(D$11&gt;T,"",IF($A35&gt;D$12,"",IF(T=D$11,100,EXP(-IRTree!D36*h)*((E35+E36)/2+cc*h))))</f>
        <v/>
      </c>
      <c r="E35" s="3" t="str">
        <f>IF(E$11&gt;T,"",IF($A35&gt;E$12,"",IF(T=E$11,100,EXP(-IRTree!E36*h)*((F35+F36)/2+cc*h))))</f>
        <v/>
      </c>
      <c r="F35" s="3" t="str">
        <f>IF(F$11&gt;T,"",IF($A35&gt;F$12,"",IF(T=F$11,100,EXP(-IRTree!F36*h)*((G35+G36)/2+cc*h))))</f>
        <v/>
      </c>
      <c r="G35" s="3" t="str">
        <f>IF(G$11&gt;T,"",IF($A35&gt;G$12,"",IF(T=G$11,100,EXP(-IRTree!G36*h)*((H35+H36)/2+cc*h))))</f>
        <v/>
      </c>
      <c r="H35" s="3" t="str">
        <f>IF(H$11&gt;T,"",IF($A35&gt;H$12,"",IF(T=H$11,100,EXP(-IRTree!H36*h)*((I35+I36)/2+cc*h))))</f>
        <v/>
      </c>
      <c r="I35" s="3" t="str">
        <f>IF(I$11&gt;T,"",IF($A35&gt;I$12,"",IF(T=I$11,100,EXP(-IRTree!I36*h)*((J35+J36)/2+cc*h))))</f>
        <v/>
      </c>
      <c r="J35" s="3" t="str">
        <f>IF(J$11&gt;T,"",IF($A35&gt;J$12,"",IF(T=J$11,100,EXP(-IRTree!J36*h)*((K35+K36)/2+cc*h))))</f>
        <v/>
      </c>
      <c r="K35" s="3" t="str">
        <f>IF(K$11&gt;T,"",IF($A35&gt;K$12,"",IF(T=K$11,100,EXP(-IRTree!K36*h)*((L35+L36)/2+cc*h))))</f>
        <v/>
      </c>
      <c r="L35" s="3" t="str">
        <f>IF(L$11&gt;T,"",IF($A35&gt;L$12,"",IF(T=L$11,100,EXP(-IRTree!L36*h)*((M35+M36)/2+cc*h))))</f>
        <v/>
      </c>
      <c r="M35" s="3" t="str">
        <f>IF(M$11&gt;T,"",IF($A35&gt;M$12,"",IF(T=M$11,100,EXP(-IRTree!M36*h)*((N35+N36)/2+cc*h))))</f>
        <v/>
      </c>
      <c r="N35" s="3" t="str">
        <f>IF(N$11&gt;T,"",IF($A35&gt;N$12,"",IF(T=N$11,100,EXP(-IRTree!N36*h)*((O35+O36)/2+cc*h))))</f>
        <v/>
      </c>
      <c r="O35" s="3" t="str">
        <f>IF(O$11&gt;T,"",IF($A35&gt;O$12,"",IF(T=O$11,100,EXP(-IRTree!O36*h)*((P35+P36)/2+cc*h))))</f>
        <v/>
      </c>
      <c r="P35" s="3" t="str">
        <f>IF(P$11&gt;T,"",IF($A35&gt;P$12,"",IF(T=P$11,100,EXP(-IRTree!P36*h)*((Q35+Q36)/2+cc*h))))</f>
        <v/>
      </c>
      <c r="Q35" s="3" t="str">
        <f>IF(Q$11&gt;T,"",IF($A35&gt;Q$12,"",IF(T=Q$11,100,EXP(-IRTree!Q36*h)*((R35+R36)/2+cc*h))))</f>
        <v/>
      </c>
      <c r="R35" s="3" t="str">
        <f>IF(R$11&gt;T,"",IF($A35&gt;R$12,"",IF(T=R$11,100,EXP(-IRTree!R36*h)*((S35+S36)/2+cc*h))))</f>
        <v/>
      </c>
      <c r="S35" s="3" t="str">
        <f>IF(S$11&gt;T,"",IF($A35&gt;S$12,"",IF(T=S$11,100,EXP(-IRTree!S36*h)*((T35+T36)/2+cc*h))))</f>
        <v/>
      </c>
      <c r="T35" s="3" t="str">
        <f>IF(T$11&gt;T,"",IF($A35&gt;T$12,"",IF(T=T$11,100,EXP(-IRTree!T36*h)*((U35+U36)/2+cc*h))))</f>
        <v/>
      </c>
      <c r="U35" s="3" t="str">
        <f>IF(U$11&gt;T,"",IF($A35&gt;U$12,"",IF(T=U$11,100,EXP(-IRTree!U36*h)*((V35+V36)/2+cc*h))))</f>
        <v/>
      </c>
      <c r="V35" s="3" t="str">
        <f>IF(V$11&gt;T,"",IF($A35&gt;V$12,"",IF(T=V$11,100,EXP(-IRTree!V36*h)*((W35+W36)/2+cc*h))))</f>
        <v/>
      </c>
      <c r="W35" s="3" t="str">
        <f>IF(W$11&gt;T,"",IF($A35&gt;W$12,"",IF(T=W$11,100,EXP(-IRTree!W36*h)*((X35+X36)/2+cc*h))))</f>
        <v/>
      </c>
      <c r="X35" s="3">
        <f>IF(X$11&gt;T,"",IF($A35&gt;X$12,"",IF(T=X$11,100,EXP(-IRTree!X36*h)*((Y35+Y36)/2+cc*h))))</f>
        <v>97.625463573497953</v>
      </c>
      <c r="Y35" s="3">
        <f>IF(Y$11&gt;T,"",IF($A35&gt;Y$12,"",IF(T=Y$11,100,EXP(-IRTree!Y36*h)*((Z35+Z36)/2+cc*h))))</f>
        <v>97.475638741775953</v>
      </c>
      <c r="Z35" s="3">
        <f>IF(Z$11&gt;T,"",IF($A35&gt;Z$12,"",IF(T=Z$11,100,EXP(-IRTree!Z36*h)*((AA35+AA36)/2+cc*h))))</f>
        <v>97.322702918224479</v>
      </c>
      <c r="AA35" s="3">
        <f>IF(AA$11&gt;T,"",IF($A35&gt;AA$12,"",IF(T=AA$11,100,EXP(-IRTree!AA36*h)*((AB35+AB36)/2+cc*h))))</f>
        <v>97.174391970538139</v>
      </c>
      <c r="AB35" s="3">
        <f>IF(AB$11&gt;T,"",IF($A35&gt;AB$12,"",IF(T=AB$11,100,EXP(-IRTree!AB36*h)*((AC35+AC36)/2+cc*h))))</f>
        <v>97.035227904563428</v>
      </c>
      <c r="AC35" s="3">
        <f>IF(AC$11&gt;T,"",IF($A35&gt;AC$12,"",IF(T=AC$11,100,EXP(-IRTree!AC36*h)*((AD35+AD36)/2+cc*h))))</f>
        <v>96.902358567733458</v>
      </c>
      <c r="AD35" s="3">
        <f>IF(AD$11&gt;T,"",IF($A35&gt;AD$12,"",IF(T=AD$11,100,EXP(-IRTree!AD36*h)*((AE35+AE36)/2+cc*h))))</f>
        <v>96.784962950447465</v>
      </c>
      <c r="AE35" s="3">
        <f>IF(AE$11&gt;T,"",IF($A35&gt;AE$12,"",IF(T=AE$11,100,EXP(-IRTree!AE36*h)*((AF35+AF36)/2+cc*h))))</f>
        <v>96.689434085079824</v>
      </c>
      <c r="AF35" s="3">
        <f>IF(AF$11&gt;T,"",IF($A35&gt;AF$12,"",IF(T=AF$11,100,EXP(-IRTree!AF36*h)*((AG35+AG36)/2+cc*h))))</f>
        <v>96.618816088939965</v>
      </c>
      <c r="AG35" s="3">
        <f>IF(AG$11&gt;T,"",IF($A35&gt;AG$12,"",IF(T=AG$11,100,EXP(-IRTree!AG36*h)*((AH35+AH36)/2+cc*h))))</f>
        <v>96.578897496659138</v>
      </c>
      <c r="AH35" s="3">
        <f>IF(AH$11&gt;T,"",IF($A35&gt;AH$12,"",IF(T=AH$11,100,EXP(-IRTree!AH36*h)*((AI35+AI36)/2+cc*h))))</f>
        <v>96.582762303692633</v>
      </c>
      <c r="AI35" s="3">
        <f>IF(AI$11&gt;T,"",IF($A35&gt;AI$12,"",IF(T=AI$11,100,EXP(-IRTree!AI36*h)*((AJ35+AJ36)/2+cc*h))))</f>
        <v>96.636624168522204</v>
      </c>
      <c r="AJ35" s="3">
        <f>IF(AJ$11&gt;T,"",IF($A35&gt;AJ$12,"",IF(T=AJ$11,100,EXP(-IRTree!AJ36*h)*((AK35+AK36)/2+cc*h))))</f>
        <v>96.765758790808704</v>
      </c>
      <c r="AK35" s="3">
        <f>IF(AK$11&gt;T,"",IF($A35&gt;AK$12,"",IF(T=AK$11,100,EXP(-IRTree!AK36*h)*((AL35+AL36)/2+cc*h))))</f>
        <v>96.980341951842462</v>
      </c>
      <c r="AL35" s="3">
        <f>IF(AL$11&gt;T,"",IF($A35&gt;AL$12,"",IF(T=AL$11,100,EXP(-IRTree!AL36*h)*((AM35+AM36)/2+cc*h))))</f>
        <v>97.30231667524184</v>
      </c>
      <c r="AM35" s="3">
        <f>IF(AM$11&gt;T,"",IF($A35&gt;AM$12,"",IF(T=AM$11,100,EXP(-IRTree!AM36*h)*((AN35+AN36)/2+cc*h))))</f>
        <v>97.734492987353221</v>
      </c>
      <c r="AN35" s="3">
        <f>IF(AN$11&gt;T,"",IF($A35&gt;AN$12,"",IF(T=AN$11,100,EXP(-IRTree!AN36*h)*((AO35+AO36)/2+cc*h))))</f>
        <v>98.314909102083107</v>
      </c>
      <c r="AO35" s="3">
        <f>IF(AO$11&gt;T,"",IF($A35&gt;AO$12,"",IF(T=AO$11,100,EXP(-IRTree!AO36*h)*((AP35+AP36)/2+cc*h))))</f>
        <v>99.063307580663903</v>
      </c>
      <c r="AP35" s="3">
        <f>IF(AP$11&gt;T,"",IF($A35&gt;AP$12,"",IF(T=AP$11,100,EXP(-IRTree!AP36*h)*((AQ35+AQ36)/2+cc*h))))</f>
        <v>100</v>
      </c>
      <c r="AQ35" s="3" t="str">
        <f>IF(AQ$11&gt;T,"",IF($A35&gt;AQ$12,"",IF(T=AQ$11,100,EXP(-IRTree!AQ36*h)*((AR35+AR36)/2+cc*h))))</f>
        <v/>
      </c>
      <c r="AR35" s="3" t="str">
        <f>IF(AR$11&gt;T,"",IF($A35&gt;AR$12,"",IF(T=AR$11,100,EXP(-IRTree!AR36*h)*((AS35+AS36)/2+cc*h))))</f>
        <v/>
      </c>
      <c r="AS35" s="3" t="str">
        <f>IF(AS$11&gt;T,"",IF($A35&gt;AS$12,"",IF(T=AS$11,100,EXP(-IRTree!AS36*h)*((AT35+AT36)/2+cc*h))))</f>
        <v/>
      </c>
      <c r="AT35" s="3" t="str">
        <f>IF(AT$11&gt;T,"",IF($A35&gt;AT$12,"",IF(T=AT$11,100,EXP(-IRTree!AT36*h)*((AU35+AU36)/2+cc*h))))</f>
        <v/>
      </c>
      <c r="AU35" s="3" t="str">
        <f>IF(AU$11&gt;T,"",IF($A35&gt;AU$12,"",IF(T=AU$11,100,EXP(-IRTree!AU36*h)*((AV35+AV36)/2+cc*h))))</f>
        <v/>
      </c>
      <c r="AV35" s="3" t="str">
        <f>IF(AV$11&gt;T,"",IF($A35&gt;AV$12,"",IF(T=AV$11,100,EXP(-IRTree!AV36*h)*((AW35+AW36)/2+cc*h))))</f>
        <v/>
      </c>
      <c r="AW35" s="3" t="str">
        <f>IF(AW$11&gt;T,"",IF($A35&gt;AW$12,"",IF(T=AW$11,100,EXP(-IRTree!AW36*h)*((AX35+AX36)/2+cc*h))))</f>
        <v/>
      </c>
      <c r="AX35" s="3" t="str">
        <f>IF(AX$11&gt;T,"",IF($A35&gt;AX$12,"",IF(T=AX$11,100,EXP(-IRTree!AX36*h)*((AY35+AY36)/2+cc*h))))</f>
        <v/>
      </c>
      <c r="AY35" s="3" t="str">
        <f>IF(AY$11&gt;T,"",IF($A35&gt;AY$12,"",IF(T=AY$11,100,EXP(-IRTree!AY36*h)*((AZ35+AZ36)/2+cc*h))))</f>
        <v/>
      </c>
      <c r="AZ35" s="3" t="str">
        <f>IF(AZ$11&gt;T,"",IF($A35&gt;AZ$12,"",IF(T=AZ$11,100,EXP(-IRTree!AZ36*h)*((BA35+BA36)/2+cc*h))))</f>
        <v/>
      </c>
      <c r="BA35" s="3" t="str">
        <f>IF(BA$11&gt;T,"",IF($A35&gt;BA$12,"",IF(T=BA$11,100,EXP(-IRTree!BA36*h)*((BB35+BB36)/2+cc*h))))</f>
        <v/>
      </c>
      <c r="BB35" s="3" t="str">
        <f>IF(BB$11&gt;T,"",IF($A35&gt;BB$12,"",IF(T=BB$11,100,EXP(-IRTree!BB36*h)*((BC35+BC36)/2+cc*h))))</f>
        <v/>
      </c>
      <c r="BC35" s="3" t="str">
        <f>IF(BC$11&gt;T,"",IF($A35&gt;BC$12,"",IF(T=BC$11,100,EXP(-IRTree!BC36*h)*((BD35+BD36)/2+cc*h))))</f>
        <v/>
      </c>
      <c r="BD35" s="3" t="str">
        <f>IF(BD$11&gt;T,"",IF($A35&gt;BD$12,"",IF(T=BD$11,100,EXP(-IRTree!BD36*h)*((BE35+BE36)/2+cc*h))))</f>
        <v/>
      </c>
      <c r="BE35" s="3" t="str">
        <f>IF(BE$11&gt;T,"",IF($A35&gt;BE$12,"",IF(T=BE$11,100,EXP(-IRTree!BE36*h)*((BF35+BF36)/2+cc*h))))</f>
        <v/>
      </c>
      <c r="BF35" s="3" t="str">
        <f>IF(BF$11&gt;T,"",IF($A35&gt;BF$12,"",IF(T=BF$11,100,EXP(-IRTree!BF36*h)*((BG35+BG36)/2+cc*h))))</f>
        <v/>
      </c>
      <c r="BG35" s="3" t="str">
        <f>IF(BG$11&gt;T,"",IF($A35&gt;BG$12,"",IF(T=BG$11,100,EXP(-IRTree!BG36*h)*((BH35+BH36)/2+cc*h))))</f>
        <v/>
      </c>
      <c r="BH35" s="3" t="str">
        <f>IF(BH$11&gt;T,"",IF($A35&gt;BH$12,"",IF(T=BH$11,100,EXP(-IRTree!BH36*h)*((BI35+BI36)/2+cc*h))))</f>
        <v/>
      </c>
      <c r="BI35" s="3" t="str">
        <f>IF(BI$11&gt;T,"",IF($A35&gt;BI$12,"",IF(T=BI$11,100,EXP(-IRTree!BI36*h)*((BJ35+BJ36)/2+cc*h))))</f>
        <v/>
      </c>
      <c r="BJ35" s="3" t="str">
        <f>IF(BJ$11&gt;T,"",IF($A35&gt;BJ$12,"",IF(T=BJ$11,100,EXP(-IRTree!BJ36*h)*((BK35+BK36)/2+cc*h))))</f>
        <v/>
      </c>
    </row>
    <row r="36" spans="1:62">
      <c r="A36" s="12">
        <f t="shared" si="2"/>
        <v>23</v>
      </c>
      <c r="B36" s="3" t="str">
        <f>IF(B$11&gt;T,"",IF($A36&gt;B$12,"",IF(T=B$11,100,EXP(-IRTree!B37*h)*((C36+C37)/2+cc*h))))</f>
        <v/>
      </c>
      <c r="C36" s="3" t="str">
        <f>IF(C$11&gt;T,"",IF($A36&gt;C$12,"",IF(T=C$11,100,EXP(-IRTree!C37*h)*((D36+D37)/2+cc*h))))</f>
        <v/>
      </c>
      <c r="D36" s="3" t="str">
        <f>IF(D$11&gt;T,"",IF($A36&gt;D$12,"",IF(T=D$11,100,EXP(-IRTree!D37*h)*((E36+E37)/2+cc*h))))</f>
        <v/>
      </c>
      <c r="E36" s="3" t="str">
        <f>IF(E$11&gt;T,"",IF($A36&gt;E$12,"",IF(T=E$11,100,EXP(-IRTree!E37*h)*((F36+F37)/2+cc*h))))</f>
        <v/>
      </c>
      <c r="F36" s="3" t="str">
        <f>IF(F$11&gt;T,"",IF($A36&gt;F$12,"",IF(T=F$11,100,EXP(-IRTree!F37*h)*((G36+G37)/2+cc*h))))</f>
        <v/>
      </c>
      <c r="G36" s="3" t="str">
        <f>IF(G$11&gt;T,"",IF($A36&gt;G$12,"",IF(T=G$11,100,EXP(-IRTree!G37*h)*((H36+H37)/2+cc*h))))</f>
        <v/>
      </c>
      <c r="H36" s="3" t="str">
        <f>IF(H$11&gt;T,"",IF($A36&gt;H$12,"",IF(T=H$11,100,EXP(-IRTree!H37*h)*((I36+I37)/2+cc*h))))</f>
        <v/>
      </c>
      <c r="I36" s="3" t="str">
        <f>IF(I$11&gt;T,"",IF($A36&gt;I$12,"",IF(T=I$11,100,EXP(-IRTree!I37*h)*((J36+J37)/2+cc*h))))</f>
        <v/>
      </c>
      <c r="J36" s="3" t="str">
        <f>IF(J$11&gt;T,"",IF($A36&gt;J$12,"",IF(T=J$11,100,EXP(-IRTree!J37*h)*((K36+K37)/2+cc*h))))</f>
        <v/>
      </c>
      <c r="K36" s="3" t="str">
        <f>IF(K$11&gt;T,"",IF($A36&gt;K$12,"",IF(T=K$11,100,EXP(-IRTree!K37*h)*((L36+L37)/2+cc*h))))</f>
        <v/>
      </c>
      <c r="L36" s="3" t="str">
        <f>IF(L$11&gt;T,"",IF($A36&gt;L$12,"",IF(T=L$11,100,EXP(-IRTree!L37*h)*((M36+M37)/2+cc*h))))</f>
        <v/>
      </c>
      <c r="M36" s="3" t="str">
        <f>IF(M$11&gt;T,"",IF($A36&gt;M$12,"",IF(T=M$11,100,EXP(-IRTree!M37*h)*((N36+N37)/2+cc*h))))</f>
        <v/>
      </c>
      <c r="N36" s="3" t="str">
        <f>IF(N$11&gt;T,"",IF($A36&gt;N$12,"",IF(T=N$11,100,EXP(-IRTree!N37*h)*((O36+O37)/2+cc*h))))</f>
        <v/>
      </c>
      <c r="O36" s="3" t="str">
        <f>IF(O$11&gt;T,"",IF($A36&gt;O$12,"",IF(T=O$11,100,EXP(-IRTree!O37*h)*((P36+P37)/2+cc*h))))</f>
        <v/>
      </c>
      <c r="P36" s="3" t="str">
        <f>IF(P$11&gt;T,"",IF($A36&gt;P$12,"",IF(T=P$11,100,EXP(-IRTree!P37*h)*((Q36+Q37)/2+cc*h))))</f>
        <v/>
      </c>
      <c r="Q36" s="3" t="str">
        <f>IF(Q$11&gt;T,"",IF($A36&gt;Q$12,"",IF(T=Q$11,100,EXP(-IRTree!Q37*h)*((R36+R37)/2+cc*h))))</f>
        <v/>
      </c>
      <c r="R36" s="3" t="str">
        <f>IF(R$11&gt;T,"",IF($A36&gt;R$12,"",IF(T=R$11,100,EXP(-IRTree!R37*h)*((S36+S37)/2+cc*h))))</f>
        <v/>
      </c>
      <c r="S36" s="3" t="str">
        <f>IF(S$11&gt;T,"",IF($A36&gt;S$12,"",IF(T=S$11,100,EXP(-IRTree!S37*h)*((T36+T37)/2+cc*h))))</f>
        <v/>
      </c>
      <c r="T36" s="3" t="str">
        <f>IF(T$11&gt;T,"",IF($A36&gt;T$12,"",IF(T=T$11,100,EXP(-IRTree!T37*h)*((U36+U37)/2+cc*h))))</f>
        <v/>
      </c>
      <c r="U36" s="3" t="str">
        <f>IF(U$11&gt;T,"",IF($A36&gt;U$12,"",IF(T=U$11,100,EXP(-IRTree!U37*h)*((V36+V37)/2+cc*h))))</f>
        <v/>
      </c>
      <c r="V36" s="3" t="str">
        <f>IF(V$11&gt;T,"",IF($A36&gt;V$12,"",IF(T=V$11,100,EXP(-IRTree!V37*h)*((W36+W37)/2+cc*h))))</f>
        <v/>
      </c>
      <c r="W36" s="3" t="str">
        <f>IF(W$11&gt;T,"",IF($A36&gt;W$12,"",IF(T=W$11,100,EXP(-IRTree!W37*h)*((X36+X37)/2+cc*h))))</f>
        <v/>
      </c>
      <c r="X36" s="3" t="str">
        <f>IF(X$11&gt;T,"",IF($A36&gt;X$12,"",IF(T=X$11,100,EXP(-IRTree!X37*h)*((Y36+Y37)/2+cc*h))))</f>
        <v/>
      </c>
      <c r="Y36" s="3">
        <f>IF(Y$11&gt;T,"",IF($A36&gt;Y$12,"",IF(T=Y$11,100,EXP(-IRTree!Y37*h)*((Z36+Z37)/2+cc*h))))</f>
        <v>97.935377240620241</v>
      </c>
      <c r="Z36" s="3">
        <f>IF(Z$11&gt;T,"",IF($A36&gt;Z$12,"",IF(T=Z$11,100,EXP(-IRTree!Z37*h)*((AA36+AA37)/2+cc*h))))</f>
        <v>97.807586954369043</v>
      </c>
      <c r="AA36" s="3">
        <f>IF(AA$11&gt;T,"",IF($A36&gt;AA$12,"",IF(T=AA$11,100,EXP(-IRTree!AA37*h)*((AB36+AB37)/2+cc*h))))</f>
        <v>97.683128258692136</v>
      </c>
      <c r="AB36" s="3">
        <f>IF(AB$11&gt;T,"",IF($A36&gt;AB$12,"",IF(T=AB$11,100,EXP(-IRTree!AB37*h)*((AC36+AC37)/2+cc*h))))</f>
        <v>97.565773050376777</v>
      </c>
      <c r="AC36" s="3">
        <f>IF(AC$11&gt;T,"",IF($A36&gt;AC$12,"",IF(T=AC$11,100,EXP(-IRTree!AC37*h)*((AD36+AD37)/2+cc*h))))</f>
        <v>97.452806862237722</v>
      </c>
      <c r="AD36" s="3">
        <f>IF(AD$11&gt;T,"",IF($A36&gt;AD$12,"",IF(T=AD$11,100,EXP(-IRTree!AD37*h)*((AE36+AE37)/2+cc*h))))</f>
        <v>97.351997046804357</v>
      </c>
      <c r="AE36" s="3">
        <f>IF(AE$11&gt;T,"",IF($A36&gt;AE$12,"",IF(T=AE$11,100,EXP(-IRTree!AE37*h)*((AF36+AF37)/2+cc*h))))</f>
        <v>97.268687279972212</v>
      </c>
      <c r="AF36" s="3">
        <f>IF(AF$11&gt;T,"",IF($A36&gt;AF$12,"",IF(T=AF$11,100,EXP(-IRTree!AF37*h)*((AG36+AG37)/2+cc*h))))</f>
        <v>97.205179805958082</v>
      </c>
      <c r="AG36" s="3">
        <f>IF(AG$11&gt;T,"",IF($A36&gt;AG$12,"",IF(T=AG$11,100,EXP(-IRTree!AG37*h)*((AH36+AH37)/2+cc*h))))</f>
        <v>97.166125500802281</v>
      </c>
      <c r="AH36" s="3">
        <f>IF(AH$11&gt;T,"",IF($A36&gt;AH$12,"",IF(T=AH$11,100,EXP(-IRTree!AH37*h)*((AI36+AI37)/2+cc*h))))</f>
        <v>97.162715001653225</v>
      </c>
      <c r="AI36" s="3">
        <f>IF(AI$11&gt;T,"",IF($A36&gt;AI$12,"",IF(T=AI$11,100,EXP(-IRTree!AI37*h)*((AJ36+AJ37)/2+cc*h))))</f>
        <v>97.19981976623437</v>
      </c>
      <c r="AJ36" s="3">
        <f>IF(AJ$11&gt;T,"",IF($A36&gt;AJ$12,"",IF(T=AJ$11,100,EXP(-IRTree!AJ37*h)*((AK36+AK37)/2+cc*h))))</f>
        <v>97.299971316513819</v>
      </c>
      <c r="AK36" s="3">
        <f>IF(AK$11&gt;T,"",IF($A36&gt;AK$12,"",IF(T=AK$11,100,EXP(-IRTree!AK37*h)*((AL36+AL37)/2+cc*h))))</f>
        <v>97.471793976486197</v>
      </c>
      <c r="AL36" s="3">
        <f>IF(AL$11&gt;T,"",IF($A36&gt;AL$12,"",IF(T=AL$11,100,EXP(-IRTree!AL37*h)*((AM36+AM37)/2+cc*h))))</f>
        <v>97.735079893528408</v>
      </c>
      <c r="AM36" s="3">
        <f>IF(AM$11&gt;T,"",IF($A36&gt;AM$12,"",IF(T=AM$11,100,EXP(-IRTree!AM37*h)*((AN36+AN37)/2+cc*h))))</f>
        <v>98.090802298090082</v>
      </c>
      <c r="AN36" s="3">
        <f>IF(AN$11&gt;T,"",IF($A36&gt;AN$12,"",IF(T=AN$11,100,EXP(-IRTree!AN37*h)*((AO36+AO37)/2+cc*h))))</f>
        <v>98.574668158118442</v>
      </c>
      <c r="AO36" s="3">
        <f>IF(AO$11&gt;T,"",IF($A36&gt;AO$12,"",IF(T=AO$11,100,EXP(-IRTree!AO37*h)*((AP36+AP37)/2+cc*h))))</f>
        <v>99.20486860763117</v>
      </c>
      <c r="AP36" s="3">
        <f>IF(AP$11&gt;T,"",IF($A36&gt;AP$12,"",IF(T=AP$11,100,EXP(-IRTree!AP37*h)*((AQ36+AQ37)/2+cc*h))))</f>
        <v>100</v>
      </c>
      <c r="AQ36" s="3" t="str">
        <f>IF(AQ$11&gt;T,"",IF($A36&gt;AQ$12,"",IF(T=AQ$11,100,EXP(-IRTree!AQ37*h)*((AR36+AR37)/2+cc*h))))</f>
        <v/>
      </c>
      <c r="AR36" s="3" t="str">
        <f>IF(AR$11&gt;T,"",IF($A36&gt;AR$12,"",IF(T=AR$11,100,EXP(-IRTree!AR37*h)*((AS36+AS37)/2+cc*h))))</f>
        <v/>
      </c>
      <c r="AS36" s="3" t="str">
        <f>IF(AS$11&gt;T,"",IF($A36&gt;AS$12,"",IF(T=AS$11,100,EXP(-IRTree!AS37*h)*((AT36+AT37)/2+cc*h))))</f>
        <v/>
      </c>
      <c r="AT36" s="3" t="str">
        <f>IF(AT$11&gt;T,"",IF($A36&gt;AT$12,"",IF(T=AT$11,100,EXP(-IRTree!AT37*h)*((AU36+AU37)/2+cc*h))))</f>
        <v/>
      </c>
      <c r="AU36" s="3" t="str">
        <f>IF(AU$11&gt;T,"",IF($A36&gt;AU$12,"",IF(T=AU$11,100,EXP(-IRTree!AU37*h)*((AV36+AV37)/2+cc*h))))</f>
        <v/>
      </c>
      <c r="AV36" s="3" t="str">
        <f>IF(AV$11&gt;T,"",IF($A36&gt;AV$12,"",IF(T=AV$11,100,EXP(-IRTree!AV37*h)*((AW36+AW37)/2+cc*h))))</f>
        <v/>
      </c>
      <c r="AW36" s="3" t="str">
        <f>IF(AW$11&gt;T,"",IF($A36&gt;AW$12,"",IF(T=AW$11,100,EXP(-IRTree!AW37*h)*((AX36+AX37)/2+cc*h))))</f>
        <v/>
      </c>
      <c r="AX36" s="3" t="str">
        <f>IF(AX$11&gt;T,"",IF($A36&gt;AX$12,"",IF(T=AX$11,100,EXP(-IRTree!AX37*h)*((AY36+AY37)/2+cc*h))))</f>
        <v/>
      </c>
      <c r="AY36" s="3" t="str">
        <f>IF(AY$11&gt;T,"",IF($A36&gt;AY$12,"",IF(T=AY$11,100,EXP(-IRTree!AY37*h)*((AZ36+AZ37)/2+cc*h))))</f>
        <v/>
      </c>
      <c r="AZ36" s="3" t="str">
        <f>IF(AZ$11&gt;T,"",IF($A36&gt;AZ$12,"",IF(T=AZ$11,100,EXP(-IRTree!AZ37*h)*((BA36+BA37)/2+cc*h))))</f>
        <v/>
      </c>
      <c r="BA36" s="3" t="str">
        <f>IF(BA$11&gt;T,"",IF($A36&gt;BA$12,"",IF(T=BA$11,100,EXP(-IRTree!BA37*h)*((BB36+BB37)/2+cc*h))))</f>
        <v/>
      </c>
      <c r="BB36" s="3" t="str">
        <f>IF(BB$11&gt;T,"",IF($A36&gt;BB$12,"",IF(T=BB$11,100,EXP(-IRTree!BB37*h)*((BC36+BC37)/2+cc*h))))</f>
        <v/>
      </c>
      <c r="BC36" s="3" t="str">
        <f>IF(BC$11&gt;T,"",IF($A36&gt;BC$12,"",IF(T=BC$11,100,EXP(-IRTree!BC37*h)*((BD36+BD37)/2+cc*h))))</f>
        <v/>
      </c>
      <c r="BD36" s="3" t="str">
        <f>IF(BD$11&gt;T,"",IF($A36&gt;BD$12,"",IF(T=BD$11,100,EXP(-IRTree!BD37*h)*((BE36+BE37)/2+cc*h))))</f>
        <v/>
      </c>
      <c r="BE36" s="3" t="str">
        <f>IF(BE$11&gt;T,"",IF($A36&gt;BE$12,"",IF(T=BE$11,100,EXP(-IRTree!BE37*h)*((BF36+BF37)/2+cc*h))))</f>
        <v/>
      </c>
      <c r="BF36" s="3" t="str">
        <f>IF(BF$11&gt;T,"",IF($A36&gt;BF$12,"",IF(T=BF$11,100,EXP(-IRTree!BF37*h)*((BG36+BG37)/2+cc*h))))</f>
        <v/>
      </c>
      <c r="BG36" s="3" t="str">
        <f>IF(BG$11&gt;T,"",IF($A36&gt;BG$12,"",IF(T=BG$11,100,EXP(-IRTree!BG37*h)*((BH36+BH37)/2+cc*h))))</f>
        <v/>
      </c>
      <c r="BH36" s="3" t="str">
        <f>IF(BH$11&gt;T,"",IF($A36&gt;BH$12,"",IF(T=BH$11,100,EXP(-IRTree!BH37*h)*((BI36+BI37)/2+cc*h))))</f>
        <v/>
      </c>
      <c r="BI36" s="3" t="str">
        <f>IF(BI$11&gt;T,"",IF($A36&gt;BI$12,"",IF(T=BI$11,100,EXP(-IRTree!BI37*h)*((BJ36+BJ37)/2+cc*h))))</f>
        <v/>
      </c>
      <c r="BJ36" s="3" t="str">
        <f>IF(BJ$11&gt;T,"",IF($A36&gt;BJ$12,"",IF(T=BJ$11,100,EXP(-IRTree!BJ37*h)*((BK36+BK37)/2+cc*h))))</f>
        <v/>
      </c>
    </row>
    <row r="37" spans="1:62">
      <c r="A37" s="12">
        <f t="shared" si="2"/>
        <v>24</v>
      </c>
      <c r="B37" s="3" t="str">
        <f>IF(B$11&gt;T,"",IF($A37&gt;B$12,"",IF(T=B$11,100,EXP(-IRTree!B38*h)*((C37+C38)/2+cc*h))))</f>
        <v/>
      </c>
      <c r="C37" s="3" t="str">
        <f>IF(C$11&gt;T,"",IF($A37&gt;C$12,"",IF(T=C$11,100,EXP(-IRTree!C38*h)*((D37+D38)/2+cc*h))))</f>
        <v/>
      </c>
      <c r="D37" s="3" t="str">
        <f>IF(D$11&gt;T,"",IF($A37&gt;D$12,"",IF(T=D$11,100,EXP(-IRTree!D38*h)*((E37+E38)/2+cc*h))))</f>
        <v/>
      </c>
      <c r="E37" s="3" t="str">
        <f>IF(E$11&gt;T,"",IF($A37&gt;E$12,"",IF(T=E$11,100,EXP(-IRTree!E38*h)*((F37+F38)/2+cc*h))))</f>
        <v/>
      </c>
      <c r="F37" s="3" t="str">
        <f>IF(F$11&gt;T,"",IF($A37&gt;F$12,"",IF(T=F$11,100,EXP(-IRTree!F38*h)*((G37+G38)/2+cc*h))))</f>
        <v/>
      </c>
      <c r="G37" s="3" t="str">
        <f>IF(G$11&gt;T,"",IF($A37&gt;G$12,"",IF(T=G$11,100,EXP(-IRTree!G38*h)*((H37+H38)/2+cc*h))))</f>
        <v/>
      </c>
      <c r="H37" s="3" t="str">
        <f>IF(H$11&gt;T,"",IF($A37&gt;H$12,"",IF(T=H$11,100,EXP(-IRTree!H38*h)*((I37+I38)/2+cc*h))))</f>
        <v/>
      </c>
      <c r="I37" s="3" t="str">
        <f>IF(I$11&gt;T,"",IF($A37&gt;I$12,"",IF(T=I$11,100,EXP(-IRTree!I38*h)*((J37+J38)/2+cc*h))))</f>
        <v/>
      </c>
      <c r="J37" s="3" t="str">
        <f>IF(J$11&gt;T,"",IF($A37&gt;J$12,"",IF(T=J$11,100,EXP(-IRTree!J38*h)*((K37+K38)/2+cc*h))))</f>
        <v/>
      </c>
      <c r="K37" s="3" t="str">
        <f>IF(K$11&gt;T,"",IF($A37&gt;K$12,"",IF(T=K$11,100,EXP(-IRTree!K38*h)*((L37+L38)/2+cc*h))))</f>
        <v/>
      </c>
      <c r="L37" s="3" t="str">
        <f>IF(L$11&gt;T,"",IF($A37&gt;L$12,"",IF(T=L$11,100,EXP(-IRTree!L38*h)*((M37+M38)/2+cc*h))))</f>
        <v/>
      </c>
      <c r="M37" s="3" t="str">
        <f>IF(M$11&gt;T,"",IF($A37&gt;M$12,"",IF(T=M$11,100,EXP(-IRTree!M38*h)*((N37+N38)/2+cc*h))))</f>
        <v/>
      </c>
      <c r="N37" s="3" t="str">
        <f>IF(N$11&gt;T,"",IF($A37&gt;N$12,"",IF(T=N$11,100,EXP(-IRTree!N38*h)*((O37+O38)/2+cc*h))))</f>
        <v/>
      </c>
      <c r="O37" s="3" t="str">
        <f>IF(O$11&gt;T,"",IF($A37&gt;O$12,"",IF(T=O$11,100,EXP(-IRTree!O38*h)*((P37+P38)/2+cc*h))))</f>
        <v/>
      </c>
      <c r="P37" s="3" t="str">
        <f>IF(P$11&gt;T,"",IF($A37&gt;P$12,"",IF(T=P$11,100,EXP(-IRTree!P38*h)*((Q37+Q38)/2+cc*h))))</f>
        <v/>
      </c>
      <c r="Q37" s="3" t="str">
        <f>IF(Q$11&gt;T,"",IF($A37&gt;Q$12,"",IF(T=Q$11,100,EXP(-IRTree!Q38*h)*((R37+R38)/2+cc*h))))</f>
        <v/>
      </c>
      <c r="R37" s="3" t="str">
        <f>IF(R$11&gt;T,"",IF($A37&gt;R$12,"",IF(T=R$11,100,EXP(-IRTree!R38*h)*((S37+S38)/2+cc*h))))</f>
        <v/>
      </c>
      <c r="S37" s="3" t="str">
        <f>IF(S$11&gt;T,"",IF($A37&gt;S$12,"",IF(T=S$11,100,EXP(-IRTree!S38*h)*((T37+T38)/2+cc*h))))</f>
        <v/>
      </c>
      <c r="T37" s="3" t="str">
        <f>IF(T$11&gt;T,"",IF($A37&gt;T$12,"",IF(T=T$11,100,EXP(-IRTree!T38*h)*((U37+U38)/2+cc*h))))</f>
        <v/>
      </c>
      <c r="U37" s="3" t="str">
        <f>IF(U$11&gt;T,"",IF($A37&gt;U$12,"",IF(T=U$11,100,EXP(-IRTree!U38*h)*((V37+V38)/2+cc*h))))</f>
        <v/>
      </c>
      <c r="V37" s="3" t="str">
        <f>IF(V$11&gt;T,"",IF($A37&gt;V$12,"",IF(T=V$11,100,EXP(-IRTree!V38*h)*((W37+W38)/2+cc*h))))</f>
        <v/>
      </c>
      <c r="W37" s="3" t="str">
        <f>IF(W$11&gt;T,"",IF($A37&gt;W$12,"",IF(T=W$11,100,EXP(-IRTree!W38*h)*((X37+X38)/2+cc*h))))</f>
        <v/>
      </c>
      <c r="X37" s="3" t="str">
        <f>IF(X$11&gt;T,"",IF($A37&gt;X$12,"",IF(T=X$11,100,EXP(-IRTree!X38*h)*((Y37+Y38)/2+cc*h))))</f>
        <v/>
      </c>
      <c r="Y37" s="3" t="str">
        <f>IF(Y$11&gt;T,"",IF($A37&gt;Y$12,"",IF(T=Y$11,100,EXP(-IRTree!Y38*h)*((Z37+Z38)/2+cc*h))))</f>
        <v/>
      </c>
      <c r="Z37" s="3">
        <f>IF(Z$11&gt;T,"",IF($A37&gt;Z$12,"",IF(T=Z$11,100,EXP(-IRTree!Z38*h)*((AA37+AA38)/2+cc*h))))</f>
        <v>98.204556274579204</v>
      </c>
      <c r="AA37" s="3">
        <f>IF(AA$11&gt;T,"",IF($A37&gt;AA$12,"",IF(T=AA$11,100,EXP(-IRTree!AA38*h)*((AB37+AB38)/2+cc*h))))</f>
        <v>98.100258039247237</v>
      </c>
      <c r="AB37" s="3">
        <f>IF(AB$11&gt;T,"",IF($A37&gt;AB$12,"",IF(T=AB$11,100,EXP(-IRTree!AB38*h)*((AC37+AC38)/2+cc*h))))</f>
        <v>98.001447462285398</v>
      </c>
      <c r="AC37" s="3">
        <f>IF(AC$11&gt;T,"",IF($A37&gt;AC$12,"",IF(T=AC$11,100,EXP(-IRTree!AC38*h)*((AD37+AD38)/2+cc*h))))</f>
        <v>97.905610611164548</v>
      </c>
      <c r="AD37" s="3">
        <f>IF(AD$11&gt;T,"",IF($A37&gt;AD$12,"",IF(T=AD$11,100,EXP(-IRTree!AD38*h)*((AE37+AE38)/2+cc*h))))</f>
        <v>97.819289943857953</v>
      </c>
      <c r="AE37" s="3">
        <f>IF(AE$11&gt;T,"",IF($A37&gt;AE$12,"",IF(T=AE$11,100,EXP(-IRTree!AE38*h)*((AF37+AF38)/2+cc*h))))</f>
        <v>97.746939414168608</v>
      </c>
      <c r="AF37" s="3">
        <f>IF(AF$11&gt;T,"",IF($A37&gt;AF$12,"",IF(T=AF$11,100,EXP(-IRTree!AF38*h)*((AG37+AG38)/2+cc*h))))</f>
        <v>97.690291662256016</v>
      </c>
      <c r="AG37" s="3">
        <f>IF(AG$11&gt;T,"",IF($A37&gt;AG$12,"",IF(T=AG$11,100,EXP(-IRTree!AG38*h)*((AH37+AH38)/2+cc*h))))</f>
        <v>97.653078783215705</v>
      </c>
      <c r="AH37" s="3">
        <f>IF(AH$11&gt;T,"",IF($A37&gt;AH$12,"",IF(T=AH$11,100,EXP(-IRTree!AH38*h)*((AI37+AI38)/2+cc*h))))</f>
        <v>97.644832722525749</v>
      </c>
      <c r="AI37" s="3">
        <f>IF(AI$11&gt;T,"",IF($A37&gt;AI$12,"",IF(T=AI$11,100,EXP(-IRTree!AI38*h)*((AJ37+AJ38)/2+cc*h))))</f>
        <v>97.669369546854625</v>
      </c>
      <c r="AJ37" s="3">
        <f>IF(AJ$11&gt;T,"",IF($A37&gt;AJ$12,"",IF(T=AJ$11,100,EXP(-IRTree!AJ38*h)*((AK37+AK38)/2+cc*h))))</f>
        <v>97.746610263725827</v>
      </c>
      <c r="AK37" s="3">
        <f>IF(AK$11&gt;T,"",IF($A37&gt;AK$12,"",IF(T=AK$11,100,EXP(-IRTree!AK38*h)*((AL37+AL38)/2+cc*h))))</f>
        <v>97.883879576890891</v>
      </c>
      <c r="AL37" s="3">
        <f>IF(AL$11&gt;T,"",IF($A37&gt;AL$12,"",IF(T=AL$11,100,EXP(-IRTree!AL38*h)*((AM37+AM38)/2+cc*h))))</f>
        <v>98.098916929398314</v>
      </c>
      <c r="AM37" s="3">
        <f>IF(AM$11&gt;T,"",IF($A37&gt;AM$12,"",IF(T=AM$11,100,EXP(-IRTree!AM38*h)*((AN37+AN38)/2+cc*h))))</f>
        <v>98.391454655997677</v>
      </c>
      <c r="AN37" s="3">
        <f>IF(AN$11&gt;T,"",IF($A37&gt;AN$12,"",IF(T=AN$11,100,EXP(-IRTree!AN38*h)*((AO37+AO38)/2+cc*h))))</f>
        <v>98.794609188639797</v>
      </c>
      <c r="AO37" s="3">
        <f>IF(AO$11&gt;T,"",IF($A37&gt;AO$12,"",IF(T=AO$11,100,EXP(-IRTree!AO38*h)*((AP37+AP38)/2+cc*h))))</f>
        <v>99.32510863585911</v>
      </c>
      <c r="AP37" s="3">
        <f>IF(AP$11&gt;T,"",IF($A37&gt;AP$12,"",IF(T=AP$11,100,EXP(-IRTree!AP38*h)*((AQ37+AQ38)/2+cc*h))))</f>
        <v>100</v>
      </c>
      <c r="AQ37" s="3" t="str">
        <f>IF(AQ$11&gt;T,"",IF($A37&gt;AQ$12,"",IF(T=AQ$11,100,EXP(-IRTree!AQ38*h)*((AR37+AR38)/2+cc*h))))</f>
        <v/>
      </c>
      <c r="AR37" s="3" t="str">
        <f>IF(AR$11&gt;T,"",IF($A37&gt;AR$12,"",IF(T=AR$11,100,EXP(-IRTree!AR38*h)*((AS37+AS38)/2+cc*h))))</f>
        <v/>
      </c>
      <c r="AS37" s="3" t="str">
        <f>IF(AS$11&gt;T,"",IF($A37&gt;AS$12,"",IF(T=AS$11,100,EXP(-IRTree!AS38*h)*((AT37+AT38)/2+cc*h))))</f>
        <v/>
      </c>
      <c r="AT37" s="3" t="str">
        <f>IF(AT$11&gt;T,"",IF($A37&gt;AT$12,"",IF(T=AT$11,100,EXP(-IRTree!AT38*h)*((AU37+AU38)/2+cc*h))))</f>
        <v/>
      </c>
      <c r="AU37" s="3" t="str">
        <f>IF(AU$11&gt;T,"",IF($A37&gt;AU$12,"",IF(T=AU$11,100,EXP(-IRTree!AU38*h)*((AV37+AV38)/2+cc*h))))</f>
        <v/>
      </c>
      <c r="AV37" s="3" t="str">
        <f>IF(AV$11&gt;T,"",IF($A37&gt;AV$12,"",IF(T=AV$11,100,EXP(-IRTree!AV38*h)*((AW37+AW38)/2+cc*h))))</f>
        <v/>
      </c>
      <c r="AW37" s="3" t="str">
        <f>IF(AW$11&gt;T,"",IF($A37&gt;AW$12,"",IF(T=AW$11,100,EXP(-IRTree!AW38*h)*((AX37+AX38)/2+cc*h))))</f>
        <v/>
      </c>
      <c r="AX37" s="3" t="str">
        <f>IF(AX$11&gt;T,"",IF($A37&gt;AX$12,"",IF(T=AX$11,100,EXP(-IRTree!AX38*h)*((AY37+AY38)/2+cc*h))))</f>
        <v/>
      </c>
      <c r="AY37" s="3" t="str">
        <f>IF(AY$11&gt;T,"",IF($A37&gt;AY$12,"",IF(T=AY$11,100,EXP(-IRTree!AY38*h)*((AZ37+AZ38)/2+cc*h))))</f>
        <v/>
      </c>
      <c r="AZ37" s="3" t="str">
        <f>IF(AZ$11&gt;T,"",IF($A37&gt;AZ$12,"",IF(T=AZ$11,100,EXP(-IRTree!AZ38*h)*((BA37+BA38)/2+cc*h))))</f>
        <v/>
      </c>
      <c r="BA37" s="3" t="str">
        <f>IF(BA$11&gt;T,"",IF($A37&gt;BA$12,"",IF(T=BA$11,100,EXP(-IRTree!BA38*h)*((BB37+BB38)/2+cc*h))))</f>
        <v/>
      </c>
      <c r="BB37" s="3" t="str">
        <f>IF(BB$11&gt;T,"",IF($A37&gt;BB$12,"",IF(T=BB$11,100,EXP(-IRTree!BB38*h)*((BC37+BC38)/2+cc*h))))</f>
        <v/>
      </c>
      <c r="BC37" s="3" t="str">
        <f>IF(BC$11&gt;T,"",IF($A37&gt;BC$12,"",IF(T=BC$11,100,EXP(-IRTree!BC38*h)*((BD37+BD38)/2+cc*h))))</f>
        <v/>
      </c>
      <c r="BD37" s="3" t="str">
        <f>IF(BD$11&gt;T,"",IF($A37&gt;BD$12,"",IF(T=BD$11,100,EXP(-IRTree!BD38*h)*((BE37+BE38)/2+cc*h))))</f>
        <v/>
      </c>
      <c r="BE37" s="3" t="str">
        <f>IF(BE$11&gt;T,"",IF($A37&gt;BE$12,"",IF(T=BE$11,100,EXP(-IRTree!BE38*h)*((BF37+BF38)/2+cc*h))))</f>
        <v/>
      </c>
      <c r="BF37" s="3" t="str">
        <f>IF(BF$11&gt;T,"",IF($A37&gt;BF$12,"",IF(T=BF$11,100,EXP(-IRTree!BF38*h)*((BG37+BG38)/2+cc*h))))</f>
        <v/>
      </c>
      <c r="BG37" s="3" t="str">
        <f>IF(BG$11&gt;T,"",IF($A37&gt;BG$12,"",IF(T=BG$11,100,EXP(-IRTree!BG38*h)*((BH37+BH38)/2+cc*h))))</f>
        <v/>
      </c>
      <c r="BH37" s="3" t="str">
        <f>IF(BH$11&gt;T,"",IF($A37&gt;BH$12,"",IF(T=BH$11,100,EXP(-IRTree!BH38*h)*((BI37+BI38)/2+cc*h))))</f>
        <v/>
      </c>
      <c r="BI37" s="3" t="str">
        <f>IF(BI$11&gt;T,"",IF($A37&gt;BI$12,"",IF(T=BI$11,100,EXP(-IRTree!BI38*h)*((BJ37+BJ38)/2+cc*h))))</f>
        <v/>
      </c>
      <c r="BJ37" s="3" t="str">
        <f>IF(BJ$11&gt;T,"",IF($A37&gt;BJ$12,"",IF(T=BJ$11,100,EXP(-IRTree!BJ38*h)*((BK37+BK38)/2+cc*h))))</f>
        <v/>
      </c>
    </row>
    <row r="38" spans="1:62">
      <c r="A38" s="12">
        <f t="shared" si="2"/>
        <v>25</v>
      </c>
      <c r="B38" s="3" t="str">
        <f>IF(B$11&gt;T,"",IF($A38&gt;B$12,"",IF(T=B$11,100,EXP(-IRTree!B39*h)*((C38+C39)/2+cc*h))))</f>
        <v/>
      </c>
      <c r="C38" s="3" t="str">
        <f>IF(C$11&gt;T,"",IF($A38&gt;C$12,"",IF(T=C$11,100,EXP(-IRTree!C39*h)*((D38+D39)/2+cc*h))))</f>
        <v/>
      </c>
      <c r="D38" s="3" t="str">
        <f>IF(D$11&gt;T,"",IF($A38&gt;D$12,"",IF(T=D$11,100,EXP(-IRTree!D39*h)*((E38+E39)/2+cc*h))))</f>
        <v/>
      </c>
      <c r="E38" s="3" t="str">
        <f>IF(E$11&gt;T,"",IF($A38&gt;E$12,"",IF(T=E$11,100,EXP(-IRTree!E39*h)*((F38+F39)/2+cc*h))))</f>
        <v/>
      </c>
      <c r="F38" s="3" t="str">
        <f>IF(F$11&gt;T,"",IF($A38&gt;F$12,"",IF(T=F$11,100,EXP(-IRTree!F39*h)*((G38+G39)/2+cc*h))))</f>
        <v/>
      </c>
      <c r="G38" s="3" t="str">
        <f>IF(G$11&gt;T,"",IF($A38&gt;G$12,"",IF(T=G$11,100,EXP(-IRTree!G39*h)*((H38+H39)/2+cc*h))))</f>
        <v/>
      </c>
      <c r="H38" s="3" t="str">
        <f>IF(H$11&gt;T,"",IF($A38&gt;H$12,"",IF(T=H$11,100,EXP(-IRTree!H39*h)*((I38+I39)/2+cc*h))))</f>
        <v/>
      </c>
      <c r="I38" s="3" t="str">
        <f>IF(I$11&gt;T,"",IF($A38&gt;I$12,"",IF(T=I$11,100,EXP(-IRTree!I39*h)*((J38+J39)/2+cc*h))))</f>
        <v/>
      </c>
      <c r="J38" s="3" t="str">
        <f>IF(J$11&gt;T,"",IF($A38&gt;J$12,"",IF(T=J$11,100,EXP(-IRTree!J39*h)*((K38+K39)/2+cc*h))))</f>
        <v/>
      </c>
      <c r="K38" s="3" t="str">
        <f>IF(K$11&gt;T,"",IF($A38&gt;K$12,"",IF(T=K$11,100,EXP(-IRTree!K39*h)*((L38+L39)/2+cc*h))))</f>
        <v/>
      </c>
      <c r="L38" s="3" t="str">
        <f>IF(L$11&gt;T,"",IF($A38&gt;L$12,"",IF(T=L$11,100,EXP(-IRTree!L39*h)*((M38+M39)/2+cc*h))))</f>
        <v/>
      </c>
      <c r="M38" s="3" t="str">
        <f>IF(M$11&gt;T,"",IF($A38&gt;M$12,"",IF(T=M$11,100,EXP(-IRTree!M39*h)*((N38+N39)/2+cc*h))))</f>
        <v/>
      </c>
      <c r="N38" s="3" t="str">
        <f>IF(N$11&gt;T,"",IF($A38&gt;N$12,"",IF(T=N$11,100,EXP(-IRTree!N39*h)*((O38+O39)/2+cc*h))))</f>
        <v/>
      </c>
      <c r="O38" s="3" t="str">
        <f>IF(O$11&gt;T,"",IF($A38&gt;O$12,"",IF(T=O$11,100,EXP(-IRTree!O39*h)*((P38+P39)/2+cc*h))))</f>
        <v/>
      </c>
      <c r="P38" s="3" t="str">
        <f>IF(P$11&gt;T,"",IF($A38&gt;P$12,"",IF(T=P$11,100,EXP(-IRTree!P39*h)*((Q38+Q39)/2+cc*h))))</f>
        <v/>
      </c>
      <c r="Q38" s="3" t="str">
        <f>IF(Q$11&gt;T,"",IF($A38&gt;Q$12,"",IF(T=Q$11,100,EXP(-IRTree!Q39*h)*((R38+R39)/2+cc*h))))</f>
        <v/>
      </c>
      <c r="R38" s="3" t="str">
        <f>IF(R$11&gt;T,"",IF($A38&gt;R$12,"",IF(T=R$11,100,EXP(-IRTree!R39*h)*((S38+S39)/2+cc*h))))</f>
        <v/>
      </c>
      <c r="S38" s="3" t="str">
        <f>IF(S$11&gt;T,"",IF($A38&gt;S$12,"",IF(T=S$11,100,EXP(-IRTree!S39*h)*((T38+T39)/2+cc*h))))</f>
        <v/>
      </c>
      <c r="T38" s="3" t="str">
        <f>IF(T$11&gt;T,"",IF($A38&gt;T$12,"",IF(T=T$11,100,EXP(-IRTree!T39*h)*((U38+U39)/2+cc*h))))</f>
        <v/>
      </c>
      <c r="U38" s="3" t="str">
        <f>IF(U$11&gt;T,"",IF($A38&gt;U$12,"",IF(T=U$11,100,EXP(-IRTree!U39*h)*((V38+V39)/2+cc*h))))</f>
        <v/>
      </c>
      <c r="V38" s="3" t="str">
        <f>IF(V$11&gt;T,"",IF($A38&gt;V$12,"",IF(T=V$11,100,EXP(-IRTree!V39*h)*((W38+W39)/2+cc*h))))</f>
        <v/>
      </c>
      <c r="W38" s="3" t="str">
        <f>IF(W$11&gt;T,"",IF($A38&gt;W$12,"",IF(T=W$11,100,EXP(-IRTree!W39*h)*((X38+X39)/2+cc*h))))</f>
        <v/>
      </c>
      <c r="X38" s="3" t="str">
        <f>IF(X$11&gt;T,"",IF($A38&gt;X$12,"",IF(T=X$11,100,EXP(-IRTree!X39*h)*((Y38+Y39)/2+cc*h))))</f>
        <v/>
      </c>
      <c r="Y38" s="3" t="str">
        <f>IF(Y$11&gt;T,"",IF($A38&gt;Y$12,"",IF(T=Y$11,100,EXP(-IRTree!Y39*h)*((Z38+Z39)/2+cc*h))))</f>
        <v/>
      </c>
      <c r="Z38" s="3" t="str">
        <f>IF(Z$11&gt;T,"",IF($A38&gt;Z$12,"",IF(T=Z$11,100,EXP(-IRTree!Z39*h)*((AA38+AA39)/2+cc*h))))</f>
        <v/>
      </c>
      <c r="AA38" s="3">
        <f>IF(AA$11&gt;T,"",IF($A38&gt;AA$12,"",IF(T=AA$11,100,EXP(-IRTree!AA39*h)*((AB38+AB39)/2+cc*h))))</f>
        <v>98.442132073680241</v>
      </c>
      <c r="AB38" s="3">
        <f>IF(AB$11&gt;T,"",IF($A38&gt;AB$12,"",IF(T=AB$11,100,EXP(-IRTree!AB39*h)*((AC38+AC39)/2+cc*h))))</f>
        <v>98.359045449895504</v>
      </c>
      <c r="AC38" s="3">
        <f>IF(AC$11&gt;T,"",IF($A38&gt;AC$12,"",IF(T=AC$11,100,EXP(-IRTree!AC39*h)*((AD38+AD39)/2+cc*h))))</f>
        <v>98.277892689580568</v>
      </c>
      <c r="AD38" s="3">
        <f>IF(AD$11&gt;T,"",IF($A38&gt;AD$12,"",IF(T=AD$11,100,EXP(-IRTree!AD39*h)*((AE38+AE39)/2+cc*h))))</f>
        <v>98.204162304242146</v>
      </c>
      <c r="AE38" s="3">
        <f>IF(AE$11&gt;T,"",IF($A38&gt;AE$12,"",IF(T=AE$11,100,EXP(-IRTree!AE39*h)*((AF38+AF39)/2+cc*h))))</f>
        <v>98.141557411475503</v>
      </c>
      <c r="AF38" s="3">
        <f>IF(AF$11&gt;T,"",IF($A38&gt;AF$12,"",IF(T=AF$11,100,EXP(-IRTree!AF39*h)*((AG38+AG39)/2+cc*h))))</f>
        <v>98.091375100831428</v>
      </c>
      <c r="AG38" s="3">
        <f>IF(AG$11&gt;T,"",IF($A38&gt;AG$12,"",IF(T=AG$11,100,EXP(-IRTree!AG39*h)*((AH38+AH39)/2+cc*h))))</f>
        <v>98.056606842420507</v>
      </c>
      <c r="AH38" s="3">
        <f>IF(AH$11&gt;T,"",IF($A38&gt;AH$12,"",IF(T=AH$11,100,EXP(-IRTree!AH39*h)*((AI38+AI39)/2+cc*h))))</f>
        <v>98.045342121626462</v>
      </c>
      <c r="AI38" s="3">
        <f>IF(AI$11&gt;T,"",IF($A38&gt;AI$12,"",IF(T=AI$11,100,EXP(-IRTree!AI39*h)*((AJ38+AJ39)/2+cc*h))))</f>
        <v>98.060567936767882</v>
      </c>
      <c r="AJ38" s="3">
        <f>IF(AJ$11&gt;T,"",IF($A38&gt;AJ$12,"",IF(T=AJ$11,100,EXP(-IRTree!AJ39*h)*((AK38+AK39)/2+cc*h))))</f>
        <v>98.119774228654549</v>
      </c>
      <c r="AK38" s="3">
        <f>IF(AK$11&gt;T,"",IF($A38&gt;AK$12,"",IF(T=AK$11,100,EXP(-IRTree!AK39*h)*((AL38+AL39)/2+cc*h))))</f>
        <v>98.229192081275215</v>
      </c>
      <c r="AL38" s="3">
        <f>IF(AL$11&gt;T,"",IF($A38&gt;AL$12,"",IF(T=AL$11,100,EXP(-IRTree!AL39*h)*((AM38+AM39)/2+cc*h))))</f>
        <v>98.404631971145093</v>
      </c>
      <c r="AM38" s="3">
        <f>IF(AM$11&gt;T,"",IF($A38&gt;AM$12,"",IF(T=AM$11,100,EXP(-IRTree!AM39*h)*((AN38+AN39)/2+cc*h))))</f>
        <v>98.645021350620979</v>
      </c>
      <c r="AN38" s="3">
        <f>IF(AN$11&gt;T,"",IF($A38&gt;AN$12,"",IF(T=AN$11,100,EXP(-IRTree!AN39*h)*((AO38+AO39)/2+cc*h))))</f>
        <v>98.980768749744541</v>
      </c>
      <c r="AO38" s="3">
        <f>IF(AO$11&gt;T,"",IF($A38&gt;AO$12,"",IF(T=AO$11,100,EXP(-IRTree!AO39*h)*((AP38+AP39)/2+cc*h))))</f>
        <v>99.427218447953123</v>
      </c>
      <c r="AP38" s="3">
        <f>IF(AP$11&gt;T,"",IF($A38&gt;AP$12,"",IF(T=AP$11,100,EXP(-IRTree!AP39*h)*((AQ38+AQ39)/2+cc*h))))</f>
        <v>100</v>
      </c>
      <c r="AQ38" s="3" t="str">
        <f>IF(AQ$11&gt;T,"",IF($A38&gt;AQ$12,"",IF(T=AQ$11,100,EXP(-IRTree!AQ39*h)*((AR38+AR39)/2+cc*h))))</f>
        <v/>
      </c>
      <c r="AR38" s="3" t="str">
        <f>IF(AR$11&gt;T,"",IF($A38&gt;AR$12,"",IF(T=AR$11,100,EXP(-IRTree!AR39*h)*((AS38+AS39)/2+cc*h))))</f>
        <v/>
      </c>
      <c r="AS38" s="3" t="str">
        <f>IF(AS$11&gt;T,"",IF($A38&gt;AS$12,"",IF(T=AS$11,100,EXP(-IRTree!AS39*h)*((AT38+AT39)/2+cc*h))))</f>
        <v/>
      </c>
      <c r="AT38" s="3" t="str">
        <f>IF(AT$11&gt;T,"",IF($A38&gt;AT$12,"",IF(T=AT$11,100,EXP(-IRTree!AT39*h)*((AU38+AU39)/2+cc*h))))</f>
        <v/>
      </c>
      <c r="AU38" s="3" t="str">
        <f>IF(AU$11&gt;T,"",IF($A38&gt;AU$12,"",IF(T=AU$11,100,EXP(-IRTree!AU39*h)*((AV38+AV39)/2+cc*h))))</f>
        <v/>
      </c>
      <c r="AV38" s="3" t="str">
        <f>IF(AV$11&gt;T,"",IF($A38&gt;AV$12,"",IF(T=AV$11,100,EXP(-IRTree!AV39*h)*((AW38+AW39)/2+cc*h))))</f>
        <v/>
      </c>
      <c r="AW38" s="3" t="str">
        <f>IF(AW$11&gt;T,"",IF($A38&gt;AW$12,"",IF(T=AW$11,100,EXP(-IRTree!AW39*h)*((AX38+AX39)/2+cc*h))))</f>
        <v/>
      </c>
      <c r="AX38" s="3" t="str">
        <f>IF(AX$11&gt;T,"",IF($A38&gt;AX$12,"",IF(T=AX$11,100,EXP(-IRTree!AX39*h)*((AY38+AY39)/2+cc*h))))</f>
        <v/>
      </c>
      <c r="AY38" s="3" t="str">
        <f>IF(AY$11&gt;T,"",IF($A38&gt;AY$12,"",IF(T=AY$11,100,EXP(-IRTree!AY39*h)*((AZ38+AZ39)/2+cc*h))))</f>
        <v/>
      </c>
      <c r="AZ38" s="3" t="str">
        <f>IF(AZ$11&gt;T,"",IF($A38&gt;AZ$12,"",IF(T=AZ$11,100,EXP(-IRTree!AZ39*h)*((BA38+BA39)/2+cc*h))))</f>
        <v/>
      </c>
      <c r="BA38" s="3" t="str">
        <f>IF(BA$11&gt;T,"",IF($A38&gt;BA$12,"",IF(T=BA$11,100,EXP(-IRTree!BA39*h)*((BB38+BB39)/2+cc*h))))</f>
        <v/>
      </c>
      <c r="BB38" s="3" t="str">
        <f>IF(BB$11&gt;T,"",IF($A38&gt;BB$12,"",IF(T=BB$11,100,EXP(-IRTree!BB39*h)*((BC38+BC39)/2+cc*h))))</f>
        <v/>
      </c>
      <c r="BC38" s="3" t="str">
        <f>IF(BC$11&gt;T,"",IF($A38&gt;BC$12,"",IF(T=BC$11,100,EXP(-IRTree!BC39*h)*((BD38+BD39)/2+cc*h))))</f>
        <v/>
      </c>
      <c r="BD38" s="3" t="str">
        <f>IF(BD$11&gt;T,"",IF($A38&gt;BD$12,"",IF(T=BD$11,100,EXP(-IRTree!BD39*h)*((BE38+BE39)/2+cc*h))))</f>
        <v/>
      </c>
      <c r="BE38" s="3" t="str">
        <f>IF(BE$11&gt;T,"",IF($A38&gt;BE$12,"",IF(T=BE$11,100,EXP(-IRTree!BE39*h)*((BF38+BF39)/2+cc*h))))</f>
        <v/>
      </c>
      <c r="BF38" s="3" t="str">
        <f>IF(BF$11&gt;T,"",IF($A38&gt;BF$12,"",IF(T=BF$11,100,EXP(-IRTree!BF39*h)*((BG38+BG39)/2+cc*h))))</f>
        <v/>
      </c>
      <c r="BG38" s="3" t="str">
        <f>IF(BG$11&gt;T,"",IF($A38&gt;BG$12,"",IF(T=BG$11,100,EXP(-IRTree!BG39*h)*((BH38+BH39)/2+cc*h))))</f>
        <v/>
      </c>
      <c r="BH38" s="3" t="str">
        <f>IF(BH$11&gt;T,"",IF($A38&gt;BH$12,"",IF(T=BH$11,100,EXP(-IRTree!BH39*h)*((BI38+BI39)/2+cc*h))))</f>
        <v/>
      </c>
      <c r="BI38" s="3" t="str">
        <f>IF(BI$11&gt;T,"",IF($A38&gt;BI$12,"",IF(T=BI$11,100,EXP(-IRTree!BI39*h)*((BJ38+BJ39)/2+cc*h))))</f>
        <v/>
      </c>
      <c r="BJ38" s="3" t="str">
        <f>IF(BJ$11&gt;T,"",IF($A38&gt;BJ$12,"",IF(T=BJ$11,100,EXP(-IRTree!BJ39*h)*((BK38+BK39)/2+cc*h))))</f>
        <v/>
      </c>
    </row>
    <row r="39" spans="1:62">
      <c r="A39" s="12">
        <f t="shared" si="2"/>
        <v>26</v>
      </c>
      <c r="B39" s="3" t="str">
        <f>IF(B$11&gt;T,"",IF($A39&gt;B$12,"",IF(T=B$11,100,EXP(-IRTree!B40*h)*((C39+C40)/2+cc*h))))</f>
        <v/>
      </c>
      <c r="C39" s="3" t="str">
        <f>IF(C$11&gt;T,"",IF($A39&gt;C$12,"",IF(T=C$11,100,EXP(-IRTree!C40*h)*((D39+D40)/2+cc*h))))</f>
        <v/>
      </c>
      <c r="D39" s="3" t="str">
        <f>IF(D$11&gt;T,"",IF($A39&gt;D$12,"",IF(T=D$11,100,EXP(-IRTree!D40*h)*((E39+E40)/2+cc*h))))</f>
        <v/>
      </c>
      <c r="E39" s="3" t="str">
        <f>IF(E$11&gt;T,"",IF($A39&gt;E$12,"",IF(T=E$11,100,EXP(-IRTree!E40*h)*((F39+F40)/2+cc*h))))</f>
        <v/>
      </c>
      <c r="F39" s="3" t="str">
        <f>IF(F$11&gt;T,"",IF($A39&gt;F$12,"",IF(T=F$11,100,EXP(-IRTree!F40*h)*((G39+G40)/2+cc*h))))</f>
        <v/>
      </c>
      <c r="G39" s="3" t="str">
        <f>IF(G$11&gt;T,"",IF($A39&gt;G$12,"",IF(T=G$11,100,EXP(-IRTree!G40*h)*((H39+H40)/2+cc*h))))</f>
        <v/>
      </c>
      <c r="H39" s="3" t="str">
        <f>IF(H$11&gt;T,"",IF($A39&gt;H$12,"",IF(T=H$11,100,EXP(-IRTree!H40*h)*((I39+I40)/2+cc*h))))</f>
        <v/>
      </c>
      <c r="I39" s="3" t="str">
        <f>IF(I$11&gt;T,"",IF($A39&gt;I$12,"",IF(T=I$11,100,EXP(-IRTree!I40*h)*((J39+J40)/2+cc*h))))</f>
        <v/>
      </c>
      <c r="J39" s="3" t="str">
        <f>IF(J$11&gt;T,"",IF($A39&gt;J$12,"",IF(T=J$11,100,EXP(-IRTree!J40*h)*((K39+K40)/2+cc*h))))</f>
        <v/>
      </c>
      <c r="K39" s="3" t="str">
        <f>IF(K$11&gt;T,"",IF($A39&gt;K$12,"",IF(T=K$11,100,EXP(-IRTree!K40*h)*((L39+L40)/2+cc*h))))</f>
        <v/>
      </c>
      <c r="L39" s="3" t="str">
        <f>IF(L$11&gt;T,"",IF($A39&gt;L$12,"",IF(T=L$11,100,EXP(-IRTree!L40*h)*((M39+M40)/2+cc*h))))</f>
        <v/>
      </c>
      <c r="M39" s="3" t="str">
        <f>IF(M$11&gt;T,"",IF($A39&gt;M$12,"",IF(T=M$11,100,EXP(-IRTree!M40*h)*((N39+N40)/2+cc*h))))</f>
        <v/>
      </c>
      <c r="N39" s="3" t="str">
        <f>IF(N$11&gt;T,"",IF($A39&gt;N$12,"",IF(T=N$11,100,EXP(-IRTree!N40*h)*((O39+O40)/2+cc*h))))</f>
        <v/>
      </c>
      <c r="O39" s="3" t="str">
        <f>IF(O$11&gt;T,"",IF($A39&gt;O$12,"",IF(T=O$11,100,EXP(-IRTree!O40*h)*((P39+P40)/2+cc*h))))</f>
        <v/>
      </c>
      <c r="P39" s="3" t="str">
        <f>IF(P$11&gt;T,"",IF($A39&gt;P$12,"",IF(T=P$11,100,EXP(-IRTree!P40*h)*((Q39+Q40)/2+cc*h))))</f>
        <v/>
      </c>
      <c r="Q39" s="3" t="str">
        <f>IF(Q$11&gt;T,"",IF($A39&gt;Q$12,"",IF(T=Q$11,100,EXP(-IRTree!Q40*h)*((R39+R40)/2+cc*h))))</f>
        <v/>
      </c>
      <c r="R39" s="3" t="str">
        <f>IF(R$11&gt;T,"",IF($A39&gt;R$12,"",IF(T=R$11,100,EXP(-IRTree!R40*h)*((S39+S40)/2+cc*h))))</f>
        <v/>
      </c>
      <c r="S39" s="3" t="str">
        <f>IF(S$11&gt;T,"",IF($A39&gt;S$12,"",IF(T=S$11,100,EXP(-IRTree!S40*h)*((T39+T40)/2+cc*h))))</f>
        <v/>
      </c>
      <c r="T39" s="3" t="str">
        <f>IF(T$11&gt;T,"",IF($A39&gt;T$12,"",IF(T=T$11,100,EXP(-IRTree!T40*h)*((U39+U40)/2+cc*h))))</f>
        <v/>
      </c>
      <c r="U39" s="3" t="str">
        <f>IF(U$11&gt;T,"",IF($A39&gt;U$12,"",IF(T=U$11,100,EXP(-IRTree!U40*h)*((V39+V40)/2+cc*h))))</f>
        <v/>
      </c>
      <c r="V39" s="3" t="str">
        <f>IF(V$11&gt;T,"",IF($A39&gt;V$12,"",IF(T=V$11,100,EXP(-IRTree!V40*h)*((W39+W40)/2+cc*h))))</f>
        <v/>
      </c>
      <c r="W39" s="3" t="str">
        <f>IF(W$11&gt;T,"",IF($A39&gt;W$12,"",IF(T=W$11,100,EXP(-IRTree!W40*h)*((X39+X40)/2+cc*h))))</f>
        <v/>
      </c>
      <c r="X39" s="3" t="str">
        <f>IF(X$11&gt;T,"",IF($A39&gt;X$12,"",IF(T=X$11,100,EXP(-IRTree!X40*h)*((Y39+Y40)/2+cc*h))))</f>
        <v/>
      </c>
      <c r="Y39" s="3" t="str">
        <f>IF(Y$11&gt;T,"",IF($A39&gt;Y$12,"",IF(T=Y$11,100,EXP(-IRTree!Y40*h)*((Z39+Z40)/2+cc*h))))</f>
        <v/>
      </c>
      <c r="Z39" s="3" t="str">
        <f>IF(Z$11&gt;T,"",IF($A39&gt;Z$12,"",IF(T=Z$11,100,EXP(-IRTree!Z40*h)*((AA39+AA40)/2+cc*h))))</f>
        <v/>
      </c>
      <c r="AA39" s="3" t="str">
        <f>IF(AA$11&gt;T,"",IF($A39&gt;AA$12,"",IF(T=AA$11,100,EXP(-IRTree!AA40*h)*((AB39+AB40)/2+cc*h))))</f>
        <v/>
      </c>
      <c r="AB39" s="3">
        <f>IF(AB$11&gt;T,"",IF($A39&gt;AB$12,"",IF(T=AB$11,100,EXP(-IRTree!AB40*h)*((AC39+AC40)/2+cc*h))))</f>
        <v>98.652471044362187</v>
      </c>
      <c r="AC39" s="3">
        <f>IF(AC$11&gt;T,"",IF($A39&gt;AC$12,"",IF(T=AC$11,100,EXP(-IRTree!AC40*h)*((AD39+AD40)/2+cc*h))))</f>
        <v>98.583864125818806</v>
      </c>
      <c r="AD39" s="3">
        <f>IF(AD$11&gt;T,"",IF($A39&gt;AD$12,"",IF(T=AD$11,100,EXP(-IRTree!AD40*h)*((AE39+AE40)/2+cc*h))))</f>
        <v>98.521024602484829</v>
      </c>
      <c r="AE39" s="3">
        <f>IF(AE$11&gt;T,"",IF($A39&gt;AE$12,"",IF(T=AE$11,100,EXP(-IRTree!AE40*h)*((AF39+AF40)/2+cc*h))))</f>
        <v>98.467024511036087</v>
      </c>
      <c r="AF39" s="3">
        <f>IF(AF$11&gt;T,"",IF($A39&gt;AF$12,"",IF(T=AF$11,100,EXP(-IRTree!AF40*h)*((AG39+AG40)/2+cc*h))))</f>
        <v>98.422829247215759</v>
      </c>
      <c r="AG39" s="3">
        <f>IF(AG$11&gt;T,"",IF($A39&gt;AG$12,"",IF(T=AG$11,100,EXP(-IRTree!AG40*h)*((AH39+AH40)/2+cc*h))))</f>
        <v>98.390834232036781</v>
      </c>
      <c r="AH39" s="3">
        <f>IF(AH$11&gt;T,"",IF($A39&gt;AH$12,"",IF(T=AH$11,100,EXP(-IRTree!AH40*h)*((AI39+AI40)/2+cc*h))))</f>
        <v>98.377882448063502</v>
      </c>
      <c r="AI39" s="3">
        <f>IF(AI$11&gt;T,"",IF($A39&gt;AI$12,"",IF(T=AI$11,100,EXP(-IRTree!AI40*h)*((AJ39+AJ40)/2+cc*h))))</f>
        <v>98.386310189221717</v>
      </c>
      <c r="AJ39" s="3">
        <f>IF(AJ$11&gt;T,"",IF($A39&gt;AJ$12,"",IF(T=AJ$11,100,EXP(-IRTree!AJ40*h)*((AK39+AK40)/2+cc*h))))</f>
        <v>98.431380567820113</v>
      </c>
      <c r="AK39" s="3">
        <f>IF(AK$11&gt;T,"",IF($A39&gt;AK$12,"",IF(T=AK$11,100,EXP(-IRTree!AK40*h)*((AL39+AL40)/2+cc*h))))</f>
        <v>98.518400860808157</v>
      </c>
      <c r="AL39" s="3">
        <f>IF(AL$11&gt;T,"",IF($A39&gt;AL$12,"",IF(T=AL$11,100,EXP(-IRTree!AL40*h)*((AM39+AM40)/2+cc*h))))</f>
        <v>98.66139188900091</v>
      </c>
      <c r="AM39" s="3">
        <f>IF(AM$11&gt;T,"",IF($A39&gt;AM$12,"",IF(T=AM$11,100,EXP(-IRTree!AM40*h)*((AN39+AN40)/2+cc*h))))</f>
        <v>98.858791420781913</v>
      </c>
      <c r="AN39" s="3">
        <f>IF(AN$11&gt;T,"",IF($A39&gt;AN$12,"",IF(T=AN$11,100,EXP(-IRTree!AN40*h)*((AO39+AO40)/2+cc*h))))</f>
        <v>99.138287958668769</v>
      </c>
      <c r="AO39" s="3">
        <f>IF(AO$11&gt;T,"",IF($A39&gt;AO$12,"",IF(T=AO$11,100,EXP(-IRTree!AO40*h)*((AP39+AP40)/2+cc*h))))</f>
        <v>99.513917055214662</v>
      </c>
      <c r="AP39" s="3">
        <f>IF(AP$11&gt;T,"",IF($A39&gt;AP$12,"",IF(T=AP$11,100,EXP(-IRTree!AP40*h)*((AQ39+AQ40)/2+cc*h))))</f>
        <v>100</v>
      </c>
      <c r="AQ39" s="3" t="str">
        <f>IF(AQ$11&gt;T,"",IF($A39&gt;AQ$12,"",IF(T=AQ$11,100,EXP(-IRTree!AQ40*h)*((AR39+AR40)/2+cc*h))))</f>
        <v/>
      </c>
      <c r="AR39" s="3" t="str">
        <f>IF(AR$11&gt;T,"",IF($A39&gt;AR$12,"",IF(T=AR$11,100,EXP(-IRTree!AR40*h)*((AS39+AS40)/2+cc*h))))</f>
        <v/>
      </c>
      <c r="AS39" s="3" t="str">
        <f>IF(AS$11&gt;T,"",IF($A39&gt;AS$12,"",IF(T=AS$11,100,EXP(-IRTree!AS40*h)*((AT39+AT40)/2+cc*h))))</f>
        <v/>
      </c>
      <c r="AT39" s="3" t="str">
        <f>IF(AT$11&gt;T,"",IF($A39&gt;AT$12,"",IF(T=AT$11,100,EXP(-IRTree!AT40*h)*((AU39+AU40)/2+cc*h))))</f>
        <v/>
      </c>
      <c r="AU39" s="3" t="str">
        <f>IF(AU$11&gt;T,"",IF($A39&gt;AU$12,"",IF(T=AU$11,100,EXP(-IRTree!AU40*h)*((AV39+AV40)/2+cc*h))))</f>
        <v/>
      </c>
      <c r="AV39" s="3" t="str">
        <f>IF(AV$11&gt;T,"",IF($A39&gt;AV$12,"",IF(T=AV$11,100,EXP(-IRTree!AV40*h)*((AW39+AW40)/2+cc*h))))</f>
        <v/>
      </c>
      <c r="AW39" s="3" t="str">
        <f>IF(AW$11&gt;T,"",IF($A39&gt;AW$12,"",IF(T=AW$11,100,EXP(-IRTree!AW40*h)*((AX39+AX40)/2+cc*h))))</f>
        <v/>
      </c>
      <c r="AX39" s="3" t="str">
        <f>IF(AX$11&gt;T,"",IF($A39&gt;AX$12,"",IF(T=AX$11,100,EXP(-IRTree!AX40*h)*((AY39+AY40)/2+cc*h))))</f>
        <v/>
      </c>
      <c r="AY39" s="3" t="str">
        <f>IF(AY$11&gt;T,"",IF($A39&gt;AY$12,"",IF(T=AY$11,100,EXP(-IRTree!AY40*h)*((AZ39+AZ40)/2+cc*h))))</f>
        <v/>
      </c>
      <c r="AZ39" s="3" t="str">
        <f>IF(AZ$11&gt;T,"",IF($A39&gt;AZ$12,"",IF(T=AZ$11,100,EXP(-IRTree!AZ40*h)*((BA39+BA40)/2+cc*h))))</f>
        <v/>
      </c>
      <c r="BA39" s="3" t="str">
        <f>IF(BA$11&gt;T,"",IF($A39&gt;BA$12,"",IF(T=BA$11,100,EXP(-IRTree!BA40*h)*((BB39+BB40)/2+cc*h))))</f>
        <v/>
      </c>
      <c r="BB39" s="3" t="str">
        <f>IF(BB$11&gt;T,"",IF($A39&gt;BB$12,"",IF(T=BB$11,100,EXP(-IRTree!BB40*h)*((BC39+BC40)/2+cc*h))))</f>
        <v/>
      </c>
      <c r="BC39" s="3" t="str">
        <f>IF(BC$11&gt;T,"",IF($A39&gt;BC$12,"",IF(T=BC$11,100,EXP(-IRTree!BC40*h)*((BD39+BD40)/2+cc*h))))</f>
        <v/>
      </c>
      <c r="BD39" s="3" t="str">
        <f>IF(BD$11&gt;T,"",IF($A39&gt;BD$12,"",IF(T=BD$11,100,EXP(-IRTree!BD40*h)*((BE39+BE40)/2+cc*h))))</f>
        <v/>
      </c>
      <c r="BE39" s="3" t="str">
        <f>IF(BE$11&gt;T,"",IF($A39&gt;BE$12,"",IF(T=BE$11,100,EXP(-IRTree!BE40*h)*((BF39+BF40)/2+cc*h))))</f>
        <v/>
      </c>
      <c r="BF39" s="3" t="str">
        <f>IF(BF$11&gt;T,"",IF($A39&gt;BF$12,"",IF(T=BF$11,100,EXP(-IRTree!BF40*h)*((BG39+BG40)/2+cc*h))))</f>
        <v/>
      </c>
      <c r="BG39" s="3" t="str">
        <f>IF(BG$11&gt;T,"",IF($A39&gt;BG$12,"",IF(T=BG$11,100,EXP(-IRTree!BG40*h)*((BH39+BH40)/2+cc*h))))</f>
        <v/>
      </c>
      <c r="BH39" s="3" t="str">
        <f>IF(BH$11&gt;T,"",IF($A39&gt;BH$12,"",IF(T=BH$11,100,EXP(-IRTree!BH40*h)*((BI39+BI40)/2+cc*h))))</f>
        <v/>
      </c>
      <c r="BI39" s="3" t="str">
        <f>IF(BI$11&gt;T,"",IF($A39&gt;BI$12,"",IF(T=BI$11,100,EXP(-IRTree!BI40*h)*((BJ39+BJ40)/2+cc*h))))</f>
        <v/>
      </c>
      <c r="BJ39" s="3" t="str">
        <f>IF(BJ$11&gt;T,"",IF($A39&gt;BJ$12,"",IF(T=BJ$11,100,EXP(-IRTree!BJ40*h)*((BK39+BK40)/2+cc*h))))</f>
        <v/>
      </c>
    </row>
    <row r="40" spans="1:62">
      <c r="A40" s="12">
        <f t="shared" si="2"/>
        <v>27</v>
      </c>
      <c r="B40" s="3" t="str">
        <f>IF(B$11&gt;T,"",IF($A40&gt;B$12,"",IF(T=B$11,100,EXP(-IRTree!B41*h)*((C40+C41)/2+cc*h))))</f>
        <v/>
      </c>
      <c r="C40" s="3" t="str">
        <f>IF(C$11&gt;T,"",IF($A40&gt;C$12,"",IF(T=C$11,100,EXP(-IRTree!C41*h)*((D40+D41)/2+cc*h))))</f>
        <v/>
      </c>
      <c r="D40" s="3" t="str">
        <f>IF(D$11&gt;T,"",IF($A40&gt;D$12,"",IF(T=D$11,100,EXP(-IRTree!D41*h)*((E40+E41)/2+cc*h))))</f>
        <v/>
      </c>
      <c r="E40" s="3" t="str">
        <f>IF(E$11&gt;T,"",IF($A40&gt;E$12,"",IF(T=E$11,100,EXP(-IRTree!E41*h)*((F40+F41)/2+cc*h))))</f>
        <v/>
      </c>
      <c r="F40" s="3" t="str">
        <f>IF(F$11&gt;T,"",IF($A40&gt;F$12,"",IF(T=F$11,100,EXP(-IRTree!F41*h)*((G40+G41)/2+cc*h))))</f>
        <v/>
      </c>
      <c r="G40" s="3" t="str">
        <f>IF(G$11&gt;T,"",IF($A40&gt;G$12,"",IF(T=G$11,100,EXP(-IRTree!G41*h)*((H40+H41)/2+cc*h))))</f>
        <v/>
      </c>
      <c r="H40" s="3" t="str">
        <f>IF(H$11&gt;T,"",IF($A40&gt;H$12,"",IF(T=H$11,100,EXP(-IRTree!H41*h)*((I40+I41)/2+cc*h))))</f>
        <v/>
      </c>
      <c r="I40" s="3" t="str">
        <f>IF(I$11&gt;T,"",IF($A40&gt;I$12,"",IF(T=I$11,100,EXP(-IRTree!I41*h)*((J40+J41)/2+cc*h))))</f>
        <v/>
      </c>
      <c r="J40" s="3" t="str">
        <f>IF(J$11&gt;T,"",IF($A40&gt;J$12,"",IF(T=J$11,100,EXP(-IRTree!J41*h)*((K40+K41)/2+cc*h))))</f>
        <v/>
      </c>
      <c r="K40" s="3" t="str">
        <f>IF(K$11&gt;T,"",IF($A40&gt;K$12,"",IF(T=K$11,100,EXP(-IRTree!K41*h)*((L40+L41)/2+cc*h))))</f>
        <v/>
      </c>
      <c r="L40" s="3" t="str">
        <f>IF(L$11&gt;T,"",IF($A40&gt;L$12,"",IF(T=L$11,100,EXP(-IRTree!L41*h)*((M40+M41)/2+cc*h))))</f>
        <v/>
      </c>
      <c r="M40" s="3" t="str">
        <f>IF(M$11&gt;T,"",IF($A40&gt;M$12,"",IF(T=M$11,100,EXP(-IRTree!M41*h)*((N40+N41)/2+cc*h))))</f>
        <v/>
      </c>
      <c r="N40" s="3" t="str">
        <f>IF(N$11&gt;T,"",IF($A40&gt;N$12,"",IF(T=N$11,100,EXP(-IRTree!N41*h)*((O40+O41)/2+cc*h))))</f>
        <v/>
      </c>
      <c r="O40" s="3" t="str">
        <f>IF(O$11&gt;T,"",IF($A40&gt;O$12,"",IF(T=O$11,100,EXP(-IRTree!O41*h)*((P40+P41)/2+cc*h))))</f>
        <v/>
      </c>
      <c r="P40" s="3" t="str">
        <f>IF(P$11&gt;T,"",IF($A40&gt;P$12,"",IF(T=P$11,100,EXP(-IRTree!P41*h)*((Q40+Q41)/2+cc*h))))</f>
        <v/>
      </c>
      <c r="Q40" s="3" t="str">
        <f>IF(Q$11&gt;T,"",IF($A40&gt;Q$12,"",IF(T=Q$11,100,EXP(-IRTree!Q41*h)*((R40+R41)/2+cc*h))))</f>
        <v/>
      </c>
      <c r="R40" s="3" t="str">
        <f>IF(R$11&gt;T,"",IF($A40&gt;R$12,"",IF(T=R$11,100,EXP(-IRTree!R41*h)*((S40+S41)/2+cc*h))))</f>
        <v/>
      </c>
      <c r="S40" s="3" t="str">
        <f>IF(S$11&gt;T,"",IF($A40&gt;S$12,"",IF(T=S$11,100,EXP(-IRTree!S41*h)*((T40+T41)/2+cc*h))))</f>
        <v/>
      </c>
      <c r="T40" s="3" t="str">
        <f>IF(T$11&gt;T,"",IF($A40&gt;T$12,"",IF(T=T$11,100,EXP(-IRTree!T41*h)*((U40+U41)/2+cc*h))))</f>
        <v/>
      </c>
      <c r="U40" s="3" t="str">
        <f>IF(U$11&gt;T,"",IF($A40&gt;U$12,"",IF(T=U$11,100,EXP(-IRTree!U41*h)*((V40+V41)/2+cc*h))))</f>
        <v/>
      </c>
      <c r="V40" s="3" t="str">
        <f>IF(V$11&gt;T,"",IF($A40&gt;V$12,"",IF(T=V$11,100,EXP(-IRTree!V41*h)*((W40+W41)/2+cc*h))))</f>
        <v/>
      </c>
      <c r="W40" s="3" t="str">
        <f>IF(W$11&gt;T,"",IF($A40&gt;W$12,"",IF(T=W$11,100,EXP(-IRTree!W41*h)*((X40+X41)/2+cc*h))))</f>
        <v/>
      </c>
      <c r="X40" s="3" t="str">
        <f>IF(X$11&gt;T,"",IF($A40&gt;X$12,"",IF(T=X$11,100,EXP(-IRTree!X41*h)*((Y40+Y41)/2+cc*h))))</f>
        <v/>
      </c>
      <c r="Y40" s="3" t="str">
        <f>IF(Y$11&gt;T,"",IF($A40&gt;Y$12,"",IF(T=Y$11,100,EXP(-IRTree!Y41*h)*((Z40+Z41)/2+cc*h))))</f>
        <v/>
      </c>
      <c r="Z40" s="3" t="str">
        <f>IF(Z$11&gt;T,"",IF($A40&gt;Z$12,"",IF(T=Z$11,100,EXP(-IRTree!Z41*h)*((AA40+AA41)/2+cc*h))))</f>
        <v/>
      </c>
      <c r="AA40" s="3" t="str">
        <f>IF(AA$11&gt;T,"",IF($A40&gt;AA$12,"",IF(T=AA$11,100,EXP(-IRTree!AA41*h)*((AB40+AB41)/2+cc*h))))</f>
        <v/>
      </c>
      <c r="AB40" s="3" t="str">
        <f>IF(AB$11&gt;T,"",IF($A40&gt;AB$12,"",IF(T=AB$11,100,EXP(-IRTree!AB41*h)*((AC40+AC41)/2+cc*h))))</f>
        <v/>
      </c>
      <c r="AC40" s="3">
        <f>IF(AC$11&gt;T,"",IF($A40&gt;AC$12,"",IF(T=AC$11,100,EXP(-IRTree!AC41*h)*((AD40+AD41)/2+cc*h))))</f>
        <v>98.835284260171989</v>
      </c>
      <c r="AD40" s="3">
        <f>IF(AD$11&gt;T,"",IF($A40&gt;AD$12,"",IF(T=AD$11,100,EXP(-IRTree!AD41*h)*((AE40+AE41)/2+cc*h))))</f>
        <v>98.781829169941773</v>
      </c>
      <c r="AE40" s="3">
        <f>IF(AE$11&gt;T,"",IF($A40&gt;AE$12,"",IF(T=AE$11,100,EXP(-IRTree!AE41*h)*((AF40+AF41)/2+cc*h))))</f>
        <v>98.735380985507859</v>
      </c>
      <c r="AF40" s="3">
        <f>IF(AF$11&gt;T,"",IF($A40&gt;AF$12,"",IF(T=AF$11,100,EXP(-IRTree!AF41*h)*((AG40+AG41)/2+cc*h))))</f>
        <v>98.696653544591499</v>
      </c>
      <c r="AG40" s="3">
        <f>IF(AG$11&gt;T,"",IF($A40&gt;AG$12,"",IF(T=AG$11,100,EXP(-IRTree!AG41*h)*((AH40+AH41)/2+cc*h))))</f>
        <v>98.667563245723088</v>
      </c>
      <c r="AH40" s="3">
        <f>IF(AH$11&gt;T,"",IF($A40&gt;AH$12,"",IF(T=AH$11,100,EXP(-IRTree!AH41*h)*((AI40+AI41)/2+cc*h))))</f>
        <v>98.65388179246446</v>
      </c>
      <c r="AI40" s="3">
        <f>IF(AI$11&gt;T,"",IF($A40&gt;AI$12,"",IF(T=AI$11,100,EXP(-IRTree!AI41*h)*((AJ40+AJ41)/2+cc*h))))</f>
        <v>98.657435183317304</v>
      </c>
      <c r="AJ40" s="3">
        <f>IF(AJ$11&gt;T,"",IF($A40&gt;AJ$12,"",IF(T=AJ$11,100,EXP(-IRTree!AJ41*h)*((AK40+AK41)/2+cc*h))))</f>
        <v>98.691473534476515</v>
      </c>
      <c r="AK40" s="3">
        <f>IF(AK$11&gt;T,"",IF($A40&gt;AK$12,"",IF(T=AK$11,100,EXP(-IRTree!AK41*h)*((AL40+AL41)/2+cc*h))))</f>
        <v>98.760521287554795</v>
      </c>
      <c r="AL40" s="3">
        <f>IF(AL$11&gt;T,"",IF($A40&gt;AL$12,"",IF(T=AL$11,100,EXP(-IRTree!AL41*h)*((AM40+AM41)/2+cc*h))))</f>
        <v>98.876956580680556</v>
      </c>
      <c r="AM40" s="3">
        <f>IF(AM$11&gt;T,"",IF($A40&gt;AM$12,"",IF(T=AM$11,100,EXP(-IRTree!AM41*h)*((AN40+AN41)/2+cc*h))))</f>
        <v>99.038951986577885</v>
      </c>
      <c r="AN40" s="3">
        <f>IF(AN$11&gt;T,"",IF($A40&gt;AN$12,"",IF(T=AN$11,100,EXP(-IRTree!AN41*h)*((AO40+AO41)/2+cc*h))))</f>
        <v>99.271539537017532</v>
      </c>
      <c r="AO40" s="3">
        <f>IF(AO$11&gt;T,"",IF($A40&gt;AO$12,"",IF(T=AO$11,100,EXP(-IRTree!AO41*h)*((AP40+AP41)/2+cc*h))))</f>
        <v>99.58751983106373</v>
      </c>
      <c r="AP40" s="3">
        <f>IF(AP$11&gt;T,"",IF($A40&gt;AP$12,"",IF(T=AP$11,100,EXP(-IRTree!AP41*h)*((AQ40+AQ41)/2+cc*h))))</f>
        <v>100</v>
      </c>
      <c r="AQ40" s="3" t="str">
        <f>IF(AQ$11&gt;T,"",IF($A40&gt;AQ$12,"",IF(T=AQ$11,100,EXP(-IRTree!AQ41*h)*((AR40+AR41)/2+cc*h))))</f>
        <v/>
      </c>
      <c r="AR40" s="3" t="str">
        <f>IF(AR$11&gt;T,"",IF($A40&gt;AR$12,"",IF(T=AR$11,100,EXP(-IRTree!AR41*h)*((AS40+AS41)/2+cc*h))))</f>
        <v/>
      </c>
      <c r="AS40" s="3" t="str">
        <f>IF(AS$11&gt;T,"",IF($A40&gt;AS$12,"",IF(T=AS$11,100,EXP(-IRTree!AS41*h)*((AT40+AT41)/2+cc*h))))</f>
        <v/>
      </c>
      <c r="AT40" s="3" t="str">
        <f>IF(AT$11&gt;T,"",IF($A40&gt;AT$12,"",IF(T=AT$11,100,EXP(-IRTree!AT41*h)*((AU40+AU41)/2+cc*h))))</f>
        <v/>
      </c>
      <c r="AU40" s="3" t="str">
        <f>IF(AU$11&gt;T,"",IF($A40&gt;AU$12,"",IF(T=AU$11,100,EXP(-IRTree!AU41*h)*((AV40+AV41)/2+cc*h))))</f>
        <v/>
      </c>
      <c r="AV40" s="3" t="str">
        <f>IF(AV$11&gt;T,"",IF($A40&gt;AV$12,"",IF(T=AV$11,100,EXP(-IRTree!AV41*h)*((AW40+AW41)/2+cc*h))))</f>
        <v/>
      </c>
      <c r="AW40" s="3" t="str">
        <f>IF(AW$11&gt;T,"",IF($A40&gt;AW$12,"",IF(T=AW$11,100,EXP(-IRTree!AW41*h)*((AX40+AX41)/2+cc*h))))</f>
        <v/>
      </c>
      <c r="AX40" s="3" t="str">
        <f>IF(AX$11&gt;T,"",IF($A40&gt;AX$12,"",IF(T=AX$11,100,EXP(-IRTree!AX41*h)*((AY40+AY41)/2+cc*h))))</f>
        <v/>
      </c>
      <c r="AY40" s="3" t="str">
        <f>IF(AY$11&gt;T,"",IF($A40&gt;AY$12,"",IF(T=AY$11,100,EXP(-IRTree!AY41*h)*((AZ40+AZ41)/2+cc*h))))</f>
        <v/>
      </c>
      <c r="AZ40" s="3" t="str">
        <f>IF(AZ$11&gt;T,"",IF($A40&gt;AZ$12,"",IF(T=AZ$11,100,EXP(-IRTree!AZ41*h)*((BA40+BA41)/2+cc*h))))</f>
        <v/>
      </c>
      <c r="BA40" s="3" t="str">
        <f>IF(BA$11&gt;T,"",IF($A40&gt;BA$12,"",IF(T=BA$11,100,EXP(-IRTree!BA41*h)*((BB40+BB41)/2+cc*h))))</f>
        <v/>
      </c>
      <c r="BB40" s="3" t="str">
        <f>IF(BB$11&gt;T,"",IF($A40&gt;BB$12,"",IF(T=BB$11,100,EXP(-IRTree!BB41*h)*((BC40+BC41)/2+cc*h))))</f>
        <v/>
      </c>
      <c r="BC40" s="3" t="str">
        <f>IF(BC$11&gt;T,"",IF($A40&gt;BC$12,"",IF(T=BC$11,100,EXP(-IRTree!BC41*h)*((BD40+BD41)/2+cc*h))))</f>
        <v/>
      </c>
      <c r="BD40" s="3" t="str">
        <f>IF(BD$11&gt;T,"",IF($A40&gt;BD$12,"",IF(T=BD$11,100,EXP(-IRTree!BD41*h)*((BE40+BE41)/2+cc*h))))</f>
        <v/>
      </c>
      <c r="BE40" s="3" t="str">
        <f>IF(BE$11&gt;T,"",IF($A40&gt;BE$12,"",IF(T=BE$11,100,EXP(-IRTree!BE41*h)*((BF40+BF41)/2+cc*h))))</f>
        <v/>
      </c>
      <c r="BF40" s="3" t="str">
        <f>IF(BF$11&gt;T,"",IF($A40&gt;BF$12,"",IF(T=BF$11,100,EXP(-IRTree!BF41*h)*((BG40+BG41)/2+cc*h))))</f>
        <v/>
      </c>
      <c r="BG40" s="3" t="str">
        <f>IF(BG$11&gt;T,"",IF($A40&gt;BG$12,"",IF(T=BG$11,100,EXP(-IRTree!BG41*h)*((BH40+BH41)/2+cc*h))))</f>
        <v/>
      </c>
      <c r="BH40" s="3" t="str">
        <f>IF(BH$11&gt;T,"",IF($A40&gt;BH$12,"",IF(T=BH$11,100,EXP(-IRTree!BH41*h)*((BI40+BI41)/2+cc*h))))</f>
        <v/>
      </c>
      <c r="BI40" s="3" t="str">
        <f>IF(BI$11&gt;T,"",IF($A40&gt;BI$12,"",IF(T=BI$11,100,EXP(-IRTree!BI41*h)*((BJ40+BJ41)/2+cc*h))))</f>
        <v/>
      </c>
      <c r="BJ40" s="3" t="str">
        <f>IF(BJ$11&gt;T,"",IF($A40&gt;BJ$12,"",IF(T=BJ$11,100,EXP(-IRTree!BJ41*h)*((BK40+BK41)/2+cc*h))))</f>
        <v/>
      </c>
    </row>
    <row r="41" spans="1:62">
      <c r="A41" s="12">
        <f t="shared" si="2"/>
        <v>28</v>
      </c>
      <c r="B41" s="3" t="str">
        <f>IF(B$11&gt;T,"",IF($A41&gt;B$12,"",IF(T=B$11,100,EXP(-IRTree!B42*h)*((C41+C42)/2+cc*h))))</f>
        <v/>
      </c>
      <c r="C41" s="3" t="str">
        <f>IF(C$11&gt;T,"",IF($A41&gt;C$12,"",IF(T=C$11,100,EXP(-IRTree!C42*h)*((D41+D42)/2+cc*h))))</f>
        <v/>
      </c>
      <c r="D41" s="3" t="str">
        <f>IF(D$11&gt;T,"",IF($A41&gt;D$12,"",IF(T=D$11,100,EXP(-IRTree!D42*h)*((E41+E42)/2+cc*h))))</f>
        <v/>
      </c>
      <c r="E41" s="3" t="str">
        <f>IF(E$11&gt;T,"",IF($A41&gt;E$12,"",IF(T=E$11,100,EXP(-IRTree!E42*h)*((F41+F42)/2+cc*h))))</f>
        <v/>
      </c>
      <c r="F41" s="3" t="str">
        <f>IF(F$11&gt;T,"",IF($A41&gt;F$12,"",IF(T=F$11,100,EXP(-IRTree!F42*h)*((G41+G42)/2+cc*h))))</f>
        <v/>
      </c>
      <c r="G41" s="3" t="str">
        <f>IF(G$11&gt;T,"",IF($A41&gt;G$12,"",IF(T=G$11,100,EXP(-IRTree!G42*h)*((H41+H42)/2+cc*h))))</f>
        <v/>
      </c>
      <c r="H41" s="3" t="str">
        <f>IF(H$11&gt;T,"",IF($A41&gt;H$12,"",IF(T=H$11,100,EXP(-IRTree!H42*h)*((I41+I42)/2+cc*h))))</f>
        <v/>
      </c>
      <c r="I41" s="3" t="str">
        <f>IF(I$11&gt;T,"",IF($A41&gt;I$12,"",IF(T=I$11,100,EXP(-IRTree!I42*h)*((J41+J42)/2+cc*h))))</f>
        <v/>
      </c>
      <c r="J41" s="3" t="str">
        <f>IF(J$11&gt;T,"",IF($A41&gt;J$12,"",IF(T=J$11,100,EXP(-IRTree!J42*h)*((K41+K42)/2+cc*h))))</f>
        <v/>
      </c>
      <c r="K41" s="3" t="str">
        <f>IF(K$11&gt;T,"",IF($A41&gt;K$12,"",IF(T=K$11,100,EXP(-IRTree!K42*h)*((L41+L42)/2+cc*h))))</f>
        <v/>
      </c>
      <c r="L41" s="3" t="str">
        <f>IF(L$11&gt;T,"",IF($A41&gt;L$12,"",IF(T=L$11,100,EXP(-IRTree!L42*h)*((M41+M42)/2+cc*h))))</f>
        <v/>
      </c>
      <c r="M41" s="3" t="str">
        <f>IF(M$11&gt;T,"",IF($A41&gt;M$12,"",IF(T=M$11,100,EXP(-IRTree!M42*h)*((N41+N42)/2+cc*h))))</f>
        <v/>
      </c>
      <c r="N41" s="3" t="str">
        <f>IF(N$11&gt;T,"",IF($A41&gt;N$12,"",IF(T=N$11,100,EXP(-IRTree!N42*h)*((O41+O42)/2+cc*h))))</f>
        <v/>
      </c>
      <c r="O41" s="3" t="str">
        <f>IF(O$11&gt;T,"",IF($A41&gt;O$12,"",IF(T=O$11,100,EXP(-IRTree!O42*h)*((P41+P42)/2+cc*h))))</f>
        <v/>
      </c>
      <c r="P41" s="3" t="str">
        <f>IF(P$11&gt;T,"",IF($A41&gt;P$12,"",IF(T=P$11,100,EXP(-IRTree!P42*h)*((Q41+Q42)/2+cc*h))))</f>
        <v/>
      </c>
      <c r="Q41" s="3" t="str">
        <f>IF(Q$11&gt;T,"",IF($A41&gt;Q$12,"",IF(T=Q$11,100,EXP(-IRTree!Q42*h)*((R41+R42)/2+cc*h))))</f>
        <v/>
      </c>
      <c r="R41" s="3" t="str">
        <f>IF(R$11&gt;T,"",IF($A41&gt;R$12,"",IF(T=R$11,100,EXP(-IRTree!R42*h)*((S41+S42)/2+cc*h))))</f>
        <v/>
      </c>
      <c r="S41" s="3" t="str">
        <f>IF(S$11&gt;T,"",IF($A41&gt;S$12,"",IF(T=S$11,100,EXP(-IRTree!S42*h)*((T41+T42)/2+cc*h))))</f>
        <v/>
      </c>
      <c r="T41" s="3" t="str">
        <f>IF(T$11&gt;T,"",IF($A41&gt;T$12,"",IF(T=T$11,100,EXP(-IRTree!T42*h)*((U41+U42)/2+cc*h))))</f>
        <v/>
      </c>
      <c r="U41" s="3" t="str">
        <f>IF(U$11&gt;T,"",IF($A41&gt;U$12,"",IF(T=U$11,100,EXP(-IRTree!U42*h)*((V41+V42)/2+cc*h))))</f>
        <v/>
      </c>
      <c r="V41" s="3" t="str">
        <f>IF(V$11&gt;T,"",IF($A41&gt;V$12,"",IF(T=V$11,100,EXP(-IRTree!V42*h)*((W41+W42)/2+cc*h))))</f>
        <v/>
      </c>
      <c r="W41" s="3" t="str">
        <f>IF(W$11&gt;T,"",IF($A41&gt;W$12,"",IF(T=W$11,100,EXP(-IRTree!W42*h)*((X41+X42)/2+cc*h))))</f>
        <v/>
      </c>
      <c r="X41" s="3" t="str">
        <f>IF(X$11&gt;T,"",IF($A41&gt;X$12,"",IF(T=X$11,100,EXP(-IRTree!X42*h)*((Y41+Y42)/2+cc*h))))</f>
        <v/>
      </c>
      <c r="Y41" s="3" t="str">
        <f>IF(Y$11&gt;T,"",IF($A41&gt;Y$12,"",IF(T=Y$11,100,EXP(-IRTree!Y42*h)*((Z41+Z42)/2+cc*h))))</f>
        <v/>
      </c>
      <c r="Z41" s="3" t="str">
        <f>IF(Z$11&gt;T,"",IF($A41&gt;Z$12,"",IF(T=Z$11,100,EXP(-IRTree!Z42*h)*((AA41+AA42)/2+cc*h))))</f>
        <v/>
      </c>
      <c r="AA41" s="3" t="str">
        <f>IF(AA$11&gt;T,"",IF($A41&gt;AA$12,"",IF(T=AA$11,100,EXP(-IRTree!AA42*h)*((AB41+AB42)/2+cc*h))))</f>
        <v/>
      </c>
      <c r="AB41" s="3" t="str">
        <f>IF(AB$11&gt;T,"",IF($A41&gt;AB$12,"",IF(T=AB$11,100,EXP(-IRTree!AB42*h)*((AC41+AC42)/2+cc*h))))</f>
        <v/>
      </c>
      <c r="AC41" s="3" t="str">
        <f>IF(AC$11&gt;T,"",IF($A41&gt;AC$12,"",IF(T=AC$11,100,EXP(-IRTree!AC42*h)*((AD41+AD42)/2+cc*h))))</f>
        <v/>
      </c>
      <c r="AD41" s="3">
        <f>IF(AD$11&gt;T,"",IF($A41&gt;AD$12,"",IF(T=AD$11,100,EXP(-IRTree!AD42*h)*((AE41+AE42)/2+cc*h))))</f>
        <v>98.996465580114943</v>
      </c>
      <c r="AE41" s="3">
        <f>IF(AE$11&gt;T,"",IF($A41&gt;AE$12,"",IF(T=AE$11,100,EXP(-IRTree!AE42*h)*((AF41+AF42)/2+cc*h))))</f>
        <v>98.956611360042615</v>
      </c>
      <c r="AF41" s="3">
        <f>IF(AF$11&gt;T,"",IF($A41&gt;AF$12,"",IF(T=AF$11,100,EXP(-IRTree!AF42*h)*((AG41+AG42)/2+cc*h))))</f>
        <v>98.922822391609543</v>
      </c>
      <c r="AG41" s="3">
        <f>IF(AG$11&gt;T,"",IF($A41&gt;AG$12,"",IF(T=AG$11,100,EXP(-IRTree!AG42*h)*((AH41+AH42)/2+cc*h))))</f>
        <v>98.896630572448075</v>
      </c>
      <c r="AH41" s="3">
        <f>IF(AH$11&gt;T,"",IF($A41&gt;AH$12,"",IF(T=AH$11,100,EXP(-IRTree!AH42*h)*((AI41+AI42)/2+cc*h))))</f>
        <v>98.882891304951258</v>
      </c>
      <c r="AI41" s="3">
        <f>IF(AI$11&gt;T,"",IF($A41&gt;AI$12,"",IF(T=AI$11,100,EXP(-IRTree!AI42*h)*((AJ41+AJ42)/2+cc*h))))</f>
        <v>98.883030710888519</v>
      </c>
      <c r="AJ41" s="3">
        <f>IF(AJ$11&gt;T,"",IF($A41&gt;AJ$12,"",IF(T=AJ$11,100,EXP(-IRTree!AJ42*h)*((AK41+AK42)/2+cc*h))))</f>
        <v>98.90849870263331</v>
      </c>
      <c r="AK41" s="3">
        <f>IF(AK$11&gt;T,"",IF($A41&gt;AK$12,"",IF(T=AK$11,100,EXP(-IRTree!AK42*h)*((AL41+AL42)/2+cc*h))))</f>
        <v>98.963154650253102</v>
      </c>
      <c r="AL41" s="3">
        <f>IF(AL$11&gt;T,"",IF($A41&gt;AL$12,"",IF(T=AL$11,100,EXP(-IRTree!AL42*h)*((AM41+AM42)/2+cc*h))))</f>
        <v>99.057882592191007</v>
      </c>
      <c r="AM41" s="3">
        <f>IF(AM$11&gt;T,"",IF($A41&gt;AM$12,"",IF(T=AM$11,100,EXP(-IRTree!AM42*h)*((AN41+AN42)/2+cc*h))))</f>
        <v>99.190746761180137</v>
      </c>
      <c r="AN41" s="3">
        <f>IF(AN$11&gt;T,"",IF($A41&gt;AN$12,"",IF(T=AN$11,100,EXP(-IRTree!AN42*h)*((AO41+AO42)/2+cc*h))))</f>
        <v>99.384238544134234</v>
      </c>
      <c r="AO41" s="3">
        <f>IF(AO$11&gt;T,"",IF($A41&gt;AO$12,"",IF(T=AO$11,100,EXP(-IRTree!AO42*h)*((AP41+AP42)/2+cc*h))))</f>
        <v>99.649997265704428</v>
      </c>
      <c r="AP41" s="3">
        <f>IF(AP$11&gt;T,"",IF($A41&gt;AP$12,"",IF(T=AP$11,100,EXP(-IRTree!AP42*h)*((AQ41+AQ42)/2+cc*h))))</f>
        <v>100</v>
      </c>
      <c r="AQ41" s="3" t="str">
        <f>IF(AQ$11&gt;T,"",IF($A41&gt;AQ$12,"",IF(T=AQ$11,100,EXP(-IRTree!AQ42*h)*((AR41+AR42)/2+cc*h))))</f>
        <v/>
      </c>
      <c r="AR41" s="3" t="str">
        <f>IF(AR$11&gt;T,"",IF($A41&gt;AR$12,"",IF(T=AR$11,100,EXP(-IRTree!AR42*h)*((AS41+AS42)/2+cc*h))))</f>
        <v/>
      </c>
      <c r="AS41" s="3" t="str">
        <f>IF(AS$11&gt;T,"",IF($A41&gt;AS$12,"",IF(T=AS$11,100,EXP(-IRTree!AS42*h)*((AT41+AT42)/2+cc*h))))</f>
        <v/>
      </c>
      <c r="AT41" s="3" t="str">
        <f>IF(AT$11&gt;T,"",IF($A41&gt;AT$12,"",IF(T=AT$11,100,EXP(-IRTree!AT42*h)*((AU41+AU42)/2+cc*h))))</f>
        <v/>
      </c>
      <c r="AU41" s="3" t="str">
        <f>IF(AU$11&gt;T,"",IF($A41&gt;AU$12,"",IF(T=AU$11,100,EXP(-IRTree!AU42*h)*((AV41+AV42)/2+cc*h))))</f>
        <v/>
      </c>
      <c r="AV41" s="3" t="str">
        <f>IF(AV$11&gt;T,"",IF($A41&gt;AV$12,"",IF(T=AV$11,100,EXP(-IRTree!AV42*h)*((AW41+AW42)/2+cc*h))))</f>
        <v/>
      </c>
      <c r="AW41" s="3" t="str">
        <f>IF(AW$11&gt;T,"",IF($A41&gt;AW$12,"",IF(T=AW$11,100,EXP(-IRTree!AW42*h)*((AX41+AX42)/2+cc*h))))</f>
        <v/>
      </c>
      <c r="AX41" s="3" t="str">
        <f>IF(AX$11&gt;T,"",IF($A41&gt;AX$12,"",IF(T=AX$11,100,EXP(-IRTree!AX42*h)*((AY41+AY42)/2+cc*h))))</f>
        <v/>
      </c>
      <c r="AY41" s="3" t="str">
        <f>IF(AY$11&gt;T,"",IF($A41&gt;AY$12,"",IF(T=AY$11,100,EXP(-IRTree!AY42*h)*((AZ41+AZ42)/2+cc*h))))</f>
        <v/>
      </c>
      <c r="AZ41" s="3" t="str">
        <f>IF(AZ$11&gt;T,"",IF($A41&gt;AZ$12,"",IF(T=AZ$11,100,EXP(-IRTree!AZ42*h)*((BA41+BA42)/2+cc*h))))</f>
        <v/>
      </c>
      <c r="BA41" s="3" t="str">
        <f>IF(BA$11&gt;T,"",IF($A41&gt;BA$12,"",IF(T=BA$11,100,EXP(-IRTree!BA42*h)*((BB41+BB42)/2+cc*h))))</f>
        <v/>
      </c>
      <c r="BB41" s="3" t="str">
        <f>IF(BB$11&gt;T,"",IF($A41&gt;BB$12,"",IF(T=BB$11,100,EXP(-IRTree!BB42*h)*((BC41+BC42)/2+cc*h))))</f>
        <v/>
      </c>
      <c r="BC41" s="3" t="str">
        <f>IF(BC$11&gt;T,"",IF($A41&gt;BC$12,"",IF(T=BC$11,100,EXP(-IRTree!BC42*h)*((BD41+BD42)/2+cc*h))))</f>
        <v/>
      </c>
      <c r="BD41" s="3" t="str">
        <f>IF(BD$11&gt;T,"",IF($A41&gt;BD$12,"",IF(T=BD$11,100,EXP(-IRTree!BD42*h)*((BE41+BE42)/2+cc*h))))</f>
        <v/>
      </c>
      <c r="BE41" s="3" t="str">
        <f>IF(BE$11&gt;T,"",IF($A41&gt;BE$12,"",IF(T=BE$11,100,EXP(-IRTree!BE42*h)*((BF41+BF42)/2+cc*h))))</f>
        <v/>
      </c>
      <c r="BF41" s="3" t="str">
        <f>IF(BF$11&gt;T,"",IF($A41&gt;BF$12,"",IF(T=BF$11,100,EXP(-IRTree!BF42*h)*((BG41+BG42)/2+cc*h))))</f>
        <v/>
      </c>
      <c r="BG41" s="3" t="str">
        <f>IF(BG$11&gt;T,"",IF($A41&gt;BG$12,"",IF(T=BG$11,100,EXP(-IRTree!BG42*h)*((BH41+BH42)/2+cc*h))))</f>
        <v/>
      </c>
      <c r="BH41" s="3" t="str">
        <f>IF(BH$11&gt;T,"",IF($A41&gt;BH$12,"",IF(T=BH$11,100,EXP(-IRTree!BH42*h)*((BI41+BI42)/2+cc*h))))</f>
        <v/>
      </c>
      <c r="BI41" s="3" t="str">
        <f>IF(BI$11&gt;T,"",IF($A41&gt;BI$12,"",IF(T=BI$11,100,EXP(-IRTree!BI42*h)*((BJ41+BJ42)/2+cc*h))))</f>
        <v/>
      </c>
      <c r="BJ41" s="3" t="str">
        <f>IF(BJ$11&gt;T,"",IF($A41&gt;BJ$12,"",IF(T=BJ$11,100,EXP(-IRTree!BJ42*h)*((BK41+BK42)/2+cc*h))))</f>
        <v/>
      </c>
    </row>
    <row r="42" spans="1:62">
      <c r="A42" s="12">
        <f t="shared" si="2"/>
        <v>29</v>
      </c>
      <c r="B42" s="3" t="str">
        <f>IF(B$11&gt;T,"",IF($A42&gt;B$12,"",IF(T=B$11,100,EXP(-IRTree!B43*h)*((C42+C43)/2+cc*h))))</f>
        <v/>
      </c>
      <c r="C42" s="3" t="str">
        <f>IF(C$11&gt;T,"",IF($A42&gt;C$12,"",IF(T=C$11,100,EXP(-IRTree!C43*h)*((D42+D43)/2+cc*h))))</f>
        <v/>
      </c>
      <c r="D42" s="3" t="str">
        <f>IF(D$11&gt;T,"",IF($A42&gt;D$12,"",IF(T=D$11,100,EXP(-IRTree!D43*h)*((E42+E43)/2+cc*h))))</f>
        <v/>
      </c>
      <c r="E42" s="3" t="str">
        <f>IF(E$11&gt;T,"",IF($A42&gt;E$12,"",IF(T=E$11,100,EXP(-IRTree!E43*h)*((F42+F43)/2+cc*h))))</f>
        <v/>
      </c>
      <c r="F42" s="3" t="str">
        <f>IF(F$11&gt;T,"",IF($A42&gt;F$12,"",IF(T=F$11,100,EXP(-IRTree!F43*h)*((G42+G43)/2+cc*h))))</f>
        <v/>
      </c>
      <c r="G42" s="3" t="str">
        <f>IF(G$11&gt;T,"",IF($A42&gt;G$12,"",IF(T=G$11,100,EXP(-IRTree!G43*h)*((H42+H43)/2+cc*h))))</f>
        <v/>
      </c>
      <c r="H42" s="3" t="str">
        <f>IF(H$11&gt;T,"",IF($A42&gt;H$12,"",IF(T=H$11,100,EXP(-IRTree!H43*h)*((I42+I43)/2+cc*h))))</f>
        <v/>
      </c>
      <c r="I42" s="3" t="str">
        <f>IF(I$11&gt;T,"",IF($A42&gt;I$12,"",IF(T=I$11,100,EXP(-IRTree!I43*h)*((J42+J43)/2+cc*h))))</f>
        <v/>
      </c>
      <c r="J42" s="3" t="str">
        <f>IF(J$11&gt;T,"",IF($A42&gt;J$12,"",IF(T=J$11,100,EXP(-IRTree!J43*h)*((K42+K43)/2+cc*h))))</f>
        <v/>
      </c>
      <c r="K42" s="3" t="str">
        <f>IF(K$11&gt;T,"",IF($A42&gt;K$12,"",IF(T=K$11,100,EXP(-IRTree!K43*h)*((L42+L43)/2+cc*h))))</f>
        <v/>
      </c>
      <c r="L42" s="3" t="str">
        <f>IF(L$11&gt;T,"",IF($A42&gt;L$12,"",IF(T=L$11,100,EXP(-IRTree!L43*h)*((M42+M43)/2+cc*h))))</f>
        <v/>
      </c>
      <c r="M42" s="3" t="str">
        <f>IF(M$11&gt;T,"",IF($A42&gt;M$12,"",IF(T=M$11,100,EXP(-IRTree!M43*h)*((N42+N43)/2+cc*h))))</f>
        <v/>
      </c>
      <c r="N42" s="3" t="str">
        <f>IF(N$11&gt;T,"",IF($A42&gt;N$12,"",IF(T=N$11,100,EXP(-IRTree!N43*h)*((O42+O43)/2+cc*h))))</f>
        <v/>
      </c>
      <c r="O42" s="3" t="str">
        <f>IF(O$11&gt;T,"",IF($A42&gt;O$12,"",IF(T=O$11,100,EXP(-IRTree!O43*h)*((P42+P43)/2+cc*h))))</f>
        <v/>
      </c>
      <c r="P42" s="3" t="str">
        <f>IF(P$11&gt;T,"",IF($A42&gt;P$12,"",IF(T=P$11,100,EXP(-IRTree!P43*h)*((Q42+Q43)/2+cc*h))))</f>
        <v/>
      </c>
      <c r="Q42" s="3" t="str">
        <f>IF(Q$11&gt;T,"",IF($A42&gt;Q$12,"",IF(T=Q$11,100,EXP(-IRTree!Q43*h)*((R42+R43)/2+cc*h))))</f>
        <v/>
      </c>
      <c r="R42" s="3" t="str">
        <f>IF(R$11&gt;T,"",IF($A42&gt;R$12,"",IF(T=R$11,100,EXP(-IRTree!R43*h)*((S42+S43)/2+cc*h))))</f>
        <v/>
      </c>
      <c r="S42" s="3" t="str">
        <f>IF(S$11&gt;T,"",IF($A42&gt;S$12,"",IF(T=S$11,100,EXP(-IRTree!S43*h)*((T42+T43)/2+cc*h))))</f>
        <v/>
      </c>
      <c r="T42" s="3" t="str">
        <f>IF(T$11&gt;T,"",IF($A42&gt;T$12,"",IF(T=T$11,100,EXP(-IRTree!T43*h)*((U42+U43)/2+cc*h))))</f>
        <v/>
      </c>
      <c r="U42" s="3" t="str">
        <f>IF(U$11&gt;T,"",IF($A42&gt;U$12,"",IF(T=U$11,100,EXP(-IRTree!U43*h)*((V42+V43)/2+cc*h))))</f>
        <v/>
      </c>
      <c r="V42" s="3" t="str">
        <f>IF(V$11&gt;T,"",IF($A42&gt;V$12,"",IF(T=V$11,100,EXP(-IRTree!V43*h)*((W42+W43)/2+cc*h))))</f>
        <v/>
      </c>
      <c r="W42" s="3" t="str">
        <f>IF(W$11&gt;T,"",IF($A42&gt;W$12,"",IF(T=W$11,100,EXP(-IRTree!W43*h)*((X42+X43)/2+cc*h))))</f>
        <v/>
      </c>
      <c r="X42" s="3" t="str">
        <f>IF(X$11&gt;T,"",IF($A42&gt;X$12,"",IF(T=X$11,100,EXP(-IRTree!X43*h)*((Y42+Y43)/2+cc*h))))</f>
        <v/>
      </c>
      <c r="Y42" s="3" t="str">
        <f>IF(Y$11&gt;T,"",IF($A42&gt;Y$12,"",IF(T=Y$11,100,EXP(-IRTree!Y43*h)*((Z42+Z43)/2+cc*h))))</f>
        <v/>
      </c>
      <c r="Z42" s="3" t="str">
        <f>IF(Z$11&gt;T,"",IF($A42&gt;Z$12,"",IF(T=Z$11,100,EXP(-IRTree!Z43*h)*((AA42+AA43)/2+cc*h))))</f>
        <v/>
      </c>
      <c r="AA42" s="3" t="str">
        <f>IF(AA$11&gt;T,"",IF($A42&gt;AA$12,"",IF(T=AA$11,100,EXP(-IRTree!AA43*h)*((AB42+AB43)/2+cc*h))))</f>
        <v/>
      </c>
      <c r="AB42" s="3" t="str">
        <f>IF(AB$11&gt;T,"",IF($A42&gt;AB$12,"",IF(T=AB$11,100,EXP(-IRTree!AB43*h)*((AC42+AC43)/2+cc*h))))</f>
        <v/>
      </c>
      <c r="AC42" s="3" t="str">
        <f>IF(AC$11&gt;T,"",IF($A42&gt;AC$12,"",IF(T=AC$11,100,EXP(-IRTree!AC43*h)*((AD42+AD43)/2+cc*h))))</f>
        <v/>
      </c>
      <c r="AD42" s="3" t="str">
        <f>IF(AD$11&gt;T,"",IF($A42&gt;AD$12,"",IF(T=AD$11,100,EXP(-IRTree!AD43*h)*((AE42+AE43)/2+cc*h))))</f>
        <v/>
      </c>
      <c r="AE42" s="3">
        <f>IF(AE$11&gt;T,"",IF($A42&gt;AE$12,"",IF(T=AE$11,100,EXP(-IRTree!AE43*h)*((AF42+AF43)/2+cc*h))))</f>
        <v>99.138979305826282</v>
      </c>
      <c r="AF42" s="3">
        <f>IF(AF$11&gt;T,"",IF($A42&gt;AF$12,"",IF(T=AF$11,100,EXP(-IRTree!AF43*h)*((AG42+AG43)/2+cc*h))))</f>
        <v>99.109610382209567</v>
      </c>
      <c r="AG42" s="3">
        <f>IF(AG$11&gt;T,"",IF($A42&gt;AG$12,"",IF(T=AG$11,100,EXP(-IRTree!AG43*h)*((AH42+AH43)/2+cc*h))))</f>
        <v>99.0862180811325</v>
      </c>
      <c r="AH42" s="3">
        <f>IF(AH$11&gt;T,"",IF($A42&gt;AH$12,"",IF(T=AH$11,100,EXP(-IRTree!AH43*h)*((AI42+AI43)/2+cc*h))))</f>
        <v>99.072877334493143</v>
      </c>
      <c r="AI42" s="3">
        <f>IF(AI$11&gt;T,"",IF($A42&gt;AI$12,"",IF(T=AI$11,100,EXP(-IRTree!AI43*h)*((AJ42+AJ43)/2+cc*h))))</f>
        <v>99.070701141757695</v>
      </c>
      <c r="AJ42" s="3">
        <f>IF(AJ$11&gt;T,"",IF($A42&gt;AJ$12,"",IF(T=AJ$11,100,EXP(-IRTree!AJ43*h)*((AK42+AK43)/2+cc*h))))</f>
        <v>99.089543836962989</v>
      </c>
      <c r="AK42" s="3">
        <f>IF(AK$11&gt;T,"",IF($A42&gt;AK$12,"",IF(T=AK$11,100,EXP(-IRTree!AK43*h)*((AL42+AL43)/2+cc*h))))</f>
        <v>99.132698630572563</v>
      </c>
      <c r="AL42" s="3">
        <f>IF(AL$11&gt;T,"",IF($A42&gt;AL$12,"",IF(T=AL$11,100,EXP(-IRTree!AL43*h)*((AM42+AM43)/2+cc*h))))</f>
        <v>99.209701190881418</v>
      </c>
      <c r="AM42" s="3">
        <f>IF(AM$11&gt;T,"",IF($A42&gt;AM$12,"",IF(T=AM$11,100,EXP(-IRTree!AM43*h)*((AN42+AN43)/2+cc*h))))</f>
        <v>99.31861423697201</v>
      </c>
      <c r="AN42" s="3">
        <f>IF(AN$11&gt;T,"",IF($A42&gt;AN$12,"",IF(T=AN$11,100,EXP(-IRTree!AN43*h)*((AO42+AO43)/2+cc*h))))</f>
        <v>99.479538367739877</v>
      </c>
      <c r="AO42" s="3">
        <f>IF(AO$11&gt;T,"",IF($A42&gt;AO$12,"",IF(T=AO$11,100,EXP(-IRTree!AO43*h)*((AP42+AP43)/2+cc*h))))</f>
        <v>99.70302549923889</v>
      </c>
      <c r="AP42" s="3">
        <f>IF(AP$11&gt;T,"",IF($A42&gt;AP$12,"",IF(T=AP$11,100,EXP(-IRTree!AP43*h)*((AQ42+AQ43)/2+cc*h))))</f>
        <v>100</v>
      </c>
      <c r="AQ42" s="3" t="str">
        <f>IF(AQ$11&gt;T,"",IF($A42&gt;AQ$12,"",IF(T=AQ$11,100,EXP(-IRTree!AQ43*h)*((AR42+AR43)/2+cc*h))))</f>
        <v/>
      </c>
      <c r="AR42" s="3" t="str">
        <f>IF(AR$11&gt;T,"",IF($A42&gt;AR$12,"",IF(T=AR$11,100,EXP(-IRTree!AR43*h)*((AS42+AS43)/2+cc*h))))</f>
        <v/>
      </c>
      <c r="AS42" s="3" t="str">
        <f>IF(AS$11&gt;T,"",IF($A42&gt;AS$12,"",IF(T=AS$11,100,EXP(-IRTree!AS43*h)*((AT42+AT43)/2+cc*h))))</f>
        <v/>
      </c>
      <c r="AT42" s="3" t="str">
        <f>IF(AT$11&gt;T,"",IF($A42&gt;AT$12,"",IF(T=AT$11,100,EXP(-IRTree!AT43*h)*((AU42+AU43)/2+cc*h))))</f>
        <v/>
      </c>
      <c r="AU42" s="3" t="str">
        <f>IF(AU$11&gt;T,"",IF($A42&gt;AU$12,"",IF(T=AU$11,100,EXP(-IRTree!AU43*h)*((AV42+AV43)/2+cc*h))))</f>
        <v/>
      </c>
      <c r="AV42" s="3" t="str">
        <f>IF(AV$11&gt;T,"",IF($A42&gt;AV$12,"",IF(T=AV$11,100,EXP(-IRTree!AV43*h)*((AW42+AW43)/2+cc*h))))</f>
        <v/>
      </c>
      <c r="AW42" s="3" t="str">
        <f>IF(AW$11&gt;T,"",IF($A42&gt;AW$12,"",IF(T=AW$11,100,EXP(-IRTree!AW43*h)*((AX42+AX43)/2+cc*h))))</f>
        <v/>
      </c>
      <c r="AX42" s="3" t="str">
        <f>IF(AX$11&gt;T,"",IF($A42&gt;AX$12,"",IF(T=AX$11,100,EXP(-IRTree!AX43*h)*((AY42+AY43)/2+cc*h))))</f>
        <v/>
      </c>
      <c r="AY42" s="3" t="str">
        <f>IF(AY$11&gt;T,"",IF($A42&gt;AY$12,"",IF(T=AY$11,100,EXP(-IRTree!AY43*h)*((AZ42+AZ43)/2+cc*h))))</f>
        <v/>
      </c>
      <c r="AZ42" s="3" t="str">
        <f>IF(AZ$11&gt;T,"",IF($A42&gt;AZ$12,"",IF(T=AZ$11,100,EXP(-IRTree!AZ43*h)*((BA42+BA43)/2+cc*h))))</f>
        <v/>
      </c>
      <c r="BA42" s="3" t="str">
        <f>IF(BA$11&gt;T,"",IF($A42&gt;BA$12,"",IF(T=BA$11,100,EXP(-IRTree!BA43*h)*((BB42+BB43)/2+cc*h))))</f>
        <v/>
      </c>
      <c r="BB42" s="3" t="str">
        <f>IF(BB$11&gt;T,"",IF($A42&gt;BB$12,"",IF(T=BB$11,100,EXP(-IRTree!BB43*h)*((BC42+BC43)/2+cc*h))))</f>
        <v/>
      </c>
      <c r="BC42" s="3" t="str">
        <f>IF(BC$11&gt;T,"",IF($A42&gt;BC$12,"",IF(T=BC$11,100,EXP(-IRTree!BC43*h)*((BD42+BD43)/2+cc*h))))</f>
        <v/>
      </c>
      <c r="BD42" s="3" t="str">
        <f>IF(BD$11&gt;T,"",IF($A42&gt;BD$12,"",IF(T=BD$11,100,EXP(-IRTree!BD43*h)*((BE42+BE43)/2+cc*h))))</f>
        <v/>
      </c>
      <c r="BE42" s="3" t="str">
        <f>IF(BE$11&gt;T,"",IF($A42&gt;BE$12,"",IF(T=BE$11,100,EXP(-IRTree!BE43*h)*((BF42+BF43)/2+cc*h))))</f>
        <v/>
      </c>
      <c r="BF42" s="3" t="str">
        <f>IF(BF$11&gt;T,"",IF($A42&gt;BF$12,"",IF(T=BF$11,100,EXP(-IRTree!BF43*h)*((BG42+BG43)/2+cc*h))))</f>
        <v/>
      </c>
      <c r="BG42" s="3" t="str">
        <f>IF(BG$11&gt;T,"",IF($A42&gt;BG$12,"",IF(T=BG$11,100,EXP(-IRTree!BG43*h)*((BH42+BH43)/2+cc*h))))</f>
        <v/>
      </c>
      <c r="BH42" s="3" t="str">
        <f>IF(BH$11&gt;T,"",IF($A42&gt;BH$12,"",IF(T=BH$11,100,EXP(-IRTree!BH43*h)*((BI42+BI43)/2+cc*h))))</f>
        <v/>
      </c>
      <c r="BI42" s="3" t="str">
        <f>IF(BI$11&gt;T,"",IF($A42&gt;BI$12,"",IF(T=BI$11,100,EXP(-IRTree!BI43*h)*((BJ42+BJ43)/2+cc*h))))</f>
        <v/>
      </c>
      <c r="BJ42" s="3" t="str">
        <f>IF(BJ$11&gt;T,"",IF($A42&gt;BJ$12,"",IF(T=BJ$11,100,EXP(-IRTree!BJ43*h)*((BK42+BK43)/2+cc*h))))</f>
        <v/>
      </c>
    </row>
    <row r="43" spans="1:62">
      <c r="A43" s="12">
        <f t="shared" si="2"/>
        <v>30</v>
      </c>
      <c r="B43" s="3" t="str">
        <f>IF(B$11&gt;T,"",IF($A43&gt;B$12,"",IF(T=B$11,100,EXP(-IRTree!B44*h)*((C43+C44)/2+cc*h))))</f>
        <v/>
      </c>
      <c r="C43" s="3" t="str">
        <f>IF(C$11&gt;T,"",IF($A43&gt;C$12,"",IF(T=C$11,100,EXP(-IRTree!C44*h)*((D43+D44)/2+cc*h))))</f>
        <v/>
      </c>
      <c r="D43" s="3" t="str">
        <f>IF(D$11&gt;T,"",IF($A43&gt;D$12,"",IF(T=D$11,100,EXP(-IRTree!D44*h)*((E43+E44)/2+cc*h))))</f>
        <v/>
      </c>
      <c r="E43" s="3" t="str">
        <f>IF(E$11&gt;T,"",IF($A43&gt;E$12,"",IF(T=E$11,100,EXP(-IRTree!E44*h)*((F43+F44)/2+cc*h))))</f>
        <v/>
      </c>
      <c r="F43" s="3" t="str">
        <f>IF(F$11&gt;T,"",IF($A43&gt;F$12,"",IF(T=F$11,100,EXP(-IRTree!F44*h)*((G43+G44)/2+cc*h))))</f>
        <v/>
      </c>
      <c r="G43" s="3" t="str">
        <f>IF(G$11&gt;T,"",IF($A43&gt;G$12,"",IF(T=G$11,100,EXP(-IRTree!G44*h)*((H43+H44)/2+cc*h))))</f>
        <v/>
      </c>
      <c r="H43" s="3" t="str">
        <f>IF(H$11&gt;T,"",IF($A43&gt;H$12,"",IF(T=H$11,100,EXP(-IRTree!H44*h)*((I43+I44)/2+cc*h))))</f>
        <v/>
      </c>
      <c r="I43" s="3" t="str">
        <f>IF(I$11&gt;T,"",IF($A43&gt;I$12,"",IF(T=I$11,100,EXP(-IRTree!I44*h)*((J43+J44)/2+cc*h))))</f>
        <v/>
      </c>
      <c r="J43" s="3" t="str">
        <f>IF(J$11&gt;T,"",IF($A43&gt;J$12,"",IF(T=J$11,100,EXP(-IRTree!J44*h)*((K43+K44)/2+cc*h))))</f>
        <v/>
      </c>
      <c r="K43" s="3" t="str">
        <f>IF(K$11&gt;T,"",IF($A43&gt;K$12,"",IF(T=K$11,100,EXP(-IRTree!K44*h)*((L43+L44)/2+cc*h))))</f>
        <v/>
      </c>
      <c r="L43" s="3" t="str">
        <f>IF(L$11&gt;T,"",IF($A43&gt;L$12,"",IF(T=L$11,100,EXP(-IRTree!L44*h)*((M43+M44)/2+cc*h))))</f>
        <v/>
      </c>
      <c r="M43" s="3" t="str">
        <f>IF(M$11&gt;T,"",IF($A43&gt;M$12,"",IF(T=M$11,100,EXP(-IRTree!M44*h)*((N43+N44)/2+cc*h))))</f>
        <v/>
      </c>
      <c r="N43" s="3" t="str">
        <f>IF(N$11&gt;T,"",IF($A43&gt;N$12,"",IF(T=N$11,100,EXP(-IRTree!N44*h)*((O43+O44)/2+cc*h))))</f>
        <v/>
      </c>
      <c r="O43" s="3" t="str">
        <f>IF(O$11&gt;T,"",IF($A43&gt;O$12,"",IF(T=O$11,100,EXP(-IRTree!O44*h)*((P43+P44)/2+cc*h))))</f>
        <v/>
      </c>
      <c r="P43" s="3" t="str">
        <f>IF(P$11&gt;T,"",IF($A43&gt;P$12,"",IF(T=P$11,100,EXP(-IRTree!P44*h)*((Q43+Q44)/2+cc*h))))</f>
        <v/>
      </c>
      <c r="Q43" s="3" t="str">
        <f>IF(Q$11&gt;T,"",IF($A43&gt;Q$12,"",IF(T=Q$11,100,EXP(-IRTree!Q44*h)*((R43+R44)/2+cc*h))))</f>
        <v/>
      </c>
      <c r="R43" s="3" t="str">
        <f>IF(R$11&gt;T,"",IF($A43&gt;R$12,"",IF(T=R$11,100,EXP(-IRTree!R44*h)*((S43+S44)/2+cc*h))))</f>
        <v/>
      </c>
      <c r="S43" s="3" t="str">
        <f>IF(S$11&gt;T,"",IF($A43&gt;S$12,"",IF(T=S$11,100,EXP(-IRTree!S44*h)*((T43+T44)/2+cc*h))))</f>
        <v/>
      </c>
      <c r="T43" s="3" t="str">
        <f>IF(T$11&gt;T,"",IF($A43&gt;T$12,"",IF(T=T$11,100,EXP(-IRTree!T44*h)*((U43+U44)/2+cc*h))))</f>
        <v/>
      </c>
      <c r="U43" s="3" t="str">
        <f>IF(U$11&gt;T,"",IF($A43&gt;U$12,"",IF(T=U$11,100,EXP(-IRTree!U44*h)*((V43+V44)/2+cc*h))))</f>
        <v/>
      </c>
      <c r="V43" s="3" t="str">
        <f>IF(V$11&gt;T,"",IF($A43&gt;V$12,"",IF(T=V$11,100,EXP(-IRTree!V44*h)*((W43+W44)/2+cc*h))))</f>
        <v/>
      </c>
      <c r="W43" s="3" t="str">
        <f>IF(W$11&gt;T,"",IF($A43&gt;W$12,"",IF(T=W$11,100,EXP(-IRTree!W44*h)*((X43+X44)/2+cc*h))))</f>
        <v/>
      </c>
      <c r="X43" s="3" t="str">
        <f>IF(X$11&gt;T,"",IF($A43&gt;X$12,"",IF(T=X$11,100,EXP(-IRTree!X44*h)*((Y43+Y44)/2+cc*h))))</f>
        <v/>
      </c>
      <c r="Y43" s="3" t="str">
        <f>IF(Y$11&gt;T,"",IF($A43&gt;Y$12,"",IF(T=Y$11,100,EXP(-IRTree!Y44*h)*((Z43+Z44)/2+cc*h))))</f>
        <v/>
      </c>
      <c r="Z43" s="3" t="str">
        <f>IF(Z$11&gt;T,"",IF($A43&gt;Z$12,"",IF(T=Z$11,100,EXP(-IRTree!Z44*h)*((AA43+AA44)/2+cc*h))))</f>
        <v/>
      </c>
      <c r="AA43" s="3" t="str">
        <f>IF(AA$11&gt;T,"",IF($A43&gt;AA$12,"",IF(T=AA$11,100,EXP(-IRTree!AA44*h)*((AB43+AB44)/2+cc*h))))</f>
        <v/>
      </c>
      <c r="AB43" s="3" t="str">
        <f>IF(AB$11&gt;T,"",IF($A43&gt;AB$12,"",IF(T=AB$11,100,EXP(-IRTree!AB44*h)*((AC43+AC44)/2+cc*h))))</f>
        <v/>
      </c>
      <c r="AC43" s="3" t="str">
        <f>IF(AC$11&gt;T,"",IF($A43&gt;AC$12,"",IF(T=AC$11,100,EXP(-IRTree!AC44*h)*((AD43+AD44)/2+cc*h))))</f>
        <v/>
      </c>
      <c r="AD43" s="3" t="str">
        <f>IF(AD$11&gt;T,"",IF($A43&gt;AD$12,"",IF(T=AD$11,100,EXP(-IRTree!AD44*h)*((AE43+AE44)/2+cc*h))))</f>
        <v/>
      </c>
      <c r="AE43" s="3" t="str">
        <f>IF(AE$11&gt;T,"",IF($A43&gt;AE$12,"",IF(T=AE$11,100,EXP(-IRTree!AE44*h)*((AF43+AF44)/2+cc*h))))</f>
        <v/>
      </c>
      <c r="AF43" s="3">
        <f>IF(AF$11&gt;T,"",IF($A43&gt;AF$12,"",IF(T=AF$11,100,EXP(-IRTree!AF44*h)*((AG43+AG44)/2+cc*h))))</f>
        <v>99.263871279687535</v>
      </c>
      <c r="AG43" s="3">
        <f>IF(AG$11&gt;T,"",IF($A43&gt;AG$12,"",IF(T=AG$11,100,EXP(-IRTree!AG44*h)*((AH43+AH44)/2+cc*h))))</f>
        <v>99.243120355030172</v>
      </c>
      <c r="AH43" s="3">
        <f>IF(AH$11&gt;T,"",IF($A43&gt;AH$12,"",IF(T=AH$11,100,EXP(-IRTree!AH44*h)*((AI43+AI44)/2+cc*h))))</f>
        <v>99.230473719068897</v>
      </c>
      <c r="AI43" s="3">
        <f>IF(AI$11&gt;T,"",IF($A43&gt;AI$12,"",IF(T=AI$11,100,EXP(-IRTree!AI44*h)*((AJ43+AJ44)/2+cc*h))))</f>
        <v>99.226799353419096</v>
      </c>
      <c r="AJ43" s="3">
        <f>IF(AJ$11&gt;T,"",IF($A43&gt;AJ$12,"",IF(T=AJ$11,100,EXP(-IRTree!AJ44*h)*((AK43+AK44)/2+cc*h))))</f>
        <v>99.240547984312542</v>
      </c>
      <c r="AK43" s="3">
        <f>IF(AK$11&gt;T,"",IF($A43&gt;AK$12,"",IF(T=AK$11,100,EXP(-IRTree!AK44*h)*((AL43+AL44)/2+cc*h))))</f>
        <v>99.274530123804198</v>
      </c>
      <c r="AL43" s="3">
        <f>IF(AL$11&gt;T,"",IF($A43&gt;AL$12,"",IF(T=AL$11,100,EXP(-IRTree!AL44*h)*((AM43+AM44)/2+cc*h))))</f>
        <v>99.337072795925948</v>
      </c>
      <c r="AM43" s="3">
        <f>IF(AM$11&gt;T,"",IF($A43&gt;AM$12,"",IF(T=AM$11,100,EXP(-IRTree!AM44*h)*((AN43+AN44)/2+cc*h))))</f>
        <v>99.426307364207091</v>
      </c>
      <c r="AN43" s="3">
        <f>IF(AN$11&gt;T,"",IF($A43&gt;AN$12,"",IF(T=AN$11,100,EXP(-IRTree!AN44*h)*((AO43+AO44)/2+cc*h))))</f>
        <v>99.560113565558098</v>
      </c>
      <c r="AO43" s="3">
        <f>IF(AO$11&gt;T,"",IF($A43&gt;AO$12,"",IF(T=AO$11,100,EXP(-IRTree!AO44*h)*((AP43+AP44)/2+cc*h))))</f>
        <v>99.748029688174171</v>
      </c>
      <c r="AP43" s="3">
        <f>IF(AP$11&gt;T,"",IF($A43&gt;AP$12,"",IF(T=AP$11,100,EXP(-IRTree!AP44*h)*((AQ43+AQ44)/2+cc*h))))</f>
        <v>100</v>
      </c>
      <c r="AQ43" s="3" t="str">
        <f>IF(AQ$11&gt;T,"",IF($A43&gt;AQ$12,"",IF(T=AQ$11,100,EXP(-IRTree!AQ44*h)*((AR43+AR44)/2+cc*h))))</f>
        <v/>
      </c>
      <c r="AR43" s="3" t="str">
        <f>IF(AR$11&gt;T,"",IF($A43&gt;AR$12,"",IF(T=AR$11,100,EXP(-IRTree!AR44*h)*((AS43+AS44)/2+cc*h))))</f>
        <v/>
      </c>
      <c r="AS43" s="3" t="str">
        <f>IF(AS$11&gt;T,"",IF($A43&gt;AS$12,"",IF(T=AS$11,100,EXP(-IRTree!AS44*h)*((AT43+AT44)/2+cc*h))))</f>
        <v/>
      </c>
      <c r="AT43" s="3" t="str">
        <f>IF(AT$11&gt;T,"",IF($A43&gt;AT$12,"",IF(T=AT$11,100,EXP(-IRTree!AT44*h)*((AU43+AU44)/2+cc*h))))</f>
        <v/>
      </c>
      <c r="AU43" s="3" t="str">
        <f>IF(AU$11&gt;T,"",IF($A43&gt;AU$12,"",IF(T=AU$11,100,EXP(-IRTree!AU44*h)*((AV43+AV44)/2+cc*h))))</f>
        <v/>
      </c>
      <c r="AV43" s="3" t="str">
        <f>IF(AV$11&gt;T,"",IF($A43&gt;AV$12,"",IF(T=AV$11,100,EXP(-IRTree!AV44*h)*((AW43+AW44)/2+cc*h))))</f>
        <v/>
      </c>
      <c r="AW43" s="3" t="str">
        <f>IF(AW$11&gt;T,"",IF($A43&gt;AW$12,"",IF(T=AW$11,100,EXP(-IRTree!AW44*h)*((AX43+AX44)/2+cc*h))))</f>
        <v/>
      </c>
      <c r="AX43" s="3" t="str">
        <f>IF(AX$11&gt;T,"",IF($A43&gt;AX$12,"",IF(T=AX$11,100,EXP(-IRTree!AX44*h)*((AY43+AY44)/2+cc*h))))</f>
        <v/>
      </c>
      <c r="AY43" s="3" t="str">
        <f>IF(AY$11&gt;T,"",IF($A43&gt;AY$12,"",IF(T=AY$11,100,EXP(-IRTree!AY44*h)*((AZ43+AZ44)/2+cc*h))))</f>
        <v/>
      </c>
      <c r="AZ43" s="3" t="str">
        <f>IF(AZ$11&gt;T,"",IF($A43&gt;AZ$12,"",IF(T=AZ$11,100,EXP(-IRTree!AZ44*h)*((BA43+BA44)/2+cc*h))))</f>
        <v/>
      </c>
      <c r="BA43" s="3" t="str">
        <f>IF(BA$11&gt;T,"",IF($A43&gt;BA$12,"",IF(T=BA$11,100,EXP(-IRTree!BA44*h)*((BB43+BB44)/2+cc*h))))</f>
        <v/>
      </c>
      <c r="BB43" s="3" t="str">
        <f>IF(BB$11&gt;T,"",IF($A43&gt;BB$12,"",IF(T=BB$11,100,EXP(-IRTree!BB44*h)*((BC43+BC44)/2+cc*h))))</f>
        <v/>
      </c>
      <c r="BC43" s="3" t="str">
        <f>IF(BC$11&gt;T,"",IF($A43&gt;BC$12,"",IF(T=BC$11,100,EXP(-IRTree!BC44*h)*((BD43+BD44)/2+cc*h))))</f>
        <v/>
      </c>
      <c r="BD43" s="3" t="str">
        <f>IF(BD$11&gt;T,"",IF($A43&gt;BD$12,"",IF(T=BD$11,100,EXP(-IRTree!BD44*h)*((BE43+BE44)/2+cc*h))))</f>
        <v/>
      </c>
      <c r="BE43" s="3" t="str">
        <f>IF(BE$11&gt;T,"",IF($A43&gt;BE$12,"",IF(T=BE$11,100,EXP(-IRTree!BE44*h)*((BF43+BF44)/2+cc*h))))</f>
        <v/>
      </c>
      <c r="BF43" s="3" t="str">
        <f>IF(BF$11&gt;T,"",IF($A43&gt;BF$12,"",IF(T=BF$11,100,EXP(-IRTree!BF44*h)*((BG43+BG44)/2+cc*h))))</f>
        <v/>
      </c>
      <c r="BG43" s="3" t="str">
        <f>IF(BG$11&gt;T,"",IF($A43&gt;BG$12,"",IF(T=BG$11,100,EXP(-IRTree!BG44*h)*((BH43+BH44)/2+cc*h))))</f>
        <v/>
      </c>
      <c r="BH43" s="3" t="str">
        <f>IF(BH$11&gt;T,"",IF($A43&gt;BH$12,"",IF(T=BH$11,100,EXP(-IRTree!BH44*h)*((BI43+BI44)/2+cc*h))))</f>
        <v/>
      </c>
      <c r="BI43" s="3" t="str">
        <f>IF(BI$11&gt;T,"",IF($A43&gt;BI$12,"",IF(T=BI$11,100,EXP(-IRTree!BI44*h)*((BJ43+BJ44)/2+cc*h))))</f>
        <v/>
      </c>
      <c r="BJ43" s="3" t="str">
        <f>IF(BJ$11&gt;T,"",IF($A43&gt;BJ$12,"",IF(T=BJ$11,100,EXP(-IRTree!BJ44*h)*((BK43+BK44)/2+cc*h))))</f>
        <v/>
      </c>
    </row>
    <row r="44" spans="1:62">
      <c r="A44" s="12">
        <f t="shared" si="2"/>
        <v>31</v>
      </c>
      <c r="B44" s="3" t="str">
        <f>IF(B$11&gt;T,"",IF($A44&gt;B$12,"",IF(T=B$11,100,EXP(-IRTree!B45*h)*((C44+C45)/2+cc*h))))</f>
        <v/>
      </c>
      <c r="C44" s="3" t="str">
        <f>IF(C$11&gt;T,"",IF($A44&gt;C$12,"",IF(T=C$11,100,EXP(-IRTree!C45*h)*((D44+D45)/2+cc*h))))</f>
        <v/>
      </c>
      <c r="D44" s="3" t="str">
        <f>IF(D$11&gt;T,"",IF($A44&gt;D$12,"",IF(T=D$11,100,EXP(-IRTree!D45*h)*((E44+E45)/2+cc*h))))</f>
        <v/>
      </c>
      <c r="E44" s="3" t="str">
        <f>IF(E$11&gt;T,"",IF($A44&gt;E$12,"",IF(T=E$11,100,EXP(-IRTree!E45*h)*((F44+F45)/2+cc*h))))</f>
        <v/>
      </c>
      <c r="F44" s="3" t="str">
        <f>IF(F$11&gt;T,"",IF($A44&gt;F$12,"",IF(T=F$11,100,EXP(-IRTree!F45*h)*((G44+G45)/2+cc*h))))</f>
        <v/>
      </c>
      <c r="G44" s="3" t="str">
        <f>IF(G$11&gt;T,"",IF($A44&gt;G$12,"",IF(T=G$11,100,EXP(-IRTree!G45*h)*((H44+H45)/2+cc*h))))</f>
        <v/>
      </c>
      <c r="H44" s="3" t="str">
        <f>IF(H$11&gt;T,"",IF($A44&gt;H$12,"",IF(T=H$11,100,EXP(-IRTree!H45*h)*((I44+I45)/2+cc*h))))</f>
        <v/>
      </c>
      <c r="I44" s="3" t="str">
        <f>IF(I$11&gt;T,"",IF($A44&gt;I$12,"",IF(T=I$11,100,EXP(-IRTree!I45*h)*((J44+J45)/2+cc*h))))</f>
        <v/>
      </c>
      <c r="J44" s="3" t="str">
        <f>IF(J$11&gt;T,"",IF($A44&gt;J$12,"",IF(T=J$11,100,EXP(-IRTree!J45*h)*((K44+K45)/2+cc*h))))</f>
        <v/>
      </c>
      <c r="K44" s="3" t="str">
        <f>IF(K$11&gt;T,"",IF($A44&gt;K$12,"",IF(T=K$11,100,EXP(-IRTree!K45*h)*((L44+L45)/2+cc*h))))</f>
        <v/>
      </c>
      <c r="L44" s="3" t="str">
        <f>IF(L$11&gt;T,"",IF($A44&gt;L$12,"",IF(T=L$11,100,EXP(-IRTree!L45*h)*((M44+M45)/2+cc*h))))</f>
        <v/>
      </c>
      <c r="M44" s="3" t="str">
        <f>IF(M$11&gt;T,"",IF($A44&gt;M$12,"",IF(T=M$11,100,EXP(-IRTree!M45*h)*((N44+N45)/2+cc*h))))</f>
        <v/>
      </c>
      <c r="N44" s="3" t="str">
        <f>IF(N$11&gt;T,"",IF($A44&gt;N$12,"",IF(T=N$11,100,EXP(-IRTree!N45*h)*((O44+O45)/2+cc*h))))</f>
        <v/>
      </c>
      <c r="O44" s="3" t="str">
        <f>IF(O$11&gt;T,"",IF($A44&gt;O$12,"",IF(T=O$11,100,EXP(-IRTree!O45*h)*((P44+P45)/2+cc*h))))</f>
        <v/>
      </c>
      <c r="P44" s="3" t="str">
        <f>IF(P$11&gt;T,"",IF($A44&gt;P$12,"",IF(T=P$11,100,EXP(-IRTree!P45*h)*((Q44+Q45)/2+cc*h))))</f>
        <v/>
      </c>
      <c r="Q44" s="3" t="str">
        <f>IF(Q$11&gt;T,"",IF($A44&gt;Q$12,"",IF(T=Q$11,100,EXP(-IRTree!Q45*h)*((R44+R45)/2+cc*h))))</f>
        <v/>
      </c>
      <c r="R44" s="3" t="str">
        <f>IF(R$11&gt;T,"",IF($A44&gt;R$12,"",IF(T=R$11,100,EXP(-IRTree!R45*h)*((S44+S45)/2+cc*h))))</f>
        <v/>
      </c>
      <c r="S44" s="3" t="str">
        <f>IF(S$11&gt;T,"",IF($A44&gt;S$12,"",IF(T=S$11,100,EXP(-IRTree!S45*h)*((T44+T45)/2+cc*h))))</f>
        <v/>
      </c>
      <c r="T44" s="3" t="str">
        <f>IF(T$11&gt;T,"",IF($A44&gt;T$12,"",IF(T=T$11,100,EXP(-IRTree!T45*h)*((U44+U45)/2+cc*h))))</f>
        <v/>
      </c>
      <c r="U44" s="3" t="str">
        <f>IF(U$11&gt;T,"",IF($A44&gt;U$12,"",IF(T=U$11,100,EXP(-IRTree!U45*h)*((V44+V45)/2+cc*h))))</f>
        <v/>
      </c>
      <c r="V44" s="3" t="str">
        <f>IF(V$11&gt;T,"",IF($A44&gt;V$12,"",IF(T=V$11,100,EXP(-IRTree!V45*h)*((W44+W45)/2+cc*h))))</f>
        <v/>
      </c>
      <c r="W44" s="3" t="str">
        <f>IF(W$11&gt;T,"",IF($A44&gt;W$12,"",IF(T=W$11,100,EXP(-IRTree!W45*h)*((X44+X45)/2+cc*h))))</f>
        <v/>
      </c>
      <c r="X44" s="3" t="str">
        <f>IF(X$11&gt;T,"",IF($A44&gt;X$12,"",IF(T=X$11,100,EXP(-IRTree!X45*h)*((Y44+Y45)/2+cc*h))))</f>
        <v/>
      </c>
      <c r="Y44" s="3" t="str">
        <f>IF(Y$11&gt;T,"",IF($A44&gt;Y$12,"",IF(T=Y$11,100,EXP(-IRTree!Y45*h)*((Z44+Z45)/2+cc*h))))</f>
        <v/>
      </c>
      <c r="Z44" s="3" t="str">
        <f>IF(Z$11&gt;T,"",IF($A44&gt;Z$12,"",IF(T=Z$11,100,EXP(-IRTree!Z45*h)*((AA44+AA45)/2+cc*h))))</f>
        <v/>
      </c>
      <c r="AA44" s="3" t="str">
        <f>IF(AA$11&gt;T,"",IF($A44&gt;AA$12,"",IF(T=AA$11,100,EXP(-IRTree!AA45*h)*((AB44+AB45)/2+cc*h))))</f>
        <v/>
      </c>
      <c r="AB44" s="3" t="str">
        <f>IF(AB$11&gt;T,"",IF($A44&gt;AB$12,"",IF(T=AB$11,100,EXP(-IRTree!AB45*h)*((AC44+AC45)/2+cc*h))))</f>
        <v/>
      </c>
      <c r="AC44" s="3" t="str">
        <f>IF(AC$11&gt;T,"",IF($A44&gt;AC$12,"",IF(T=AC$11,100,EXP(-IRTree!AC45*h)*((AD44+AD45)/2+cc*h))))</f>
        <v/>
      </c>
      <c r="AD44" s="3" t="str">
        <f>IF(AD$11&gt;T,"",IF($A44&gt;AD$12,"",IF(T=AD$11,100,EXP(-IRTree!AD45*h)*((AE44+AE45)/2+cc*h))))</f>
        <v/>
      </c>
      <c r="AE44" s="3" t="str">
        <f>IF(AE$11&gt;T,"",IF($A44&gt;AE$12,"",IF(T=AE$11,100,EXP(-IRTree!AE45*h)*((AF44+AF45)/2+cc*h))))</f>
        <v/>
      </c>
      <c r="AF44" s="3" t="str">
        <f>IF(AF$11&gt;T,"",IF($A44&gt;AF$12,"",IF(T=AF$11,100,EXP(-IRTree!AF45*h)*((AG44+AG45)/2+cc*h))))</f>
        <v/>
      </c>
      <c r="AG44" s="3">
        <f>IF(AG$11&gt;T,"",IF($A44&gt;AG$12,"",IF(T=AG$11,100,EXP(-IRTree!AG45*h)*((AH44+AH45)/2+cc*h))))</f>
        <v>99.372972865326631</v>
      </c>
      <c r="AH44" s="3">
        <f>IF(AH$11&gt;T,"",IF($A44&gt;AH$12,"",IF(T=AH$11,100,EXP(-IRTree!AH45*h)*((AI44+AI45)/2+cc*h))))</f>
        <v>99.361197656876385</v>
      </c>
      <c r="AI44" s="3">
        <f>IF(AI$11&gt;T,"",IF($A44&gt;AI$12,"",IF(T=AI$11,100,EXP(-IRTree!AI45*h)*((AJ44+AJ45)/2+cc*h))))</f>
        <v>99.356625882969396</v>
      </c>
      <c r="AJ44" s="3">
        <f>IF(AJ$11&gt;T,"",IF($A44&gt;AJ$12,"",IF(T=AJ$11,100,EXP(-IRTree!AJ45*h)*((AK44+AK45)/2+cc*h))))</f>
        <v>99.366481430799354</v>
      </c>
      <c r="AK44" s="3">
        <f>IF(AK$11&gt;T,"",IF($A44&gt;AK$12,"",IF(T=AK$11,100,EXP(-IRTree!AK45*h)*((AL44+AL45)/2+cc*h))))</f>
        <v>99.393162807554617</v>
      </c>
      <c r="AL44" s="3">
        <f>IF(AL$11&gt;T,"",IF($A44&gt;AL$12,"",IF(T=AL$11,100,EXP(-IRTree!AL45*h)*((AM44+AM45)/2+cc*h))))</f>
        <v>99.443920020477421</v>
      </c>
      <c r="AM44" s="3">
        <f>IF(AM$11&gt;T,"",IF($A44&gt;AM$12,"",IF(T=AM$11,100,EXP(-IRTree!AM45*h)*((AN44+AN45)/2+cc*h))))</f>
        <v>99.516996656049159</v>
      </c>
      <c r="AN44" s="3">
        <f>IF(AN$11&gt;T,"",IF($A44&gt;AN$12,"",IF(T=AN$11,100,EXP(-IRTree!AN45*h)*((AO44+AO45)/2+cc*h))))</f>
        <v>99.628231099676583</v>
      </c>
      <c r="AO44" s="3">
        <f>IF(AO$11&gt;T,"",IF($A44&gt;AO$12,"",IF(T=AO$11,100,EXP(-IRTree!AO45*h)*((AP44+AP45)/2+cc*h))))</f>
        <v>99.786221153436273</v>
      </c>
      <c r="AP44" s="3">
        <f>IF(AP$11&gt;T,"",IF($A44&gt;AP$12,"",IF(T=AP$11,100,EXP(-IRTree!AP45*h)*((AQ44+AQ45)/2+cc*h))))</f>
        <v>100</v>
      </c>
      <c r="AQ44" s="3" t="str">
        <f>IF(AQ$11&gt;T,"",IF($A44&gt;AQ$12,"",IF(T=AQ$11,100,EXP(-IRTree!AQ45*h)*((AR44+AR45)/2+cc*h))))</f>
        <v/>
      </c>
      <c r="AR44" s="3" t="str">
        <f>IF(AR$11&gt;T,"",IF($A44&gt;AR$12,"",IF(T=AR$11,100,EXP(-IRTree!AR45*h)*((AS44+AS45)/2+cc*h))))</f>
        <v/>
      </c>
      <c r="AS44" s="3" t="str">
        <f>IF(AS$11&gt;T,"",IF($A44&gt;AS$12,"",IF(T=AS$11,100,EXP(-IRTree!AS45*h)*((AT44+AT45)/2+cc*h))))</f>
        <v/>
      </c>
      <c r="AT44" s="3" t="str">
        <f>IF(AT$11&gt;T,"",IF($A44&gt;AT$12,"",IF(T=AT$11,100,EXP(-IRTree!AT45*h)*((AU44+AU45)/2+cc*h))))</f>
        <v/>
      </c>
      <c r="AU44" s="3" t="str">
        <f>IF(AU$11&gt;T,"",IF($A44&gt;AU$12,"",IF(T=AU$11,100,EXP(-IRTree!AU45*h)*((AV44+AV45)/2+cc*h))))</f>
        <v/>
      </c>
      <c r="AV44" s="3" t="str">
        <f>IF(AV$11&gt;T,"",IF($A44&gt;AV$12,"",IF(T=AV$11,100,EXP(-IRTree!AV45*h)*((AW44+AW45)/2+cc*h))))</f>
        <v/>
      </c>
      <c r="AW44" s="3" t="str">
        <f>IF(AW$11&gt;T,"",IF($A44&gt;AW$12,"",IF(T=AW$11,100,EXP(-IRTree!AW45*h)*((AX44+AX45)/2+cc*h))))</f>
        <v/>
      </c>
      <c r="AX44" s="3" t="str">
        <f>IF(AX$11&gt;T,"",IF($A44&gt;AX$12,"",IF(T=AX$11,100,EXP(-IRTree!AX45*h)*((AY44+AY45)/2+cc*h))))</f>
        <v/>
      </c>
      <c r="AY44" s="3" t="str">
        <f>IF(AY$11&gt;T,"",IF($A44&gt;AY$12,"",IF(T=AY$11,100,EXP(-IRTree!AY45*h)*((AZ44+AZ45)/2+cc*h))))</f>
        <v/>
      </c>
      <c r="AZ44" s="3" t="str">
        <f>IF(AZ$11&gt;T,"",IF($A44&gt;AZ$12,"",IF(T=AZ$11,100,EXP(-IRTree!AZ45*h)*((BA44+BA45)/2+cc*h))))</f>
        <v/>
      </c>
      <c r="BA44" s="3" t="str">
        <f>IF(BA$11&gt;T,"",IF($A44&gt;BA$12,"",IF(T=BA$11,100,EXP(-IRTree!BA45*h)*((BB44+BB45)/2+cc*h))))</f>
        <v/>
      </c>
      <c r="BB44" s="3" t="str">
        <f>IF(BB$11&gt;T,"",IF($A44&gt;BB$12,"",IF(T=BB$11,100,EXP(-IRTree!BB45*h)*((BC44+BC45)/2+cc*h))))</f>
        <v/>
      </c>
      <c r="BC44" s="3" t="str">
        <f>IF(BC$11&gt;T,"",IF($A44&gt;BC$12,"",IF(T=BC$11,100,EXP(-IRTree!BC45*h)*((BD44+BD45)/2+cc*h))))</f>
        <v/>
      </c>
      <c r="BD44" s="3" t="str">
        <f>IF(BD$11&gt;T,"",IF($A44&gt;BD$12,"",IF(T=BD$11,100,EXP(-IRTree!BD45*h)*((BE44+BE45)/2+cc*h))))</f>
        <v/>
      </c>
      <c r="BE44" s="3" t="str">
        <f>IF(BE$11&gt;T,"",IF($A44&gt;BE$12,"",IF(T=BE$11,100,EXP(-IRTree!BE45*h)*((BF44+BF45)/2+cc*h))))</f>
        <v/>
      </c>
      <c r="BF44" s="3" t="str">
        <f>IF(BF$11&gt;T,"",IF($A44&gt;BF$12,"",IF(T=BF$11,100,EXP(-IRTree!BF45*h)*((BG44+BG45)/2+cc*h))))</f>
        <v/>
      </c>
      <c r="BG44" s="3" t="str">
        <f>IF(BG$11&gt;T,"",IF($A44&gt;BG$12,"",IF(T=BG$11,100,EXP(-IRTree!BG45*h)*((BH44+BH45)/2+cc*h))))</f>
        <v/>
      </c>
      <c r="BH44" s="3" t="str">
        <f>IF(BH$11&gt;T,"",IF($A44&gt;BH$12,"",IF(T=BH$11,100,EXP(-IRTree!BH45*h)*((BI44+BI45)/2+cc*h))))</f>
        <v/>
      </c>
      <c r="BI44" s="3" t="str">
        <f>IF(BI$11&gt;T,"",IF($A44&gt;BI$12,"",IF(T=BI$11,100,EXP(-IRTree!BI45*h)*((BJ44+BJ45)/2+cc*h))))</f>
        <v/>
      </c>
      <c r="BJ44" s="3" t="str">
        <f>IF(BJ$11&gt;T,"",IF($A44&gt;BJ$12,"",IF(T=BJ$11,100,EXP(-IRTree!BJ45*h)*((BK44+BK45)/2+cc*h))))</f>
        <v/>
      </c>
    </row>
    <row r="45" spans="1:62">
      <c r="A45" s="12">
        <f t="shared" si="2"/>
        <v>32</v>
      </c>
      <c r="B45" s="3" t="str">
        <f>IF(B$11&gt;T,"",IF($A45&gt;B$12,"",IF(T=B$11,100,EXP(-IRTree!B46*h)*((C45+C46)/2+cc*h))))</f>
        <v/>
      </c>
      <c r="C45" s="3" t="str">
        <f>IF(C$11&gt;T,"",IF($A45&gt;C$12,"",IF(T=C$11,100,EXP(-IRTree!C46*h)*((D45+D46)/2+cc*h))))</f>
        <v/>
      </c>
      <c r="D45" s="3" t="str">
        <f>IF(D$11&gt;T,"",IF($A45&gt;D$12,"",IF(T=D$11,100,EXP(-IRTree!D46*h)*((E45+E46)/2+cc*h))))</f>
        <v/>
      </c>
      <c r="E45" s="3" t="str">
        <f>IF(E$11&gt;T,"",IF($A45&gt;E$12,"",IF(T=E$11,100,EXP(-IRTree!E46*h)*((F45+F46)/2+cc*h))))</f>
        <v/>
      </c>
      <c r="F45" s="3" t="str">
        <f>IF(F$11&gt;T,"",IF($A45&gt;F$12,"",IF(T=F$11,100,EXP(-IRTree!F46*h)*((G45+G46)/2+cc*h))))</f>
        <v/>
      </c>
      <c r="G45" s="3" t="str">
        <f>IF(G$11&gt;T,"",IF($A45&gt;G$12,"",IF(T=G$11,100,EXP(-IRTree!G46*h)*((H45+H46)/2+cc*h))))</f>
        <v/>
      </c>
      <c r="H45" s="3" t="str">
        <f>IF(H$11&gt;T,"",IF($A45&gt;H$12,"",IF(T=H$11,100,EXP(-IRTree!H46*h)*((I45+I46)/2+cc*h))))</f>
        <v/>
      </c>
      <c r="I45" s="3" t="str">
        <f>IF(I$11&gt;T,"",IF($A45&gt;I$12,"",IF(T=I$11,100,EXP(-IRTree!I46*h)*((J45+J46)/2+cc*h))))</f>
        <v/>
      </c>
      <c r="J45" s="3" t="str">
        <f>IF(J$11&gt;T,"",IF($A45&gt;J$12,"",IF(T=J$11,100,EXP(-IRTree!J46*h)*((K45+K46)/2+cc*h))))</f>
        <v/>
      </c>
      <c r="K45" s="3" t="str">
        <f>IF(K$11&gt;T,"",IF($A45&gt;K$12,"",IF(T=K$11,100,EXP(-IRTree!K46*h)*((L45+L46)/2+cc*h))))</f>
        <v/>
      </c>
      <c r="L45" s="3" t="str">
        <f>IF(L$11&gt;T,"",IF($A45&gt;L$12,"",IF(T=L$11,100,EXP(-IRTree!L46*h)*((M45+M46)/2+cc*h))))</f>
        <v/>
      </c>
      <c r="M45" s="3" t="str">
        <f>IF(M$11&gt;T,"",IF($A45&gt;M$12,"",IF(T=M$11,100,EXP(-IRTree!M46*h)*((N45+N46)/2+cc*h))))</f>
        <v/>
      </c>
      <c r="N45" s="3" t="str">
        <f>IF(N$11&gt;T,"",IF($A45&gt;N$12,"",IF(T=N$11,100,EXP(-IRTree!N46*h)*((O45+O46)/2+cc*h))))</f>
        <v/>
      </c>
      <c r="O45" s="3" t="str">
        <f>IF(O$11&gt;T,"",IF($A45&gt;O$12,"",IF(T=O$11,100,EXP(-IRTree!O46*h)*((P45+P46)/2+cc*h))))</f>
        <v/>
      </c>
      <c r="P45" s="3" t="str">
        <f>IF(P$11&gt;T,"",IF($A45&gt;P$12,"",IF(T=P$11,100,EXP(-IRTree!P46*h)*((Q45+Q46)/2+cc*h))))</f>
        <v/>
      </c>
      <c r="Q45" s="3" t="str">
        <f>IF(Q$11&gt;T,"",IF($A45&gt;Q$12,"",IF(T=Q$11,100,EXP(-IRTree!Q46*h)*((R45+R46)/2+cc*h))))</f>
        <v/>
      </c>
      <c r="R45" s="3" t="str">
        <f>IF(R$11&gt;T,"",IF($A45&gt;R$12,"",IF(T=R$11,100,EXP(-IRTree!R46*h)*((S45+S46)/2+cc*h))))</f>
        <v/>
      </c>
      <c r="S45" s="3" t="str">
        <f>IF(S$11&gt;T,"",IF($A45&gt;S$12,"",IF(T=S$11,100,EXP(-IRTree!S46*h)*((T45+T46)/2+cc*h))))</f>
        <v/>
      </c>
      <c r="T45" s="3" t="str">
        <f>IF(T$11&gt;T,"",IF($A45&gt;T$12,"",IF(T=T$11,100,EXP(-IRTree!T46*h)*((U45+U46)/2+cc*h))))</f>
        <v/>
      </c>
      <c r="U45" s="3" t="str">
        <f>IF(U$11&gt;T,"",IF($A45&gt;U$12,"",IF(T=U$11,100,EXP(-IRTree!U46*h)*((V45+V46)/2+cc*h))))</f>
        <v/>
      </c>
      <c r="V45" s="3" t="str">
        <f>IF(V$11&gt;T,"",IF($A45&gt;V$12,"",IF(T=V$11,100,EXP(-IRTree!V46*h)*((W45+W46)/2+cc*h))))</f>
        <v/>
      </c>
      <c r="W45" s="3" t="str">
        <f>IF(W$11&gt;T,"",IF($A45&gt;W$12,"",IF(T=W$11,100,EXP(-IRTree!W46*h)*((X45+X46)/2+cc*h))))</f>
        <v/>
      </c>
      <c r="X45" s="3" t="str">
        <f>IF(X$11&gt;T,"",IF($A45&gt;X$12,"",IF(T=X$11,100,EXP(-IRTree!X46*h)*((Y45+Y46)/2+cc*h))))</f>
        <v/>
      </c>
      <c r="Y45" s="3" t="str">
        <f>IF(Y$11&gt;T,"",IF($A45&gt;Y$12,"",IF(T=Y$11,100,EXP(-IRTree!Y46*h)*((Z45+Z46)/2+cc*h))))</f>
        <v/>
      </c>
      <c r="Z45" s="3" t="str">
        <f>IF(Z$11&gt;T,"",IF($A45&gt;Z$12,"",IF(T=Z$11,100,EXP(-IRTree!Z46*h)*((AA45+AA46)/2+cc*h))))</f>
        <v/>
      </c>
      <c r="AA45" s="3" t="str">
        <f>IF(AA$11&gt;T,"",IF($A45&gt;AA$12,"",IF(T=AA$11,100,EXP(-IRTree!AA46*h)*((AB45+AB46)/2+cc*h))))</f>
        <v/>
      </c>
      <c r="AB45" s="3" t="str">
        <f>IF(AB$11&gt;T,"",IF($A45&gt;AB$12,"",IF(T=AB$11,100,EXP(-IRTree!AB46*h)*((AC45+AC46)/2+cc*h))))</f>
        <v/>
      </c>
      <c r="AC45" s="3" t="str">
        <f>IF(AC$11&gt;T,"",IF($A45&gt;AC$12,"",IF(T=AC$11,100,EXP(-IRTree!AC46*h)*((AD45+AD46)/2+cc*h))))</f>
        <v/>
      </c>
      <c r="AD45" s="3" t="str">
        <f>IF(AD$11&gt;T,"",IF($A45&gt;AD$12,"",IF(T=AD$11,100,EXP(-IRTree!AD46*h)*((AE45+AE46)/2+cc*h))))</f>
        <v/>
      </c>
      <c r="AE45" s="3" t="str">
        <f>IF(AE$11&gt;T,"",IF($A45&gt;AE$12,"",IF(T=AE$11,100,EXP(-IRTree!AE46*h)*((AF45+AF46)/2+cc*h))))</f>
        <v/>
      </c>
      <c r="AF45" s="3" t="str">
        <f>IF(AF$11&gt;T,"",IF($A45&gt;AF$12,"",IF(T=AF$11,100,EXP(-IRTree!AF46*h)*((AG45+AG46)/2+cc*h))))</f>
        <v/>
      </c>
      <c r="AG45" s="3" t="str">
        <f>IF(AG$11&gt;T,"",IF($A45&gt;AG$12,"",IF(T=AG$11,100,EXP(-IRTree!AG46*h)*((AH45+AH46)/2+cc*h))))</f>
        <v/>
      </c>
      <c r="AH45" s="3">
        <f>IF(AH$11&gt;T,"",IF($A45&gt;AH$12,"",IF(T=AH$11,100,EXP(-IRTree!AH46*h)*((AI45+AI46)/2+cc*h))))</f>
        <v>99.469633095973691</v>
      </c>
      <c r="AI45" s="3">
        <f>IF(AI$11&gt;T,"",IF($A45&gt;AI$12,"",IF(T=AI$11,100,EXP(-IRTree!AI46*h)*((AJ45+AJ46)/2+cc*h))))</f>
        <v>99.464598729840574</v>
      </c>
      <c r="AJ45" s="3">
        <f>IF(AJ$11&gt;T,"",IF($A45&gt;AJ$12,"",IF(T=AJ$11,100,EXP(-IRTree!AJ46*h)*((AK45+AK46)/2+cc*h))))</f>
        <v>99.471499546590294</v>
      </c>
      <c r="AK45" s="3">
        <f>IF(AK$11&gt;T,"",IF($A45&gt;AK$12,"",IF(T=AK$11,100,EXP(-IRTree!AK46*h)*((AL45+AL46)/2+cc*h))))</f>
        <v>99.49238211372861</v>
      </c>
      <c r="AL45" s="3">
        <f>IF(AL$11&gt;T,"",IF($A45&gt;AL$12,"",IF(T=AL$11,100,EXP(-IRTree!AL46*h)*((AM45+AM46)/2+cc*h))))</f>
        <v>99.533541682770462</v>
      </c>
      <c r="AM45" s="3">
        <f>IF(AM$11&gt;T,"",IF($A45&gt;AM$12,"",IF(T=AM$11,100,EXP(-IRTree!AM46*h)*((AN45+AN46)/2+cc*h))))</f>
        <v>99.593358637095321</v>
      </c>
      <c r="AN45" s="3">
        <f>IF(AN$11&gt;T,"",IF($A45&gt;AN$12,"",IF(T=AN$11,100,EXP(-IRTree!AN46*h)*((AO45+AO46)/2+cc*h))))</f>
        <v>99.685811407195729</v>
      </c>
      <c r="AO45" s="3">
        <f>IF(AO$11&gt;T,"",IF($A45&gt;AO$12,"",IF(T=AO$11,100,EXP(-IRTree!AO46*h)*((AP45+AP46)/2+cc*h))))</f>
        <v>99.818629152748429</v>
      </c>
      <c r="AP45" s="3">
        <f>IF(AP$11&gt;T,"",IF($A45&gt;AP$12,"",IF(T=AP$11,100,EXP(-IRTree!AP46*h)*((AQ45+AQ46)/2+cc*h))))</f>
        <v>100</v>
      </c>
      <c r="AQ45" s="3" t="str">
        <f>IF(AQ$11&gt;T,"",IF($A45&gt;AQ$12,"",IF(T=AQ$11,100,EXP(-IRTree!AQ46*h)*((AR45+AR46)/2+cc*h))))</f>
        <v/>
      </c>
      <c r="AR45" s="3" t="str">
        <f>IF(AR$11&gt;T,"",IF($A45&gt;AR$12,"",IF(T=AR$11,100,EXP(-IRTree!AR46*h)*((AS45+AS46)/2+cc*h))))</f>
        <v/>
      </c>
      <c r="AS45" s="3" t="str">
        <f>IF(AS$11&gt;T,"",IF($A45&gt;AS$12,"",IF(T=AS$11,100,EXP(-IRTree!AS46*h)*((AT45+AT46)/2+cc*h))))</f>
        <v/>
      </c>
      <c r="AT45" s="3" t="str">
        <f>IF(AT$11&gt;T,"",IF($A45&gt;AT$12,"",IF(T=AT$11,100,EXP(-IRTree!AT46*h)*((AU45+AU46)/2+cc*h))))</f>
        <v/>
      </c>
      <c r="AU45" s="3" t="str">
        <f>IF(AU$11&gt;T,"",IF($A45&gt;AU$12,"",IF(T=AU$11,100,EXP(-IRTree!AU46*h)*((AV45+AV46)/2+cc*h))))</f>
        <v/>
      </c>
      <c r="AV45" s="3" t="str">
        <f>IF(AV$11&gt;T,"",IF($A45&gt;AV$12,"",IF(T=AV$11,100,EXP(-IRTree!AV46*h)*((AW45+AW46)/2+cc*h))))</f>
        <v/>
      </c>
      <c r="AW45" s="3" t="str">
        <f>IF(AW$11&gt;T,"",IF($A45&gt;AW$12,"",IF(T=AW$11,100,EXP(-IRTree!AW46*h)*((AX45+AX46)/2+cc*h))))</f>
        <v/>
      </c>
      <c r="AX45" s="3" t="str">
        <f>IF(AX$11&gt;T,"",IF($A45&gt;AX$12,"",IF(T=AX$11,100,EXP(-IRTree!AX46*h)*((AY45+AY46)/2+cc*h))))</f>
        <v/>
      </c>
      <c r="AY45" s="3" t="str">
        <f>IF(AY$11&gt;T,"",IF($A45&gt;AY$12,"",IF(T=AY$11,100,EXP(-IRTree!AY46*h)*((AZ45+AZ46)/2+cc*h))))</f>
        <v/>
      </c>
      <c r="AZ45" s="3" t="str">
        <f>IF(AZ$11&gt;T,"",IF($A45&gt;AZ$12,"",IF(T=AZ$11,100,EXP(-IRTree!AZ46*h)*((BA45+BA46)/2+cc*h))))</f>
        <v/>
      </c>
      <c r="BA45" s="3" t="str">
        <f>IF(BA$11&gt;T,"",IF($A45&gt;BA$12,"",IF(T=BA$11,100,EXP(-IRTree!BA46*h)*((BB45+BB46)/2+cc*h))))</f>
        <v/>
      </c>
      <c r="BB45" s="3" t="str">
        <f>IF(BB$11&gt;T,"",IF($A45&gt;BB$12,"",IF(T=BB$11,100,EXP(-IRTree!BB46*h)*((BC45+BC46)/2+cc*h))))</f>
        <v/>
      </c>
      <c r="BC45" s="3" t="str">
        <f>IF(BC$11&gt;T,"",IF($A45&gt;BC$12,"",IF(T=BC$11,100,EXP(-IRTree!BC46*h)*((BD45+BD46)/2+cc*h))))</f>
        <v/>
      </c>
      <c r="BD45" s="3" t="str">
        <f>IF(BD$11&gt;T,"",IF($A45&gt;BD$12,"",IF(T=BD$11,100,EXP(-IRTree!BD46*h)*((BE45+BE46)/2+cc*h))))</f>
        <v/>
      </c>
      <c r="BE45" s="3" t="str">
        <f>IF(BE$11&gt;T,"",IF($A45&gt;BE$12,"",IF(T=BE$11,100,EXP(-IRTree!BE46*h)*((BF45+BF46)/2+cc*h))))</f>
        <v/>
      </c>
      <c r="BF45" s="3" t="str">
        <f>IF(BF$11&gt;T,"",IF($A45&gt;BF$12,"",IF(T=BF$11,100,EXP(-IRTree!BF46*h)*((BG45+BG46)/2+cc*h))))</f>
        <v/>
      </c>
      <c r="BG45" s="3" t="str">
        <f>IF(BG$11&gt;T,"",IF($A45&gt;BG$12,"",IF(T=BG$11,100,EXP(-IRTree!BG46*h)*((BH45+BH46)/2+cc*h))))</f>
        <v/>
      </c>
      <c r="BH45" s="3" t="str">
        <f>IF(BH$11&gt;T,"",IF($A45&gt;BH$12,"",IF(T=BH$11,100,EXP(-IRTree!BH46*h)*((BI45+BI46)/2+cc*h))))</f>
        <v/>
      </c>
      <c r="BI45" s="3" t="str">
        <f>IF(BI$11&gt;T,"",IF($A45&gt;BI$12,"",IF(T=BI$11,100,EXP(-IRTree!BI46*h)*((BJ45+BJ46)/2+cc*h))))</f>
        <v/>
      </c>
      <c r="BJ45" s="3" t="str">
        <f>IF(BJ$11&gt;T,"",IF($A45&gt;BJ$12,"",IF(T=BJ$11,100,EXP(-IRTree!BJ46*h)*((BK45+BK46)/2+cc*h))))</f>
        <v/>
      </c>
    </row>
    <row r="46" spans="1:62">
      <c r="A46" s="12">
        <f t="shared" si="2"/>
        <v>33</v>
      </c>
      <c r="B46" s="3" t="str">
        <f>IF(B$11&gt;T,"",IF($A46&gt;B$12,"",IF(T=B$11,100,EXP(-IRTree!B47*h)*((C46+C47)/2+cc*h))))</f>
        <v/>
      </c>
      <c r="C46" s="3" t="str">
        <f>IF(C$11&gt;T,"",IF($A46&gt;C$12,"",IF(T=C$11,100,EXP(-IRTree!C47*h)*((D46+D47)/2+cc*h))))</f>
        <v/>
      </c>
      <c r="D46" s="3" t="str">
        <f>IF(D$11&gt;T,"",IF($A46&gt;D$12,"",IF(T=D$11,100,EXP(-IRTree!D47*h)*((E46+E47)/2+cc*h))))</f>
        <v/>
      </c>
      <c r="E46" s="3" t="str">
        <f>IF(E$11&gt;T,"",IF($A46&gt;E$12,"",IF(T=E$11,100,EXP(-IRTree!E47*h)*((F46+F47)/2+cc*h))))</f>
        <v/>
      </c>
      <c r="F46" s="3" t="str">
        <f>IF(F$11&gt;T,"",IF($A46&gt;F$12,"",IF(T=F$11,100,EXP(-IRTree!F47*h)*((G46+G47)/2+cc*h))))</f>
        <v/>
      </c>
      <c r="G46" s="3" t="str">
        <f>IF(G$11&gt;T,"",IF($A46&gt;G$12,"",IF(T=G$11,100,EXP(-IRTree!G47*h)*((H46+H47)/2+cc*h))))</f>
        <v/>
      </c>
      <c r="H46" s="3" t="str">
        <f>IF(H$11&gt;T,"",IF($A46&gt;H$12,"",IF(T=H$11,100,EXP(-IRTree!H47*h)*((I46+I47)/2+cc*h))))</f>
        <v/>
      </c>
      <c r="I46" s="3" t="str">
        <f>IF(I$11&gt;T,"",IF($A46&gt;I$12,"",IF(T=I$11,100,EXP(-IRTree!I47*h)*((J46+J47)/2+cc*h))))</f>
        <v/>
      </c>
      <c r="J46" s="3" t="str">
        <f>IF(J$11&gt;T,"",IF($A46&gt;J$12,"",IF(T=J$11,100,EXP(-IRTree!J47*h)*((K46+K47)/2+cc*h))))</f>
        <v/>
      </c>
      <c r="K46" s="3" t="str">
        <f>IF(K$11&gt;T,"",IF($A46&gt;K$12,"",IF(T=K$11,100,EXP(-IRTree!K47*h)*((L46+L47)/2+cc*h))))</f>
        <v/>
      </c>
      <c r="L46" s="3" t="str">
        <f>IF(L$11&gt;T,"",IF($A46&gt;L$12,"",IF(T=L$11,100,EXP(-IRTree!L47*h)*((M46+M47)/2+cc*h))))</f>
        <v/>
      </c>
      <c r="M46" s="3" t="str">
        <f>IF(M$11&gt;T,"",IF($A46&gt;M$12,"",IF(T=M$11,100,EXP(-IRTree!M47*h)*((N46+N47)/2+cc*h))))</f>
        <v/>
      </c>
      <c r="N46" s="3" t="str">
        <f>IF(N$11&gt;T,"",IF($A46&gt;N$12,"",IF(T=N$11,100,EXP(-IRTree!N47*h)*((O46+O47)/2+cc*h))))</f>
        <v/>
      </c>
      <c r="O46" s="3" t="str">
        <f>IF(O$11&gt;T,"",IF($A46&gt;O$12,"",IF(T=O$11,100,EXP(-IRTree!O47*h)*((P46+P47)/2+cc*h))))</f>
        <v/>
      </c>
      <c r="P46" s="3" t="str">
        <f>IF(P$11&gt;T,"",IF($A46&gt;P$12,"",IF(T=P$11,100,EXP(-IRTree!P47*h)*((Q46+Q47)/2+cc*h))))</f>
        <v/>
      </c>
      <c r="Q46" s="3" t="str">
        <f>IF(Q$11&gt;T,"",IF($A46&gt;Q$12,"",IF(T=Q$11,100,EXP(-IRTree!Q47*h)*((R46+R47)/2+cc*h))))</f>
        <v/>
      </c>
      <c r="R46" s="3" t="str">
        <f>IF(R$11&gt;T,"",IF($A46&gt;R$12,"",IF(T=R$11,100,EXP(-IRTree!R47*h)*((S46+S47)/2+cc*h))))</f>
        <v/>
      </c>
      <c r="S46" s="3" t="str">
        <f>IF(S$11&gt;T,"",IF($A46&gt;S$12,"",IF(T=S$11,100,EXP(-IRTree!S47*h)*((T46+T47)/2+cc*h))))</f>
        <v/>
      </c>
      <c r="T46" s="3" t="str">
        <f>IF(T$11&gt;T,"",IF($A46&gt;T$12,"",IF(T=T$11,100,EXP(-IRTree!T47*h)*((U46+U47)/2+cc*h))))</f>
        <v/>
      </c>
      <c r="U46" s="3" t="str">
        <f>IF(U$11&gt;T,"",IF($A46&gt;U$12,"",IF(T=U$11,100,EXP(-IRTree!U47*h)*((V46+V47)/2+cc*h))))</f>
        <v/>
      </c>
      <c r="V46" s="3" t="str">
        <f>IF(V$11&gt;T,"",IF($A46&gt;V$12,"",IF(T=V$11,100,EXP(-IRTree!V47*h)*((W46+W47)/2+cc*h))))</f>
        <v/>
      </c>
      <c r="W46" s="3" t="str">
        <f>IF(W$11&gt;T,"",IF($A46&gt;W$12,"",IF(T=W$11,100,EXP(-IRTree!W47*h)*((X46+X47)/2+cc*h))))</f>
        <v/>
      </c>
      <c r="X46" s="3" t="str">
        <f>IF(X$11&gt;T,"",IF($A46&gt;X$12,"",IF(T=X$11,100,EXP(-IRTree!X47*h)*((Y46+Y47)/2+cc*h))))</f>
        <v/>
      </c>
      <c r="Y46" s="3" t="str">
        <f>IF(Y$11&gt;T,"",IF($A46&gt;Y$12,"",IF(T=Y$11,100,EXP(-IRTree!Y47*h)*((Z46+Z47)/2+cc*h))))</f>
        <v/>
      </c>
      <c r="Z46" s="3" t="str">
        <f>IF(Z$11&gt;T,"",IF($A46&gt;Z$12,"",IF(T=Z$11,100,EXP(-IRTree!Z47*h)*((AA46+AA47)/2+cc*h))))</f>
        <v/>
      </c>
      <c r="AA46" s="3" t="str">
        <f>IF(AA$11&gt;T,"",IF($A46&gt;AA$12,"",IF(T=AA$11,100,EXP(-IRTree!AA47*h)*((AB46+AB47)/2+cc*h))))</f>
        <v/>
      </c>
      <c r="AB46" s="3" t="str">
        <f>IF(AB$11&gt;T,"",IF($A46&gt;AB$12,"",IF(T=AB$11,100,EXP(-IRTree!AB47*h)*((AC46+AC47)/2+cc*h))))</f>
        <v/>
      </c>
      <c r="AC46" s="3" t="str">
        <f>IF(AC$11&gt;T,"",IF($A46&gt;AC$12,"",IF(T=AC$11,100,EXP(-IRTree!AC47*h)*((AD46+AD47)/2+cc*h))))</f>
        <v/>
      </c>
      <c r="AD46" s="3" t="str">
        <f>IF(AD$11&gt;T,"",IF($A46&gt;AD$12,"",IF(T=AD$11,100,EXP(-IRTree!AD47*h)*((AE46+AE47)/2+cc*h))))</f>
        <v/>
      </c>
      <c r="AE46" s="3" t="str">
        <f>IF(AE$11&gt;T,"",IF($A46&gt;AE$12,"",IF(T=AE$11,100,EXP(-IRTree!AE47*h)*((AF46+AF47)/2+cc*h))))</f>
        <v/>
      </c>
      <c r="AF46" s="3" t="str">
        <f>IF(AF$11&gt;T,"",IF($A46&gt;AF$12,"",IF(T=AF$11,100,EXP(-IRTree!AF47*h)*((AG46+AG47)/2+cc*h))))</f>
        <v/>
      </c>
      <c r="AG46" s="3" t="str">
        <f>IF(AG$11&gt;T,"",IF($A46&gt;AG$12,"",IF(T=AG$11,100,EXP(-IRTree!AG47*h)*((AH46+AH47)/2+cc*h))))</f>
        <v/>
      </c>
      <c r="AH46" s="3" t="str">
        <f>IF(AH$11&gt;T,"",IF($A46&gt;AH$12,"",IF(T=AH$11,100,EXP(-IRTree!AH47*h)*((AI46+AI47)/2+cc*h))))</f>
        <v/>
      </c>
      <c r="AI46" s="3">
        <f>IF(AI$11&gt;T,"",IF($A46&gt;AI$12,"",IF(T=AI$11,100,EXP(-IRTree!AI47*h)*((AJ46+AJ47)/2+cc*h))))</f>
        <v>99.554397331565625</v>
      </c>
      <c r="AJ46" s="3">
        <f>IF(AJ$11&gt;T,"",IF($A46&gt;AJ$12,"",IF(T=AJ$11,100,EXP(-IRTree!AJ47*h)*((AK46+AK47)/2+cc*h))))</f>
        <v>99.559073609168635</v>
      </c>
      <c r="AK46" s="3">
        <f>IF(AK$11&gt;T,"",IF($A46&gt;AK$12,"",IF(T=AK$11,100,EXP(-IRTree!AK47*h)*((AL46+AL47)/2+cc*h))))</f>
        <v>99.575360278476793</v>
      </c>
      <c r="AL46" s="3">
        <f>IF(AL$11&gt;T,"",IF($A46&gt;AL$12,"",IF(T=AL$11,100,EXP(-IRTree!AL47*h)*((AM46+AM47)/2+cc*h))))</f>
        <v>99.608710093402834</v>
      </c>
      <c r="AM46" s="3">
        <f>IF(AM$11&gt;T,"",IF($A46&gt;AM$12,"",IF(T=AM$11,100,EXP(-IRTree!AM47*h)*((AN46+AN47)/2+cc*h))))</f>
        <v>99.657651455757303</v>
      </c>
      <c r="AN46" s="3">
        <f>IF(AN$11&gt;T,"",IF($A46&gt;AN$12,"",IF(T=AN$11,100,EXP(-IRTree!AN47*h)*((AO46+AO47)/2+cc*h))))</f>
        <v>99.734480628296694</v>
      </c>
      <c r="AO46" s="3">
        <f>IF(AO$11&gt;T,"",IF($A46&gt;AO$12,"",IF(T=AO$11,100,EXP(-IRTree!AO47*h)*((AP46+AP47)/2+cc*h))))</f>
        <v>99.846128020297158</v>
      </c>
      <c r="AP46" s="3">
        <f>IF(AP$11&gt;T,"",IF($A46&gt;AP$12,"",IF(T=AP$11,100,EXP(-IRTree!AP47*h)*((AQ46+AQ47)/2+cc*h))))</f>
        <v>100</v>
      </c>
      <c r="AQ46" s="3" t="str">
        <f>IF(AQ$11&gt;T,"",IF($A46&gt;AQ$12,"",IF(T=AQ$11,100,EXP(-IRTree!AQ47*h)*((AR46+AR47)/2+cc*h))))</f>
        <v/>
      </c>
      <c r="AR46" s="3" t="str">
        <f>IF(AR$11&gt;T,"",IF($A46&gt;AR$12,"",IF(T=AR$11,100,EXP(-IRTree!AR47*h)*((AS46+AS47)/2+cc*h))))</f>
        <v/>
      </c>
      <c r="AS46" s="3" t="str">
        <f>IF(AS$11&gt;T,"",IF($A46&gt;AS$12,"",IF(T=AS$11,100,EXP(-IRTree!AS47*h)*((AT46+AT47)/2+cc*h))))</f>
        <v/>
      </c>
      <c r="AT46" s="3" t="str">
        <f>IF(AT$11&gt;T,"",IF($A46&gt;AT$12,"",IF(T=AT$11,100,EXP(-IRTree!AT47*h)*((AU46+AU47)/2+cc*h))))</f>
        <v/>
      </c>
      <c r="AU46" s="3" t="str">
        <f>IF(AU$11&gt;T,"",IF($A46&gt;AU$12,"",IF(T=AU$11,100,EXP(-IRTree!AU47*h)*((AV46+AV47)/2+cc*h))))</f>
        <v/>
      </c>
      <c r="AV46" s="3" t="str">
        <f>IF(AV$11&gt;T,"",IF($A46&gt;AV$12,"",IF(T=AV$11,100,EXP(-IRTree!AV47*h)*((AW46+AW47)/2+cc*h))))</f>
        <v/>
      </c>
      <c r="AW46" s="3" t="str">
        <f>IF(AW$11&gt;T,"",IF($A46&gt;AW$12,"",IF(T=AW$11,100,EXP(-IRTree!AW47*h)*((AX46+AX47)/2+cc*h))))</f>
        <v/>
      </c>
      <c r="AX46" s="3" t="str">
        <f>IF(AX$11&gt;T,"",IF($A46&gt;AX$12,"",IF(T=AX$11,100,EXP(-IRTree!AX47*h)*((AY46+AY47)/2+cc*h))))</f>
        <v/>
      </c>
      <c r="AY46" s="3" t="str">
        <f>IF(AY$11&gt;T,"",IF($A46&gt;AY$12,"",IF(T=AY$11,100,EXP(-IRTree!AY47*h)*((AZ46+AZ47)/2+cc*h))))</f>
        <v/>
      </c>
      <c r="AZ46" s="3" t="str">
        <f>IF(AZ$11&gt;T,"",IF($A46&gt;AZ$12,"",IF(T=AZ$11,100,EXP(-IRTree!AZ47*h)*((BA46+BA47)/2+cc*h))))</f>
        <v/>
      </c>
      <c r="BA46" s="3" t="str">
        <f>IF(BA$11&gt;T,"",IF($A46&gt;BA$12,"",IF(T=BA$11,100,EXP(-IRTree!BA47*h)*((BB46+BB47)/2+cc*h))))</f>
        <v/>
      </c>
      <c r="BB46" s="3" t="str">
        <f>IF(BB$11&gt;T,"",IF($A46&gt;BB$12,"",IF(T=BB$11,100,EXP(-IRTree!BB47*h)*((BC46+BC47)/2+cc*h))))</f>
        <v/>
      </c>
      <c r="BC46" s="3" t="str">
        <f>IF(BC$11&gt;T,"",IF($A46&gt;BC$12,"",IF(T=BC$11,100,EXP(-IRTree!BC47*h)*((BD46+BD47)/2+cc*h))))</f>
        <v/>
      </c>
      <c r="BD46" s="3" t="str">
        <f>IF(BD$11&gt;T,"",IF($A46&gt;BD$12,"",IF(T=BD$11,100,EXP(-IRTree!BD47*h)*((BE46+BE47)/2+cc*h))))</f>
        <v/>
      </c>
      <c r="BE46" s="3" t="str">
        <f>IF(BE$11&gt;T,"",IF($A46&gt;BE$12,"",IF(T=BE$11,100,EXP(-IRTree!BE47*h)*((BF46+BF47)/2+cc*h))))</f>
        <v/>
      </c>
      <c r="BF46" s="3" t="str">
        <f>IF(BF$11&gt;T,"",IF($A46&gt;BF$12,"",IF(T=BF$11,100,EXP(-IRTree!BF47*h)*((BG46+BG47)/2+cc*h))))</f>
        <v/>
      </c>
      <c r="BG46" s="3" t="str">
        <f>IF(BG$11&gt;T,"",IF($A46&gt;BG$12,"",IF(T=BG$11,100,EXP(-IRTree!BG47*h)*((BH46+BH47)/2+cc*h))))</f>
        <v/>
      </c>
      <c r="BH46" s="3" t="str">
        <f>IF(BH$11&gt;T,"",IF($A46&gt;BH$12,"",IF(T=BH$11,100,EXP(-IRTree!BH47*h)*((BI46+BI47)/2+cc*h))))</f>
        <v/>
      </c>
      <c r="BI46" s="3" t="str">
        <f>IF(BI$11&gt;T,"",IF($A46&gt;BI$12,"",IF(T=BI$11,100,EXP(-IRTree!BI47*h)*((BJ46+BJ47)/2+cc*h))))</f>
        <v/>
      </c>
      <c r="BJ46" s="3" t="str">
        <f>IF(BJ$11&gt;T,"",IF($A46&gt;BJ$12,"",IF(T=BJ$11,100,EXP(-IRTree!BJ47*h)*((BK46+BK47)/2+cc*h))))</f>
        <v/>
      </c>
    </row>
    <row r="47" spans="1:62">
      <c r="A47" s="12">
        <f t="shared" si="2"/>
        <v>34</v>
      </c>
      <c r="B47" s="3" t="str">
        <f>IF(B$11&gt;T,"",IF($A47&gt;B$12,"",IF(T=B$11,100,EXP(-IRTree!B48*h)*((C47+C48)/2+cc*h))))</f>
        <v/>
      </c>
      <c r="C47" s="3" t="str">
        <f>IF(C$11&gt;T,"",IF($A47&gt;C$12,"",IF(T=C$11,100,EXP(-IRTree!C48*h)*((D47+D48)/2+cc*h))))</f>
        <v/>
      </c>
      <c r="D47" s="3" t="str">
        <f>IF(D$11&gt;T,"",IF($A47&gt;D$12,"",IF(T=D$11,100,EXP(-IRTree!D48*h)*((E47+E48)/2+cc*h))))</f>
        <v/>
      </c>
      <c r="E47" s="3" t="str">
        <f>IF(E$11&gt;T,"",IF($A47&gt;E$12,"",IF(T=E$11,100,EXP(-IRTree!E48*h)*((F47+F48)/2+cc*h))))</f>
        <v/>
      </c>
      <c r="F47" s="3" t="str">
        <f>IF(F$11&gt;T,"",IF($A47&gt;F$12,"",IF(T=F$11,100,EXP(-IRTree!F48*h)*((G47+G48)/2+cc*h))))</f>
        <v/>
      </c>
      <c r="G47" s="3" t="str">
        <f>IF(G$11&gt;T,"",IF($A47&gt;G$12,"",IF(T=G$11,100,EXP(-IRTree!G48*h)*((H47+H48)/2+cc*h))))</f>
        <v/>
      </c>
      <c r="H47" s="3" t="str">
        <f>IF(H$11&gt;T,"",IF($A47&gt;H$12,"",IF(T=H$11,100,EXP(-IRTree!H48*h)*((I47+I48)/2+cc*h))))</f>
        <v/>
      </c>
      <c r="I47" s="3" t="str">
        <f>IF(I$11&gt;T,"",IF($A47&gt;I$12,"",IF(T=I$11,100,EXP(-IRTree!I48*h)*((J47+J48)/2+cc*h))))</f>
        <v/>
      </c>
      <c r="J47" s="3" t="str">
        <f>IF(J$11&gt;T,"",IF($A47&gt;J$12,"",IF(T=J$11,100,EXP(-IRTree!J48*h)*((K47+K48)/2+cc*h))))</f>
        <v/>
      </c>
      <c r="K47" s="3" t="str">
        <f>IF(K$11&gt;T,"",IF($A47&gt;K$12,"",IF(T=K$11,100,EXP(-IRTree!K48*h)*((L47+L48)/2+cc*h))))</f>
        <v/>
      </c>
      <c r="L47" s="3" t="str">
        <f>IF(L$11&gt;T,"",IF($A47&gt;L$12,"",IF(T=L$11,100,EXP(-IRTree!L48*h)*((M47+M48)/2+cc*h))))</f>
        <v/>
      </c>
      <c r="M47" s="3" t="str">
        <f>IF(M$11&gt;T,"",IF($A47&gt;M$12,"",IF(T=M$11,100,EXP(-IRTree!M48*h)*((N47+N48)/2+cc*h))))</f>
        <v/>
      </c>
      <c r="N47" s="3" t="str">
        <f>IF(N$11&gt;T,"",IF($A47&gt;N$12,"",IF(T=N$11,100,EXP(-IRTree!N48*h)*((O47+O48)/2+cc*h))))</f>
        <v/>
      </c>
      <c r="O47" s="3" t="str">
        <f>IF(O$11&gt;T,"",IF($A47&gt;O$12,"",IF(T=O$11,100,EXP(-IRTree!O48*h)*((P47+P48)/2+cc*h))))</f>
        <v/>
      </c>
      <c r="P47" s="3" t="str">
        <f>IF(P$11&gt;T,"",IF($A47&gt;P$12,"",IF(T=P$11,100,EXP(-IRTree!P48*h)*((Q47+Q48)/2+cc*h))))</f>
        <v/>
      </c>
      <c r="Q47" s="3" t="str">
        <f>IF(Q$11&gt;T,"",IF($A47&gt;Q$12,"",IF(T=Q$11,100,EXP(-IRTree!Q48*h)*((R47+R48)/2+cc*h))))</f>
        <v/>
      </c>
      <c r="R47" s="3" t="str">
        <f>IF(R$11&gt;T,"",IF($A47&gt;R$12,"",IF(T=R$11,100,EXP(-IRTree!R48*h)*((S47+S48)/2+cc*h))))</f>
        <v/>
      </c>
      <c r="S47" s="3" t="str">
        <f>IF(S$11&gt;T,"",IF($A47&gt;S$12,"",IF(T=S$11,100,EXP(-IRTree!S48*h)*((T47+T48)/2+cc*h))))</f>
        <v/>
      </c>
      <c r="T47" s="3" t="str">
        <f>IF(T$11&gt;T,"",IF($A47&gt;T$12,"",IF(T=T$11,100,EXP(-IRTree!T48*h)*((U47+U48)/2+cc*h))))</f>
        <v/>
      </c>
      <c r="U47" s="3" t="str">
        <f>IF(U$11&gt;T,"",IF($A47&gt;U$12,"",IF(T=U$11,100,EXP(-IRTree!U48*h)*((V47+V48)/2+cc*h))))</f>
        <v/>
      </c>
      <c r="V47" s="3" t="str">
        <f>IF(V$11&gt;T,"",IF($A47&gt;V$12,"",IF(T=V$11,100,EXP(-IRTree!V48*h)*((W47+W48)/2+cc*h))))</f>
        <v/>
      </c>
      <c r="W47" s="3" t="str">
        <f>IF(W$11&gt;T,"",IF($A47&gt;W$12,"",IF(T=W$11,100,EXP(-IRTree!W48*h)*((X47+X48)/2+cc*h))))</f>
        <v/>
      </c>
      <c r="X47" s="3" t="str">
        <f>IF(X$11&gt;T,"",IF($A47&gt;X$12,"",IF(T=X$11,100,EXP(-IRTree!X48*h)*((Y47+Y48)/2+cc*h))))</f>
        <v/>
      </c>
      <c r="Y47" s="3" t="str">
        <f>IF(Y$11&gt;T,"",IF($A47&gt;Y$12,"",IF(T=Y$11,100,EXP(-IRTree!Y48*h)*((Z47+Z48)/2+cc*h))))</f>
        <v/>
      </c>
      <c r="Z47" s="3" t="str">
        <f>IF(Z$11&gt;T,"",IF($A47&gt;Z$12,"",IF(T=Z$11,100,EXP(-IRTree!Z48*h)*((AA47+AA48)/2+cc*h))))</f>
        <v/>
      </c>
      <c r="AA47" s="3" t="str">
        <f>IF(AA$11&gt;T,"",IF($A47&gt;AA$12,"",IF(T=AA$11,100,EXP(-IRTree!AA48*h)*((AB47+AB48)/2+cc*h))))</f>
        <v/>
      </c>
      <c r="AB47" s="3" t="str">
        <f>IF(AB$11&gt;T,"",IF($A47&gt;AB$12,"",IF(T=AB$11,100,EXP(-IRTree!AB48*h)*((AC47+AC48)/2+cc*h))))</f>
        <v/>
      </c>
      <c r="AC47" s="3" t="str">
        <f>IF(AC$11&gt;T,"",IF($A47&gt;AC$12,"",IF(T=AC$11,100,EXP(-IRTree!AC48*h)*((AD47+AD48)/2+cc*h))))</f>
        <v/>
      </c>
      <c r="AD47" s="3" t="str">
        <f>IF(AD$11&gt;T,"",IF($A47&gt;AD$12,"",IF(T=AD$11,100,EXP(-IRTree!AD48*h)*((AE47+AE48)/2+cc*h))))</f>
        <v/>
      </c>
      <c r="AE47" s="3" t="str">
        <f>IF(AE$11&gt;T,"",IF($A47&gt;AE$12,"",IF(T=AE$11,100,EXP(-IRTree!AE48*h)*((AF47+AF48)/2+cc*h))))</f>
        <v/>
      </c>
      <c r="AF47" s="3" t="str">
        <f>IF(AF$11&gt;T,"",IF($A47&gt;AF$12,"",IF(T=AF$11,100,EXP(-IRTree!AF48*h)*((AG47+AG48)/2+cc*h))))</f>
        <v/>
      </c>
      <c r="AG47" s="3" t="str">
        <f>IF(AG$11&gt;T,"",IF($A47&gt;AG$12,"",IF(T=AG$11,100,EXP(-IRTree!AG48*h)*((AH47+AH48)/2+cc*h))))</f>
        <v/>
      </c>
      <c r="AH47" s="3" t="str">
        <f>IF(AH$11&gt;T,"",IF($A47&gt;AH$12,"",IF(T=AH$11,100,EXP(-IRTree!AH48*h)*((AI47+AI48)/2+cc*h))))</f>
        <v/>
      </c>
      <c r="AI47" s="3" t="str">
        <f>IF(AI$11&gt;T,"",IF($A47&gt;AI$12,"",IF(T=AI$11,100,EXP(-IRTree!AI48*h)*((AJ47+AJ48)/2+cc*h))))</f>
        <v/>
      </c>
      <c r="AJ47" s="3">
        <f>IF(AJ$11&gt;T,"",IF($A47&gt;AJ$12,"",IF(T=AJ$11,100,EXP(-IRTree!AJ48*h)*((AK47+AK48)/2+cc*h))))</f>
        <v>99.632101578783818</v>
      </c>
      <c r="AK47" s="3">
        <f>IF(AK$11&gt;T,"",IF($A47&gt;AK$12,"",IF(T=AK$11,100,EXP(-IRTree!AK48*h)*((AL47+AL48)/2+cc*h))))</f>
        <v>99.644754024928162</v>
      </c>
      <c r="AL47" s="3">
        <f>IF(AL$11&gt;T,"",IF($A47&gt;AL$12,"",IF(T=AL$11,100,EXP(-IRTree!AL48*h)*((AM47+AM48)/2+cc*h))))</f>
        <v>99.671753786479727</v>
      </c>
      <c r="AM47" s="3">
        <f>IF(AM$11&gt;T,"",IF($A47&gt;AM$12,"",IF(T=AM$11,100,EXP(-IRTree!AM48*h)*((AN47+AN48)/2+cc*h))))</f>
        <v>99.711779339950652</v>
      </c>
      <c r="AN47" s="3">
        <f>IF(AN$11&gt;T,"",IF($A47&gt;AN$12,"",IF(T=AN$11,100,EXP(-IRTree!AN48*h)*((AO47+AO48)/2+cc*h))))</f>
        <v>99.775615180866737</v>
      </c>
      <c r="AO47" s="3">
        <f>IF(AO$11&gt;T,"",IF($A47&gt;AO$12,"",IF(T=AO$11,100,EXP(-IRTree!AO48*h)*((AP47+AP48)/2+cc*h))))</f>
        <v>99.869460324109966</v>
      </c>
      <c r="AP47" s="3">
        <f>IF(AP$11&gt;T,"",IF($A47&gt;AP$12,"",IF(T=AP$11,100,EXP(-IRTree!AP48*h)*((AQ47+AQ48)/2+cc*h))))</f>
        <v>100</v>
      </c>
      <c r="AQ47" s="3" t="str">
        <f>IF(AQ$11&gt;T,"",IF($A47&gt;AQ$12,"",IF(T=AQ$11,100,EXP(-IRTree!AQ48*h)*((AR47+AR48)/2+cc*h))))</f>
        <v/>
      </c>
      <c r="AR47" s="3" t="str">
        <f>IF(AR$11&gt;T,"",IF($A47&gt;AR$12,"",IF(T=AR$11,100,EXP(-IRTree!AR48*h)*((AS47+AS48)/2+cc*h))))</f>
        <v/>
      </c>
      <c r="AS47" s="3" t="str">
        <f>IF(AS$11&gt;T,"",IF($A47&gt;AS$12,"",IF(T=AS$11,100,EXP(-IRTree!AS48*h)*((AT47+AT48)/2+cc*h))))</f>
        <v/>
      </c>
      <c r="AT47" s="3" t="str">
        <f>IF(AT$11&gt;T,"",IF($A47&gt;AT$12,"",IF(T=AT$11,100,EXP(-IRTree!AT48*h)*((AU47+AU48)/2+cc*h))))</f>
        <v/>
      </c>
      <c r="AU47" s="3" t="str">
        <f>IF(AU$11&gt;T,"",IF($A47&gt;AU$12,"",IF(T=AU$11,100,EXP(-IRTree!AU48*h)*((AV47+AV48)/2+cc*h))))</f>
        <v/>
      </c>
      <c r="AV47" s="3" t="str">
        <f>IF(AV$11&gt;T,"",IF($A47&gt;AV$12,"",IF(T=AV$11,100,EXP(-IRTree!AV48*h)*((AW47+AW48)/2+cc*h))))</f>
        <v/>
      </c>
      <c r="AW47" s="3" t="str">
        <f>IF(AW$11&gt;T,"",IF($A47&gt;AW$12,"",IF(T=AW$11,100,EXP(-IRTree!AW48*h)*((AX47+AX48)/2+cc*h))))</f>
        <v/>
      </c>
      <c r="AX47" s="3" t="str">
        <f>IF(AX$11&gt;T,"",IF($A47&gt;AX$12,"",IF(T=AX$11,100,EXP(-IRTree!AX48*h)*((AY47+AY48)/2+cc*h))))</f>
        <v/>
      </c>
      <c r="AY47" s="3" t="str">
        <f>IF(AY$11&gt;T,"",IF($A47&gt;AY$12,"",IF(T=AY$11,100,EXP(-IRTree!AY48*h)*((AZ47+AZ48)/2+cc*h))))</f>
        <v/>
      </c>
      <c r="AZ47" s="3" t="str">
        <f>IF(AZ$11&gt;T,"",IF($A47&gt;AZ$12,"",IF(T=AZ$11,100,EXP(-IRTree!AZ48*h)*((BA47+BA48)/2+cc*h))))</f>
        <v/>
      </c>
      <c r="BA47" s="3" t="str">
        <f>IF(BA$11&gt;T,"",IF($A47&gt;BA$12,"",IF(T=BA$11,100,EXP(-IRTree!BA48*h)*((BB47+BB48)/2+cc*h))))</f>
        <v/>
      </c>
      <c r="BB47" s="3" t="str">
        <f>IF(BB$11&gt;T,"",IF($A47&gt;BB$12,"",IF(T=BB$11,100,EXP(-IRTree!BB48*h)*((BC47+BC48)/2+cc*h))))</f>
        <v/>
      </c>
      <c r="BC47" s="3" t="str">
        <f>IF(BC$11&gt;T,"",IF($A47&gt;BC$12,"",IF(T=BC$11,100,EXP(-IRTree!BC48*h)*((BD47+BD48)/2+cc*h))))</f>
        <v/>
      </c>
      <c r="BD47" s="3" t="str">
        <f>IF(BD$11&gt;T,"",IF($A47&gt;BD$12,"",IF(T=BD$11,100,EXP(-IRTree!BD48*h)*((BE47+BE48)/2+cc*h))))</f>
        <v/>
      </c>
      <c r="BE47" s="3" t="str">
        <f>IF(BE$11&gt;T,"",IF($A47&gt;BE$12,"",IF(T=BE$11,100,EXP(-IRTree!BE48*h)*((BF47+BF48)/2+cc*h))))</f>
        <v/>
      </c>
      <c r="BF47" s="3" t="str">
        <f>IF(BF$11&gt;T,"",IF($A47&gt;BF$12,"",IF(T=BF$11,100,EXP(-IRTree!BF48*h)*((BG47+BG48)/2+cc*h))))</f>
        <v/>
      </c>
      <c r="BG47" s="3" t="str">
        <f>IF(BG$11&gt;T,"",IF($A47&gt;BG$12,"",IF(T=BG$11,100,EXP(-IRTree!BG48*h)*((BH47+BH48)/2+cc*h))))</f>
        <v/>
      </c>
      <c r="BH47" s="3" t="str">
        <f>IF(BH$11&gt;T,"",IF($A47&gt;BH$12,"",IF(T=BH$11,100,EXP(-IRTree!BH48*h)*((BI47+BI48)/2+cc*h))))</f>
        <v/>
      </c>
      <c r="BI47" s="3" t="str">
        <f>IF(BI$11&gt;T,"",IF($A47&gt;BI$12,"",IF(T=BI$11,100,EXP(-IRTree!BI48*h)*((BJ47+BJ48)/2+cc*h))))</f>
        <v/>
      </c>
      <c r="BJ47" s="3" t="str">
        <f>IF(BJ$11&gt;T,"",IF($A47&gt;BJ$12,"",IF(T=BJ$11,100,EXP(-IRTree!BJ48*h)*((BK47+BK48)/2+cc*h))))</f>
        <v/>
      </c>
    </row>
    <row r="48" spans="1:62">
      <c r="A48" s="12">
        <f t="shared" si="2"/>
        <v>35</v>
      </c>
      <c r="B48" s="3" t="str">
        <f>IF(B$11&gt;T,"",IF($A48&gt;B$12,"",IF(T=B$11,100,EXP(-IRTree!B49*h)*((C48+C49)/2+cc*h))))</f>
        <v/>
      </c>
      <c r="C48" s="3" t="str">
        <f>IF(C$11&gt;T,"",IF($A48&gt;C$12,"",IF(T=C$11,100,EXP(-IRTree!C49*h)*((D48+D49)/2+cc*h))))</f>
        <v/>
      </c>
      <c r="D48" s="3" t="str">
        <f>IF(D$11&gt;T,"",IF($A48&gt;D$12,"",IF(T=D$11,100,EXP(-IRTree!D49*h)*((E48+E49)/2+cc*h))))</f>
        <v/>
      </c>
      <c r="E48" s="3" t="str">
        <f>IF(E$11&gt;T,"",IF($A48&gt;E$12,"",IF(T=E$11,100,EXP(-IRTree!E49*h)*((F48+F49)/2+cc*h))))</f>
        <v/>
      </c>
      <c r="F48" s="3" t="str">
        <f>IF(F$11&gt;T,"",IF($A48&gt;F$12,"",IF(T=F$11,100,EXP(-IRTree!F49*h)*((G48+G49)/2+cc*h))))</f>
        <v/>
      </c>
      <c r="G48" s="3" t="str">
        <f>IF(G$11&gt;T,"",IF($A48&gt;G$12,"",IF(T=G$11,100,EXP(-IRTree!G49*h)*((H48+H49)/2+cc*h))))</f>
        <v/>
      </c>
      <c r="H48" s="3" t="str">
        <f>IF(H$11&gt;T,"",IF($A48&gt;H$12,"",IF(T=H$11,100,EXP(-IRTree!H49*h)*((I48+I49)/2+cc*h))))</f>
        <v/>
      </c>
      <c r="I48" s="3" t="str">
        <f>IF(I$11&gt;T,"",IF($A48&gt;I$12,"",IF(T=I$11,100,EXP(-IRTree!I49*h)*((J48+J49)/2+cc*h))))</f>
        <v/>
      </c>
      <c r="J48" s="3" t="str">
        <f>IF(J$11&gt;T,"",IF($A48&gt;J$12,"",IF(T=J$11,100,EXP(-IRTree!J49*h)*((K48+K49)/2+cc*h))))</f>
        <v/>
      </c>
      <c r="K48" s="3" t="str">
        <f>IF(K$11&gt;T,"",IF($A48&gt;K$12,"",IF(T=K$11,100,EXP(-IRTree!K49*h)*((L48+L49)/2+cc*h))))</f>
        <v/>
      </c>
      <c r="L48" s="3" t="str">
        <f>IF(L$11&gt;T,"",IF($A48&gt;L$12,"",IF(T=L$11,100,EXP(-IRTree!L49*h)*((M48+M49)/2+cc*h))))</f>
        <v/>
      </c>
      <c r="M48" s="3" t="str">
        <f>IF(M$11&gt;T,"",IF($A48&gt;M$12,"",IF(T=M$11,100,EXP(-IRTree!M49*h)*((N48+N49)/2+cc*h))))</f>
        <v/>
      </c>
      <c r="N48" s="3" t="str">
        <f>IF(N$11&gt;T,"",IF($A48&gt;N$12,"",IF(T=N$11,100,EXP(-IRTree!N49*h)*((O48+O49)/2+cc*h))))</f>
        <v/>
      </c>
      <c r="O48" s="3" t="str">
        <f>IF(O$11&gt;T,"",IF($A48&gt;O$12,"",IF(T=O$11,100,EXP(-IRTree!O49*h)*((P48+P49)/2+cc*h))))</f>
        <v/>
      </c>
      <c r="P48" s="3" t="str">
        <f>IF(P$11&gt;T,"",IF($A48&gt;P$12,"",IF(T=P$11,100,EXP(-IRTree!P49*h)*((Q48+Q49)/2+cc*h))))</f>
        <v/>
      </c>
      <c r="Q48" s="3" t="str">
        <f>IF(Q$11&gt;T,"",IF($A48&gt;Q$12,"",IF(T=Q$11,100,EXP(-IRTree!Q49*h)*((R48+R49)/2+cc*h))))</f>
        <v/>
      </c>
      <c r="R48" s="3" t="str">
        <f>IF(R$11&gt;T,"",IF($A48&gt;R$12,"",IF(T=R$11,100,EXP(-IRTree!R49*h)*((S48+S49)/2+cc*h))))</f>
        <v/>
      </c>
      <c r="S48" s="3" t="str">
        <f>IF(S$11&gt;T,"",IF($A48&gt;S$12,"",IF(T=S$11,100,EXP(-IRTree!S49*h)*((T48+T49)/2+cc*h))))</f>
        <v/>
      </c>
      <c r="T48" s="3" t="str">
        <f>IF(T$11&gt;T,"",IF($A48&gt;T$12,"",IF(T=T$11,100,EXP(-IRTree!T49*h)*((U48+U49)/2+cc*h))))</f>
        <v/>
      </c>
      <c r="U48" s="3" t="str">
        <f>IF(U$11&gt;T,"",IF($A48&gt;U$12,"",IF(T=U$11,100,EXP(-IRTree!U49*h)*((V48+V49)/2+cc*h))))</f>
        <v/>
      </c>
      <c r="V48" s="3" t="str">
        <f>IF(V$11&gt;T,"",IF($A48&gt;V$12,"",IF(T=V$11,100,EXP(-IRTree!V49*h)*((W48+W49)/2+cc*h))))</f>
        <v/>
      </c>
      <c r="W48" s="3" t="str">
        <f>IF(W$11&gt;T,"",IF($A48&gt;W$12,"",IF(T=W$11,100,EXP(-IRTree!W49*h)*((X48+X49)/2+cc*h))))</f>
        <v/>
      </c>
      <c r="X48" s="3" t="str">
        <f>IF(X$11&gt;T,"",IF($A48&gt;X$12,"",IF(T=X$11,100,EXP(-IRTree!X49*h)*((Y48+Y49)/2+cc*h))))</f>
        <v/>
      </c>
      <c r="Y48" s="3" t="str">
        <f>IF(Y$11&gt;T,"",IF($A48&gt;Y$12,"",IF(T=Y$11,100,EXP(-IRTree!Y49*h)*((Z48+Z49)/2+cc*h))))</f>
        <v/>
      </c>
      <c r="Z48" s="3" t="str">
        <f>IF(Z$11&gt;T,"",IF($A48&gt;Z$12,"",IF(T=Z$11,100,EXP(-IRTree!Z49*h)*((AA48+AA49)/2+cc*h))))</f>
        <v/>
      </c>
      <c r="AA48" s="3" t="str">
        <f>IF(AA$11&gt;T,"",IF($A48&gt;AA$12,"",IF(T=AA$11,100,EXP(-IRTree!AA49*h)*((AB48+AB49)/2+cc*h))))</f>
        <v/>
      </c>
      <c r="AB48" s="3" t="str">
        <f>IF(AB$11&gt;T,"",IF($A48&gt;AB$12,"",IF(T=AB$11,100,EXP(-IRTree!AB49*h)*((AC48+AC49)/2+cc*h))))</f>
        <v/>
      </c>
      <c r="AC48" s="3" t="str">
        <f>IF(AC$11&gt;T,"",IF($A48&gt;AC$12,"",IF(T=AC$11,100,EXP(-IRTree!AC49*h)*((AD48+AD49)/2+cc*h))))</f>
        <v/>
      </c>
      <c r="AD48" s="3" t="str">
        <f>IF(AD$11&gt;T,"",IF($A48&gt;AD$12,"",IF(T=AD$11,100,EXP(-IRTree!AD49*h)*((AE48+AE49)/2+cc*h))))</f>
        <v/>
      </c>
      <c r="AE48" s="3" t="str">
        <f>IF(AE$11&gt;T,"",IF($A48&gt;AE$12,"",IF(T=AE$11,100,EXP(-IRTree!AE49*h)*((AF48+AF49)/2+cc*h))))</f>
        <v/>
      </c>
      <c r="AF48" s="3" t="str">
        <f>IF(AF$11&gt;T,"",IF($A48&gt;AF$12,"",IF(T=AF$11,100,EXP(-IRTree!AF49*h)*((AG48+AG49)/2+cc*h))))</f>
        <v/>
      </c>
      <c r="AG48" s="3" t="str">
        <f>IF(AG$11&gt;T,"",IF($A48&gt;AG$12,"",IF(T=AG$11,100,EXP(-IRTree!AG49*h)*((AH48+AH49)/2+cc*h))))</f>
        <v/>
      </c>
      <c r="AH48" s="3" t="str">
        <f>IF(AH$11&gt;T,"",IF($A48&gt;AH$12,"",IF(T=AH$11,100,EXP(-IRTree!AH49*h)*((AI48+AI49)/2+cc*h))))</f>
        <v/>
      </c>
      <c r="AI48" s="3" t="str">
        <f>IF(AI$11&gt;T,"",IF($A48&gt;AI$12,"",IF(T=AI$11,100,EXP(-IRTree!AI49*h)*((AJ48+AJ49)/2+cc*h))))</f>
        <v/>
      </c>
      <c r="AJ48" s="3" t="str">
        <f>IF(AJ$11&gt;T,"",IF($A48&gt;AJ$12,"",IF(T=AJ$11,100,EXP(-IRTree!AJ49*h)*((AK48+AK49)/2+cc*h))))</f>
        <v/>
      </c>
      <c r="AK48" s="3">
        <f>IF(AK$11&gt;T,"",IF($A48&gt;AK$12,"",IF(T=AK$11,100,EXP(-IRTree!AK49*h)*((AL48+AL49)/2+cc*h))))</f>
        <v>99.702787236993956</v>
      </c>
      <c r="AL48" s="3">
        <f>IF(AL$11&gt;T,"",IF($A48&gt;AL$12,"",IF(T=AL$11,100,EXP(-IRTree!AL49*h)*((AM48+AM49)/2+cc*h))))</f>
        <v>99.724627675889451</v>
      </c>
      <c r="AM48" s="3">
        <f>IF(AM$11&gt;T,"",IF($A48&gt;AM$12,"",IF(T=AM$11,100,EXP(-IRTree!AM49*h)*((AN48+AN49)/2+cc*h))))</f>
        <v>99.757347414234587</v>
      </c>
      <c r="AN48" s="3">
        <f>IF(AN$11&gt;T,"",IF($A48&gt;AN$12,"",IF(T=AN$11,100,EXP(-IRTree!AN49*h)*((AO48+AO49)/2+cc*h))))</f>
        <v>99.81037973867312</v>
      </c>
      <c r="AO48" s="3">
        <f>IF(AO$11&gt;T,"",IF($A48&gt;AO$12,"",IF(T=AO$11,100,EXP(-IRTree!AO49*h)*((AP48+AP49)/2+cc*h))))</f>
        <v>99.889256607498837</v>
      </c>
      <c r="AP48" s="3">
        <f>IF(AP$11&gt;T,"",IF($A48&gt;AP$12,"",IF(T=AP$11,100,EXP(-IRTree!AP49*h)*((AQ48+AQ49)/2+cc*h))))</f>
        <v>100</v>
      </c>
      <c r="AQ48" s="3" t="str">
        <f>IF(AQ$11&gt;T,"",IF($A48&gt;AQ$12,"",IF(T=AQ$11,100,EXP(-IRTree!AQ49*h)*((AR48+AR49)/2+cc*h))))</f>
        <v/>
      </c>
      <c r="AR48" s="3" t="str">
        <f>IF(AR$11&gt;T,"",IF($A48&gt;AR$12,"",IF(T=AR$11,100,EXP(-IRTree!AR49*h)*((AS48+AS49)/2+cc*h))))</f>
        <v/>
      </c>
      <c r="AS48" s="3" t="str">
        <f>IF(AS$11&gt;T,"",IF($A48&gt;AS$12,"",IF(T=AS$11,100,EXP(-IRTree!AS49*h)*((AT48+AT49)/2+cc*h))))</f>
        <v/>
      </c>
      <c r="AT48" s="3" t="str">
        <f>IF(AT$11&gt;T,"",IF($A48&gt;AT$12,"",IF(T=AT$11,100,EXP(-IRTree!AT49*h)*((AU48+AU49)/2+cc*h))))</f>
        <v/>
      </c>
      <c r="AU48" s="3" t="str">
        <f>IF(AU$11&gt;T,"",IF($A48&gt;AU$12,"",IF(T=AU$11,100,EXP(-IRTree!AU49*h)*((AV48+AV49)/2+cc*h))))</f>
        <v/>
      </c>
      <c r="AV48" s="3" t="str">
        <f>IF(AV$11&gt;T,"",IF($A48&gt;AV$12,"",IF(T=AV$11,100,EXP(-IRTree!AV49*h)*((AW48+AW49)/2+cc*h))))</f>
        <v/>
      </c>
      <c r="AW48" s="3" t="str">
        <f>IF(AW$11&gt;T,"",IF($A48&gt;AW$12,"",IF(T=AW$11,100,EXP(-IRTree!AW49*h)*((AX48+AX49)/2+cc*h))))</f>
        <v/>
      </c>
      <c r="AX48" s="3" t="str">
        <f>IF(AX$11&gt;T,"",IF($A48&gt;AX$12,"",IF(T=AX$11,100,EXP(-IRTree!AX49*h)*((AY48+AY49)/2+cc*h))))</f>
        <v/>
      </c>
      <c r="AY48" s="3" t="str">
        <f>IF(AY$11&gt;T,"",IF($A48&gt;AY$12,"",IF(T=AY$11,100,EXP(-IRTree!AY49*h)*((AZ48+AZ49)/2+cc*h))))</f>
        <v/>
      </c>
      <c r="AZ48" s="3" t="str">
        <f>IF(AZ$11&gt;T,"",IF($A48&gt;AZ$12,"",IF(T=AZ$11,100,EXP(-IRTree!AZ49*h)*((BA48+BA49)/2+cc*h))))</f>
        <v/>
      </c>
      <c r="BA48" s="3" t="str">
        <f>IF(BA$11&gt;T,"",IF($A48&gt;BA$12,"",IF(T=BA$11,100,EXP(-IRTree!BA49*h)*((BB48+BB49)/2+cc*h))))</f>
        <v/>
      </c>
      <c r="BB48" s="3" t="str">
        <f>IF(BB$11&gt;T,"",IF($A48&gt;BB$12,"",IF(T=BB$11,100,EXP(-IRTree!BB49*h)*((BC48+BC49)/2+cc*h))))</f>
        <v/>
      </c>
      <c r="BC48" s="3" t="str">
        <f>IF(BC$11&gt;T,"",IF($A48&gt;BC$12,"",IF(T=BC$11,100,EXP(-IRTree!BC49*h)*((BD48+BD49)/2+cc*h))))</f>
        <v/>
      </c>
      <c r="BD48" s="3" t="str">
        <f>IF(BD$11&gt;T,"",IF($A48&gt;BD$12,"",IF(T=BD$11,100,EXP(-IRTree!BD49*h)*((BE48+BE49)/2+cc*h))))</f>
        <v/>
      </c>
      <c r="BE48" s="3" t="str">
        <f>IF(BE$11&gt;T,"",IF($A48&gt;BE$12,"",IF(T=BE$11,100,EXP(-IRTree!BE49*h)*((BF48+BF49)/2+cc*h))))</f>
        <v/>
      </c>
      <c r="BF48" s="3" t="str">
        <f>IF(BF$11&gt;T,"",IF($A48&gt;BF$12,"",IF(T=BF$11,100,EXP(-IRTree!BF49*h)*((BG48+BG49)/2+cc*h))))</f>
        <v/>
      </c>
      <c r="BG48" s="3" t="str">
        <f>IF(BG$11&gt;T,"",IF($A48&gt;BG$12,"",IF(T=BG$11,100,EXP(-IRTree!BG49*h)*((BH48+BH49)/2+cc*h))))</f>
        <v/>
      </c>
      <c r="BH48" s="3" t="str">
        <f>IF(BH$11&gt;T,"",IF($A48&gt;BH$12,"",IF(T=BH$11,100,EXP(-IRTree!BH49*h)*((BI48+BI49)/2+cc*h))))</f>
        <v/>
      </c>
      <c r="BI48" s="3" t="str">
        <f>IF(BI$11&gt;T,"",IF($A48&gt;BI$12,"",IF(T=BI$11,100,EXP(-IRTree!BI49*h)*((BJ48+BJ49)/2+cc*h))))</f>
        <v/>
      </c>
      <c r="BJ48" s="3" t="str">
        <f>IF(BJ$11&gt;T,"",IF($A48&gt;BJ$12,"",IF(T=BJ$11,100,EXP(-IRTree!BJ49*h)*((BK48+BK49)/2+cc*h))))</f>
        <v/>
      </c>
    </row>
    <row r="49" spans="1:62">
      <c r="A49" s="12">
        <f t="shared" si="2"/>
        <v>36</v>
      </c>
      <c r="B49" s="3" t="str">
        <f>IF(B$11&gt;T,"",IF($A49&gt;B$12,"",IF(T=B$11,100,EXP(-IRTree!B50*h)*((C49+C50)/2+cc*h))))</f>
        <v/>
      </c>
      <c r="C49" s="3" t="str">
        <f>IF(C$11&gt;T,"",IF($A49&gt;C$12,"",IF(T=C$11,100,EXP(-IRTree!C50*h)*((D49+D50)/2+cc*h))))</f>
        <v/>
      </c>
      <c r="D49" s="3" t="str">
        <f>IF(D$11&gt;T,"",IF($A49&gt;D$12,"",IF(T=D$11,100,EXP(-IRTree!D50*h)*((E49+E50)/2+cc*h))))</f>
        <v/>
      </c>
      <c r="E49" s="3" t="str">
        <f>IF(E$11&gt;T,"",IF($A49&gt;E$12,"",IF(T=E$11,100,EXP(-IRTree!E50*h)*((F49+F50)/2+cc*h))))</f>
        <v/>
      </c>
      <c r="F49" s="3" t="str">
        <f>IF(F$11&gt;T,"",IF($A49&gt;F$12,"",IF(T=F$11,100,EXP(-IRTree!F50*h)*((G49+G50)/2+cc*h))))</f>
        <v/>
      </c>
      <c r="G49" s="3" t="str">
        <f>IF(G$11&gt;T,"",IF($A49&gt;G$12,"",IF(T=G$11,100,EXP(-IRTree!G50*h)*((H49+H50)/2+cc*h))))</f>
        <v/>
      </c>
      <c r="H49" s="3" t="str">
        <f>IF(H$11&gt;T,"",IF($A49&gt;H$12,"",IF(T=H$11,100,EXP(-IRTree!H50*h)*((I49+I50)/2+cc*h))))</f>
        <v/>
      </c>
      <c r="I49" s="3" t="str">
        <f>IF(I$11&gt;T,"",IF($A49&gt;I$12,"",IF(T=I$11,100,EXP(-IRTree!I50*h)*((J49+J50)/2+cc*h))))</f>
        <v/>
      </c>
      <c r="J49" s="3" t="str">
        <f>IF(J$11&gt;T,"",IF($A49&gt;J$12,"",IF(T=J$11,100,EXP(-IRTree!J50*h)*((K49+K50)/2+cc*h))))</f>
        <v/>
      </c>
      <c r="K49" s="3" t="str">
        <f>IF(K$11&gt;T,"",IF($A49&gt;K$12,"",IF(T=K$11,100,EXP(-IRTree!K50*h)*((L49+L50)/2+cc*h))))</f>
        <v/>
      </c>
      <c r="L49" s="3" t="str">
        <f>IF(L$11&gt;T,"",IF($A49&gt;L$12,"",IF(T=L$11,100,EXP(-IRTree!L50*h)*((M49+M50)/2+cc*h))))</f>
        <v/>
      </c>
      <c r="M49" s="3" t="str">
        <f>IF(M$11&gt;T,"",IF($A49&gt;M$12,"",IF(T=M$11,100,EXP(-IRTree!M50*h)*((N49+N50)/2+cc*h))))</f>
        <v/>
      </c>
      <c r="N49" s="3" t="str">
        <f>IF(N$11&gt;T,"",IF($A49&gt;N$12,"",IF(T=N$11,100,EXP(-IRTree!N50*h)*((O49+O50)/2+cc*h))))</f>
        <v/>
      </c>
      <c r="O49" s="3" t="str">
        <f>IF(O$11&gt;T,"",IF($A49&gt;O$12,"",IF(T=O$11,100,EXP(-IRTree!O50*h)*((P49+P50)/2+cc*h))))</f>
        <v/>
      </c>
      <c r="P49" s="3" t="str">
        <f>IF(P$11&gt;T,"",IF($A49&gt;P$12,"",IF(T=P$11,100,EXP(-IRTree!P50*h)*((Q49+Q50)/2+cc*h))))</f>
        <v/>
      </c>
      <c r="Q49" s="3" t="str">
        <f>IF(Q$11&gt;T,"",IF($A49&gt;Q$12,"",IF(T=Q$11,100,EXP(-IRTree!Q50*h)*((R49+R50)/2+cc*h))))</f>
        <v/>
      </c>
      <c r="R49" s="3" t="str">
        <f>IF(R$11&gt;T,"",IF($A49&gt;R$12,"",IF(T=R$11,100,EXP(-IRTree!R50*h)*((S49+S50)/2+cc*h))))</f>
        <v/>
      </c>
      <c r="S49" s="3" t="str">
        <f>IF(S$11&gt;T,"",IF($A49&gt;S$12,"",IF(T=S$11,100,EXP(-IRTree!S50*h)*((T49+T50)/2+cc*h))))</f>
        <v/>
      </c>
      <c r="T49" s="3" t="str">
        <f>IF(T$11&gt;T,"",IF($A49&gt;T$12,"",IF(T=T$11,100,EXP(-IRTree!T50*h)*((U49+U50)/2+cc*h))))</f>
        <v/>
      </c>
      <c r="U49" s="3" t="str">
        <f>IF(U$11&gt;T,"",IF($A49&gt;U$12,"",IF(T=U$11,100,EXP(-IRTree!U50*h)*((V49+V50)/2+cc*h))))</f>
        <v/>
      </c>
      <c r="V49" s="3" t="str">
        <f>IF(V$11&gt;T,"",IF($A49&gt;V$12,"",IF(T=V$11,100,EXP(-IRTree!V50*h)*((W49+W50)/2+cc*h))))</f>
        <v/>
      </c>
      <c r="W49" s="3" t="str">
        <f>IF(W$11&gt;T,"",IF($A49&gt;W$12,"",IF(T=W$11,100,EXP(-IRTree!W50*h)*((X49+X50)/2+cc*h))))</f>
        <v/>
      </c>
      <c r="X49" s="3" t="str">
        <f>IF(X$11&gt;T,"",IF($A49&gt;X$12,"",IF(T=X$11,100,EXP(-IRTree!X50*h)*((Y49+Y50)/2+cc*h))))</f>
        <v/>
      </c>
      <c r="Y49" s="3" t="str">
        <f>IF(Y$11&gt;T,"",IF($A49&gt;Y$12,"",IF(T=Y$11,100,EXP(-IRTree!Y50*h)*((Z49+Z50)/2+cc*h))))</f>
        <v/>
      </c>
      <c r="Z49" s="3" t="str">
        <f>IF(Z$11&gt;T,"",IF($A49&gt;Z$12,"",IF(T=Z$11,100,EXP(-IRTree!Z50*h)*((AA49+AA50)/2+cc*h))))</f>
        <v/>
      </c>
      <c r="AA49" s="3" t="str">
        <f>IF(AA$11&gt;T,"",IF($A49&gt;AA$12,"",IF(T=AA$11,100,EXP(-IRTree!AA50*h)*((AB49+AB50)/2+cc*h))))</f>
        <v/>
      </c>
      <c r="AB49" s="3" t="str">
        <f>IF(AB$11&gt;T,"",IF($A49&gt;AB$12,"",IF(T=AB$11,100,EXP(-IRTree!AB50*h)*((AC49+AC50)/2+cc*h))))</f>
        <v/>
      </c>
      <c r="AC49" s="3" t="str">
        <f>IF(AC$11&gt;T,"",IF($A49&gt;AC$12,"",IF(T=AC$11,100,EXP(-IRTree!AC50*h)*((AD49+AD50)/2+cc*h))))</f>
        <v/>
      </c>
      <c r="AD49" s="3" t="str">
        <f>IF(AD$11&gt;T,"",IF($A49&gt;AD$12,"",IF(T=AD$11,100,EXP(-IRTree!AD50*h)*((AE49+AE50)/2+cc*h))))</f>
        <v/>
      </c>
      <c r="AE49" s="3" t="str">
        <f>IF(AE$11&gt;T,"",IF($A49&gt;AE$12,"",IF(T=AE$11,100,EXP(-IRTree!AE50*h)*((AF49+AF50)/2+cc*h))))</f>
        <v/>
      </c>
      <c r="AF49" s="3" t="str">
        <f>IF(AF$11&gt;T,"",IF($A49&gt;AF$12,"",IF(T=AF$11,100,EXP(-IRTree!AF50*h)*((AG49+AG50)/2+cc*h))))</f>
        <v/>
      </c>
      <c r="AG49" s="3" t="str">
        <f>IF(AG$11&gt;T,"",IF($A49&gt;AG$12,"",IF(T=AG$11,100,EXP(-IRTree!AG50*h)*((AH49+AH50)/2+cc*h))))</f>
        <v/>
      </c>
      <c r="AH49" s="3" t="str">
        <f>IF(AH$11&gt;T,"",IF($A49&gt;AH$12,"",IF(T=AH$11,100,EXP(-IRTree!AH50*h)*((AI49+AI50)/2+cc*h))))</f>
        <v/>
      </c>
      <c r="AI49" s="3" t="str">
        <f>IF(AI$11&gt;T,"",IF($A49&gt;AI$12,"",IF(T=AI$11,100,EXP(-IRTree!AI50*h)*((AJ49+AJ50)/2+cc*h))))</f>
        <v/>
      </c>
      <c r="AJ49" s="3" t="str">
        <f>IF(AJ$11&gt;T,"",IF($A49&gt;AJ$12,"",IF(T=AJ$11,100,EXP(-IRTree!AJ50*h)*((AK49+AK50)/2+cc*h))))</f>
        <v/>
      </c>
      <c r="AK49" s="3" t="str">
        <f>IF(AK$11&gt;T,"",IF($A49&gt;AK$12,"",IF(T=AK$11,100,EXP(-IRTree!AK50*h)*((AL49+AL50)/2+cc*h))))</f>
        <v/>
      </c>
      <c r="AL49" s="3">
        <f>IF(AL$11&gt;T,"",IF($A49&gt;AL$12,"",IF(T=AL$11,100,EXP(-IRTree!AL50*h)*((AM49+AM50)/2+cc*h))))</f>
        <v>99.768972412511957</v>
      </c>
      <c r="AM49" s="3">
        <f>IF(AM$11&gt;T,"",IF($A49&gt;AM$12,"",IF(T=AM$11,100,EXP(-IRTree!AM50*h)*((AN49+AN50)/2+cc*h))))</f>
        <v>99.795708230262079</v>
      </c>
      <c r="AN49" s="3">
        <f>IF(AN$11&gt;T,"",IF($A49&gt;AN$12,"",IF(T=AN$11,100,EXP(-IRTree!AN50*h)*((AO49+AO50)/2+cc*h))))</f>
        <v>99.839759543572342</v>
      </c>
      <c r="AO49" s="3">
        <f>IF(AO$11&gt;T,"",IF($A49&gt;AO$12,"",IF(T=AO$11,100,EXP(-IRTree!AO50*h)*((AP49+AP50)/2+cc*h))))</f>
        <v>99.906052205550566</v>
      </c>
      <c r="AP49" s="3">
        <f>IF(AP$11&gt;T,"",IF($A49&gt;AP$12,"",IF(T=AP$11,100,EXP(-IRTree!AP50*h)*((AQ49+AQ50)/2+cc*h))))</f>
        <v>100</v>
      </c>
      <c r="AQ49" s="3" t="str">
        <f>IF(AQ$11&gt;T,"",IF($A49&gt;AQ$12,"",IF(T=AQ$11,100,EXP(-IRTree!AQ50*h)*((AR49+AR50)/2+cc*h))))</f>
        <v/>
      </c>
      <c r="AR49" s="3" t="str">
        <f>IF(AR$11&gt;T,"",IF($A49&gt;AR$12,"",IF(T=AR$11,100,EXP(-IRTree!AR50*h)*((AS49+AS50)/2+cc*h))))</f>
        <v/>
      </c>
      <c r="AS49" s="3" t="str">
        <f>IF(AS$11&gt;T,"",IF($A49&gt;AS$12,"",IF(T=AS$11,100,EXP(-IRTree!AS50*h)*((AT49+AT50)/2+cc*h))))</f>
        <v/>
      </c>
      <c r="AT49" s="3" t="str">
        <f>IF(AT$11&gt;T,"",IF($A49&gt;AT$12,"",IF(T=AT$11,100,EXP(-IRTree!AT50*h)*((AU49+AU50)/2+cc*h))))</f>
        <v/>
      </c>
      <c r="AU49" s="3" t="str">
        <f>IF(AU$11&gt;T,"",IF($A49&gt;AU$12,"",IF(T=AU$11,100,EXP(-IRTree!AU50*h)*((AV49+AV50)/2+cc*h))))</f>
        <v/>
      </c>
      <c r="AV49" s="3" t="str">
        <f>IF(AV$11&gt;T,"",IF($A49&gt;AV$12,"",IF(T=AV$11,100,EXP(-IRTree!AV50*h)*((AW49+AW50)/2+cc*h))))</f>
        <v/>
      </c>
      <c r="AW49" s="3" t="str">
        <f>IF(AW$11&gt;T,"",IF($A49&gt;AW$12,"",IF(T=AW$11,100,EXP(-IRTree!AW50*h)*((AX49+AX50)/2+cc*h))))</f>
        <v/>
      </c>
      <c r="AX49" s="3" t="str">
        <f>IF(AX$11&gt;T,"",IF($A49&gt;AX$12,"",IF(T=AX$11,100,EXP(-IRTree!AX50*h)*((AY49+AY50)/2+cc*h))))</f>
        <v/>
      </c>
      <c r="AY49" s="3" t="str">
        <f>IF(AY$11&gt;T,"",IF($A49&gt;AY$12,"",IF(T=AY$11,100,EXP(-IRTree!AY50*h)*((AZ49+AZ50)/2+cc*h))))</f>
        <v/>
      </c>
      <c r="AZ49" s="3" t="str">
        <f>IF(AZ$11&gt;T,"",IF($A49&gt;AZ$12,"",IF(T=AZ$11,100,EXP(-IRTree!AZ50*h)*((BA49+BA50)/2+cc*h))))</f>
        <v/>
      </c>
      <c r="BA49" s="3" t="str">
        <f>IF(BA$11&gt;T,"",IF($A49&gt;BA$12,"",IF(T=BA$11,100,EXP(-IRTree!BA50*h)*((BB49+BB50)/2+cc*h))))</f>
        <v/>
      </c>
      <c r="BB49" s="3" t="str">
        <f>IF(BB$11&gt;T,"",IF($A49&gt;BB$12,"",IF(T=BB$11,100,EXP(-IRTree!BB50*h)*((BC49+BC50)/2+cc*h))))</f>
        <v/>
      </c>
      <c r="BC49" s="3" t="str">
        <f>IF(BC$11&gt;T,"",IF($A49&gt;BC$12,"",IF(T=BC$11,100,EXP(-IRTree!BC50*h)*((BD49+BD50)/2+cc*h))))</f>
        <v/>
      </c>
      <c r="BD49" s="3" t="str">
        <f>IF(BD$11&gt;T,"",IF($A49&gt;BD$12,"",IF(T=BD$11,100,EXP(-IRTree!BD50*h)*((BE49+BE50)/2+cc*h))))</f>
        <v/>
      </c>
      <c r="BE49" s="3" t="str">
        <f>IF(BE$11&gt;T,"",IF($A49&gt;BE$12,"",IF(T=BE$11,100,EXP(-IRTree!BE50*h)*((BF49+BF50)/2+cc*h))))</f>
        <v/>
      </c>
      <c r="BF49" s="3" t="str">
        <f>IF(BF$11&gt;T,"",IF($A49&gt;BF$12,"",IF(T=BF$11,100,EXP(-IRTree!BF50*h)*((BG49+BG50)/2+cc*h))))</f>
        <v/>
      </c>
      <c r="BG49" s="3" t="str">
        <f>IF(BG$11&gt;T,"",IF($A49&gt;BG$12,"",IF(T=BG$11,100,EXP(-IRTree!BG50*h)*((BH49+BH50)/2+cc*h))))</f>
        <v/>
      </c>
      <c r="BH49" s="3" t="str">
        <f>IF(BH$11&gt;T,"",IF($A49&gt;BH$12,"",IF(T=BH$11,100,EXP(-IRTree!BH50*h)*((BI49+BI50)/2+cc*h))))</f>
        <v/>
      </c>
      <c r="BI49" s="3" t="str">
        <f>IF(BI$11&gt;T,"",IF($A49&gt;BI$12,"",IF(T=BI$11,100,EXP(-IRTree!BI50*h)*((BJ49+BJ50)/2+cc*h))))</f>
        <v/>
      </c>
      <c r="BJ49" s="3" t="str">
        <f>IF(BJ$11&gt;T,"",IF($A49&gt;BJ$12,"",IF(T=BJ$11,100,EXP(-IRTree!BJ50*h)*((BK49+BK50)/2+cc*h))))</f>
        <v/>
      </c>
    </row>
    <row r="50" spans="1:62">
      <c r="A50" s="12">
        <f t="shared" si="2"/>
        <v>37</v>
      </c>
      <c r="B50" s="3" t="str">
        <f>IF(B$11&gt;T,"",IF($A50&gt;B$12,"",IF(T=B$11,100,EXP(-IRTree!B51*h)*((C50+C51)/2+cc*h))))</f>
        <v/>
      </c>
      <c r="C50" s="3" t="str">
        <f>IF(C$11&gt;T,"",IF($A50&gt;C$12,"",IF(T=C$11,100,EXP(-IRTree!C51*h)*((D50+D51)/2+cc*h))))</f>
        <v/>
      </c>
      <c r="D50" s="3" t="str">
        <f>IF(D$11&gt;T,"",IF($A50&gt;D$12,"",IF(T=D$11,100,EXP(-IRTree!D51*h)*((E50+E51)/2+cc*h))))</f>
        <v/>
      </c>
      <c r="E50" s="3" t="str">
        <f>IF(E$11&gt;T,"",IF($A50&gt;E$12,"",IF(T=E$11,100,EXP(-IRTree!E51*h)*((F50+F51)/2+cc*h))))</f>
        <v/>
      </c>
      <c r="F50" s="3" t="str">
        <f>IF(F$11&gt;T,"",IF($A50&gt;F$12,"",IF(T=F$11,100,EXP(-IRTree!F51*h)*((G50+G51)/2+cc*h))))</f>
        <v/>
      </c>
      <c r="G50" s="3" t="str">
        <f>IF(G$11&gt;T,"",IF($A50&gt;G$12,"",IF(T=G$11,100,EXP(-IRTree!G51*h)*((H50+H51)/2+cc*h))))</f>
        <v/>
      </c>
      <c r="H50" s="3" t="str">
        <f>IF(H$11&gt;T,"",IF($A50&gt;H$12,"",IF(T=H$11,100,EXP(-IRTree!H51*h)*((I50+I51)/2+cc*h))))</f>
        <v/>
      </c>
      <c r="I50" s="3" t="str">
        <f>IF(I$11&gt;T,"",IF($A50&gt;I$12,"",IF(T=I$11,100,EXP(-IRTree!I51*h)*((J50+J51)/2+cc*h))))</f>
        <v/>
      </c>
      <c r="J50" s="3" t="str">
        <f>IF(J$11&gt;T,"",IF($A50&gt;J$12,"",IF(T=J$11,100,EXP(-IRTree!J51*h)*((K50+K51)/2+cc*h))))</f>
        <v/>
      </c>
      <c r="K50" s="3" t="str">
        <f>IF(K$11&gt;T,"",IF($A50&gt;K$12,"",IF(T=K$11,100,EXP(-IRTree!K51*h)*((L50+L51)/2+cc*h))))</f>
        <v/>
      </c>
      <c r="L50" s="3" t="str">
        <f>IF(L$11&gt;T,"",IF($A50&gt;L$12,"",IF(T=L$11,100,EXP(-IRTree!L51*h)*((M50+M51)/2+cc*h))))</f>
        <v/>
      </c>
      <c r="M50" s="3" t="str">
        <f>IF(M$11&gt;T,"",IF($A50&gt;M$12,"",IF(T=M$11,100,EXP(-IRTree!M51*h)*((N50+N51)/2+cc*h))))</f>
        <v/>
      </c>
      <c r="N50" s="3" t="str">
        <f>IF(N$11&gt;T,"",IF($A50&gt;N$12,"",IF(T=N$11,100,EXP(-IRTree!N51*h)*((O50+O51)/2+cc*h))))</f>
        <v/>
      </c>
      <c r="O50" s="3" t="str">
        <f>IF(O$11&gt;T,"",IF($A50&gt;O$12,"",IF(T=O$11,100,EXP(-IRTree!O51*h)*((P50+P51)/2+cc*h))))</f>
        <v/>
      </c>
      <c r="P50" s="3" t="str">
        <f>IF(P$11&gt;T,"",IF($A50&gt;P$12,"",IF(T=P$11,100,EXP(-IRTree!P51*h)*((Q50+Q51)/2+cc*h))))</f>
        <v/>
      </c>
      <c r="Q50" s="3" t="str">
        <f>IF(Q$11&gt;T,"",IF($A50&gt;Q$12,"",IF(T=Q$11,100,EXP(-IRTree!Q51*h)*((R50+R51)/2+cc*h))))</f>
        <v/>
      </c>
      <c r="R50" s="3" t="str">
        <f>IF(R$11&gt;T,"",IF($A50&gt;R$12,"",IF(T=R$11,100,EXP(-IRTree!R51*h)*((S50+S51)/2+cc*h))))</f>
        <v/>
      </c>
      <c r="S50" s="3" t="str">
        <f>IF(S$11&gt;T,"",IF($A50&gt;S$12,"",IF(T=S$11,100,EXP(-IRTree!S51*h)*((T50+T51)/2+cc*h))))</f>
        <v/>
      </c>
      <c r="T50" s="3" t="str">
        <f>IF(T$11&gt;T,"",IF($A50&gt;T$12,"",IF(T=T$11,100,EXP(-IRTree!T51*h)*((U50+U51)/2+cc*h))))</f>
        <v/>
      </c>
      <c r="U50" s="3" t="str">
        <f>IF(U$11&gt;T,"",IF($A50&gt;U$12,"",IF(T=U$11,100,EXP(-IRTree!U51*h)*((V50+V51)/2+cc*h))))</f>
        <v/>
      </c>
      <c r="V50" s="3" t="str">
        <f>IF(V$11&gt;T,"",IF($A50&gt;V$12,"",IF(T=V$11,100,EXP(-IRTree!V51*h)*((W50+W51)/2+cc*h))))</f>
        <v/>
      </c>
      <c r="W50" s="3" t="str">
        <f>IF(W$11&gt;T,"",IF($A50&gt;W$12,"",IF(T=W$11,100,EXP(-IRTree!W51*h)*((X50+X51)/2+cc*h))))</f>
        <v/>
      </c>
      <c r="X50" s="3" t="str">
        <f>IF(X$11&gt;T,"",IF($A50&gt;X$12,"",IF(T=X$11,100,EXP(-IRTree!X51*h)*((Y50+Y51)/2+cc*h))))</f>
        <v/>
      </c>
      <c r="Y50" s="3" t="str">
        <f>IF(Y$11&gt;T,"",IF($A50&gt;Y$12,"",IF(T=Y$11,100,EXP(-IRTree!Y51*h)*((Z50+Z51)/2+cc*h))))</f>
        <v/>
      </c>
      <c r="Z50" s="3" t="str">
        <f>IF(Z$11&gt;T,"",IF($A50&gt;Z$12,"",IF(T=Z$11,100,EXP(-IRTree!Z51*h)*((AA50+AA51)/2+cc*h))))</f>
        <v/>
      </c>
      <c r="AA50" s="3" t="str">
        <f>IF(AA$11&gt;T,"",IF($A50&gt;AA$12,"",IF(T=AA$11,100,EXP(-IRTree!AA51*h)*((AB50+AB51)/2+cc*h))))</f>
        <v/>
      </c>
      <c r="AB50" s="3" t="str">
        <f>IF(AB$11&gt;T,"",IF($A50&gt;AB$12,"",IF(T=AB$11,100,EXP(-IRTree!AB51*h)*((AC50+AC51)/2+cc*h))))</f>
        <v/>
      </c>
      <c r="AC50" s="3" t="str">
        <f>IF(AC$11&gt;T,"",IF($A50&gt;AC$12,"",IF(T=AC$11,100,EXP(-IRTree!AC51*h)*((AD50+AD51)/2+cc*h))))</f>
        <v/>
      </c>
      <c r="AD50" s="3" t="str">
        <f>IF(AD$11&gt;T,"",IF($A50&gt;AD$12,"",IF(T=AD$11,100,EXP(-IRTree!AD51*h)*((AE50+AE51)/2+cc*h))))</f>
        <v/>
      </c>
      <c r="AE50" s="3" t="str">
        <f>IF(AE$11&gt;T,"",IF($A50&gt;AE$12,"",IF(T=AE$11,100,EXP(-IRTree!AE51*h)*((AF50+AF51)/2+cc*h))))</f>
        <v/>
      </c>
      <c r="AF50" s="3" t="str">
        <f>IF(AF$11&gt;T,"",IF($A50&gt;AF$12,"",IF(T=AF$11,100,EXP(-IRTree!AF51*h)*((AG50+AG51)/2+cc*h))))</f>
        <v/>
      </c>
      <c r="AG50" s="3" t="str">
        <f>IF(AG$11&gt;T,"",IF($A50&gt;AG$12,"",IF(T=AG$11,100,EXP(-IRTree!AG51*h)*((AH50+AH51)/2+cc*h))))</f>
        <v/>
      </c>
      <c r="AH50" s="3" t="str">
        <f>IF(AH$11&gt;T,"",IF($A50&gt;AH$12,"",IF(T=AH$11,100,EXP(-IRTree!AH51*h)*((AI50+AI51)/2+cc*h))))</f>
        <v/>
      </c>
      <c r="AI50" s="3" t="str">
        <f>IF(AI$11&gt;T,"",IF($A50&gt;AI$12,"",IF(T=AI$11,100,EXP(-IRTree!AI51*h)*((AJ50+AJ51)/2+cc*h))))</f>
        <v/>
      </c>
      <c r="AJ50" s="3" t="str">
        <f>IF(AJ$11&gt;T,"",IF($A50&gt;AJ$12,"",IF(T=AJ$11,100,EXP(-IRTree!AJ51*h)*((AK50+AK51)/2+cc*h))))</f>
        <v/>
      </c>
      <c r="AK50" s="3" t="str">
        <f>IF(AK$11&gt;T,"",IF($A50&gt;AK$12,"",IF(T=AK$11,100,EXP(-IRTree!AK51*h)*((AL50+AL51)/2+cc*h))))</f>
        <v/>
      </c>
      <c r="AL50" s="3" t="str">
        <f>IF(AL$11&gt;T,"",IF($A50&gt;AL$12,"",IF(T=AL$11,100,EXP(-IRTree!AL51*h)*((AM50+AM51)/2+cc*h))))</f>
        <v/>
      </c>
      <c r="AM50" s="3">
        <f>IF(AM$11&gt;T,"",IF($A50&gt;AM$12,"",IF(T=AM$11,100,EXP(-IRTree!AM51*h)*((AN50+AN51)/2+cc*h))))</f>
        <v>99.828001200694544</v>
      </c>
      <c r="AN50" s="3">
        <f>IF(AN$11&gt;T,"",IF($A50&gt;AN$12,"",IF(T=AN$11,100,EXP(-IRTree!AN51*h)*((AO50+AO51)/2+cc*h))))</f>
        <v>99.864587864682591</v>
      </c>
      <c r="AO50" s="3">
        <f>IF(AO$11&gt;T,"",IF($A50&gt;AO$12,"",IF(T=AO$11,100,EXP(-IRTree!AO51*h)*((AP50+AP51)/2+cc*h))))</f>
        <v>99.920301560772216</v>
      </c>
      <c r="AP50" s="3">
        <f>IF(AP$11&gt;T,"",IF($A50&gt;AP$12,"",IF(T=AP$11,100,EXP(-IRTree!AP51*h)*((AQ50+AQ51)/2+cc*h))))</f>
        <v>100</v>
      </c>
      <c r="AQ50" s="3" t="str">
        <f>IF(AQ$11&gt;T,"",IF($A50&gt;AQ$12,"",IF(T=AQ$11,100,EXP(-IRTree!AQ51*h)*((AR50+AR51)/2+cc*h))))</f>
        <v/>
      </c>
      <c r="AR50" s="3" t="str">
        <f>IF(AR$11&gt;T,"",IF($A50&gt;AR$12,"",IF(T=AR$11,100,EXP(-IRTree!AR51*h)*((AS50+AS51)/2+cc*h))))</f>
        <v/>
      </c>
      <c r="AS50" s="3" t="str">
        <f>IF(AS$11&gt;T,"",IF($A50&gt;AS$12,"",IF(T=AS$11,100,EXP(-IRTree!AS51*h)*((AT50+AT51)/2+cc*h))))</f>
        <v/>
      </c>
      <c r="AT50" s="3" t="str">
        <f>IF(AT$11&gt;T,"",IF($A50&gt;AT$12,"",IF(T=AT$11,100,EXP(-IRTree!AT51*h)*((AU50+AU51)/2+cc*h))))</f>
        <v/>
      </c>
      <c r="AU50" s="3" t="str">
        <f>IF(AU$11&gt;T,"",IF($A50&gt;AU$12,"",IF(T=AU$11,100,EXP(-IRTree!AU51*h)*((AV50+AV51)/2+cc*h))))</f>
        <v/>
      </c>
      <c r="AV50" s="3" t="str">
        <f>IF(AV$11&gt;T,"",IF($A50&gt;AV$12,"",IF(T=AV$11,100,EXP(-IRTree!AV51*h)*((AW50+AW51)/2+cc*h))))</f>
        <v/>
      </c>
      <c r="AW50" s="3" t="str">
        <f>IF(AW$11&gt;T,"",IF($A50&gt;AW$12,"",IF(T=AW$11,100,EXP(-IRTree!AW51*h)*((AX50+AX51)/2+cc*h))))</f>
        <v/>
      </c>
      <c r="AX50" s="3" t="str">
        <f>IF(AX$11&gt;T,"",IF($A50&gt;AX$12,"",IF(T=AX$11,100,EXP(-IRTree!AX51*h)*((AY50+AY51)/2+cc*h))))</f>
        <v/>
      </c>
      <c r="AY50" s="3" t="str">
        <f>IF(AY$11&gt;T,"",IF($A50&gt;AY$12,"",IF(T=AY$11,100,EXP(-IRTree!AY51*h)*((AZ50+AZ51)/2+cc*h))))</f>
        <v/>
      </c>
      <c r="AZ50" s="3" t="str">
        <f>IF(AZ$11&gt;T,"",IF($A50&gt;AZ$12,"",IF(T=AZ$11,100,EXP(-IRTree!AZ51*h)*((BA50+BA51)/2+cc*h))))</f>
        <v/>
      </c>
      <c r="BA50" s="3" t="str">
        <f>IF(BA$11&gt;T,"",IF($A50&gt;BA$12,"",IF(T=BA$11,100,EXP(-IRTree!BA51*h)*((BB50+BB51)/2+cc*h))))</f>
        <v/>
      </c>
      <c r="BB50" s="3" t="str">
        <f>IF(BB$11&gt;T,"",IF($A50&gt;BB$12,"",IF(T=BB$11,100,EXP(-IRTree!BB51*h)*((BC50+BC51)/2+cc*h))))</f>
        <v/>
      </c>
      <c r="BC50" s="3" t="str">
        <f>IF(BC$11&gt;T,"",IF($A50&gt;BC$12,"",IF(T=BC$11,100,EXP(-IRTree!BC51*h)*((BD50+BD51)/2+cc*h))))</f>
        <v/>
      </c>
      <c r="BD50" s="3" t="str">
        <f>IF(BD$11&gt;T,"",IF($A50&gt;BD$12,"",IF(T=BD$11,100,EXP(-IRTree!BD51*h)*((BE50+BE51)/2+cc*h))))</f>
        <v/>
      </c>
      <c r="BE50" s="3" t="str">
        <f>IF(BE$11&gt;T,"",IF($A50&gt;BE$12,"",IF(T=BE$11,100,EXP(-IRTree!BE51*h)*((BF50+BF51)/2+cc*h))))</f>
        <v/>
      </c>
      <c r="BF50" s="3" t="str">
        <f>IF(BF$11&gt;T,"",IF($A50&gt;BF$12,"",IF(T=BF$11,100,EXP(-IRTree!BF51*h)*((BG50+BG51)/2+cc*h))))</f>
        <v/>
      </c>
      <c r="BG50" s="3" t="str">
        <f>IF(BG$11&gt;T,"",IF($A50&gt;BG$12,"",IF(T=BG$11,100,EXP(-IRTree!BG51*h)*((BH50+BH51)/2+cc*h))))</f>
        <v/>
      </c>
      <c r="BH50" s="3" t="str">
        <f>IF(BH$11&gt;T,"",IF($A50&gt;BH$12,"",IF(T=BH$11,100,EXP(-IRTree!BH51*h)*((BI50+BI51)/2+cc*h))))</f>
        <v/>
      </c>
      <c r="BI50" s="3" t="str">
        <f>IF(BI$11&gt;T,"",IF($A50&gt;BI$12,"",IF(T=BI$11,100,EXP(-IRTree!BI51*h)*((BJ50+BJ51)/2+cc*h))))</f>
        <v/>
      </c>
      <c r="BJ50" s="3" t="str">
        <f>IF(BJ$11&gt;T,"",IF($A50&gt;BJ$12,"",IF(T=BJ$11,100,EXP(-IRTree!BJ51*h)*((BK50+BK51)/2+cc*h))))</f>
        <v/>
      </c>
    </row>
    <row r="51" spans="1:62">
      <c r="A51" s="12">
        <f t="shared" si="2"/>
        <v>38</v>
      </c>
      <c r="B51" s="3" t="str">
        <f>IF(B$11&gt;T,"",IF($A51&gt;B$12,"",IF(T=B$11,100,EXP(-IRTree!B52*h)*((C51+C52)/2+cc*h))))</f>
        <v/>
      </c>
      <c r="C51" s="3" t="str">
        <f>IF(C$11&gt;T,"",IF($A51&gt;C$12,"",IF(T=C$11,100,EXP(-IRTree!C52*h)*((D51+D52)/2+cc*h))))</f>
        <v/>
      </c>
      <c r="D51" s="3" t="str">
        <f>IF(D$11&gt;T,"",IF($A51&gt;D$12,"",IF(T=D$11,100,EXP(-IRTree!D52*h)*((E51+E52)/2+cc*h))))</f>
        <v/>
      </c>
      <c r="E51" s="3" t="str">
        <f>IF(E$11&gt;T,"",IF($A51&gt;E$12,"",IF(T=E$11,100,EXP(-IRTree!E52*h)*((F51+F52)/2+cc*h))))</f>
        <v/>
      </c>
      <c r="F51" s="3" t="str">
        <f>IF(F$11&gt;T,"",IF($A51&gt;F$12,"",IF(T=F$11,100,EXP(-IRTree!F52*h)*((G51+G52)/2+cc*h))))</f>
        <v/>
      </c>
      <c r="G51" s="3" t="str">
        <f>IF(G$11&gt;T,"",IF($A51&gt;G$12,"",IF(T=G$11,100,EXP(-IRTree!G52*h)*((H51+H52)/2+cc*h))))</f>
        <v/>
      </c>
      <c r="H51" s="3" t="str">
        <f>IF(H$11&gt;T,"",IF($A51&gt;H$12,"",IF(T=H$11,100,EXP(-IRTree!H52*h)*((I51+I52)/2+cc*h))))</f>
        <v/>
      </c>
      <c r="I51" s="3" t="str">
        <f>IF(I$11&gt;T,"",IF($A51&gt;I$12,"",IF(T=I$11,100,EXP(-IRTree!I52*h)*((J51+J52)/2+cc*h))))</f>
        <v/>
      </c>
      <c r="J51" s="3" t="str">
        <f>IF(J$11&gt;T,"",IF($A51&gt;J$12,"",IF(T=J$11,100,EXP(-IRTree!J52*h)*((K51+K52)/2+cc*h))))</f>
        <v/>
      </c>
      <c r="K51" s="3" t="str">
        <f>IF(K$11&gt;T,"",IF($A51&gt;K$12,"",IF(T=K$11,100,EXP(-IRTree!K52*h)*((L51+L52)/2+cc*h))))</f>
        <v/>
      </c>
      <c r="L51" s="3" t="str">
        <f>IF(L$11&gt;T,"",IF($A51&gt;L$12,"",IF(T=L$11,100,EXP(-IRTree!L52*h)*((M51+M52)/2+cc*h))))</f>
        <v/>
      </c>
      <c r="M51" s="3" t="str">
        <f>IF(M$11&gt;T,"",IF($A51&gt;M$12,"",IF(T=M$11,100,EXP(-IRTree!M52*h)*((N51+N52)/2+cc*h))))</f>
        <v/>
      </c>
      <c r="N51" s="3" t="str">
        <f>IF(N$11&gt;T,"",IF($A51&gt;N$12,"",IF(T=N$11,100,EXP(-IRTree!N52*h)*((O51+O52)/2+cc*h))))</f>
        <v/>
      </c>
      <c r="O51" s="3" t="str">
        <f>IF(O$11&gt;T,"",IF($A51&gt;O$12,"",IF(T=O$11,100,EXP(-IRTree!O52*h)*((P51+P52)/2+cc*h))))</f>
        <v/>
      </c>
      <c r="P51" s="3" t="str">
        <f>IF(P$11&gt;T,"",IF($A51&gt;P$12,"",IF(T=P$11,100,EXP(-IRTree!P52*h)*((Q51+Q52)/2+cc*h))))</f>
        <v/>
      </c>
      <c r="Q51" s="3" t="str">
        <f>IF(Q$11&gt;T,"",IF($A51&gt;Q$12,"",IF(T=Q$11,100,EXP(-IRTree!Q52*h)*((R51+R52)/2+cc*h))))</f>
        <v/>
      </c>
      <c r="R51" s="3" t="str">
        <f>IF(R$11&gt;T,"",IF($A51&gt;R$12,"",IF(T=R$11,100,EXP(-IRTree!R52*h)*((S51+S52)/2+cc*h))))</f>
        <v/>
      </c>
      <c r="S51" s="3" t="str">
        <f>IF(S$11&gt;T,"",IF($A51&gt;S$12,"",IF(T=S$11,100,EXP(-IRTree!S52*h)*((T51+T52)/2+cc*h))))</f>
        <v/>
      </c>
      <c r="T51" s="3" t="str">
        <f>IF(T$11&gt;T,"",IF($A51&gt;T$12,"",IF(T=T$11,100,EXP(-IRTree!T52*h)*((U51+U52)/2+cc*h))))</f>
        <v/>
      </c>
      <c r="U51" s="3" t="str">
        <f>IF(U$11&gt;T,"",IF($A51&gt;U$12,"",IF(T=U$11,100,EXP(-IRTree!U52*h)*((V51+V52)/2+cc*h))))</f>
        <v/>
      </c>
      <c r="V51" s="3" t="str">
        <f>IF(V$11&gt;T,"",IF($A51&gt;V$12,"",IF(T=V$11,100,EXP(-IRTree!V52*h)*((W51+W52)/2+cc*h))))</f>
        <v/>
      </c>
      <c r="W51" s="3" t="str">
        <f>IF(W$11&gt;T,"",IF($A51&gt;W$12,"",IF(T=W$11,100,EXP(-IRTree!W52*h)*((X51+X52)/2+cc*h))))</f>
        <v/>
      </c>
      <c r="X51" s="3" t="str">
        <f>IF(X$11&gt;T,"",IF($A51&gt;X$12,"",IF(T=X$11,100,EXP(-IRTree!X52*h)*((Y51+Y52)/2+cc*h))))</f>
        <v/>
      </c>
      <c r="Y51" s="3" t="str">
        <f>IF(Y$11&gt;T,"",IF($A51&gt;Y$12,"",IF(T=Y$11,100,EXP(-IRTree!Y52*h)*((Z51+Z52)/2+cc*h))))</f>
        <v/>
      </c>
      <c r="Z51" s="3" t="str">
        <f>IF(Z$11&gt;T,"",IF($A51&gt;Z$12,"",IF(T=Z$11,100,EXP(-IRTree!Z52*h)*((AA51+AA52)/2+cc*h))))</f>
        <v/>
      </c>
      <c r="AA51" s="3" t="str">
        <f>IF(AA$11&gt;T,"",IF($A51&gt;AA$12,"",IF(T=AA$11,100,EXP(-IRTree!AA52*h)*((AB51+AB52)/2+cc*h))))</f>
        <v/>
      </c>
      <c r="AB51" s="3" t="str">
        <f>IF(AB$11&gt;T,"",IF($A51&gt;AB$12,"",IF(T=AB$11,100,EXP(-IRTree!AB52*h)*((AC51+AC52)/2+cc*h))))</f>
        <v/>
      </c>
      <c r="AC51" s="3" t="str">
        <f>IF(AC$11&gt;T,"",IF($A51&gt;AC$12,"",IF(T=AC$11,100,EXP(-IRTree!AC52*h)*((AD51+AD52)/2+cc*h))))</f>
        <v/>
      </c>
      <c r="AD51" s="3" t="str">
        <f>IF(AD$11&gt;T,"",IF($A51&gt;AD$12,"",IF(T=AD$11,100,EXP(-IRTree!AD52*h)*((AE51+AE52)/2+cc*h))))</f>
        <v/>
      </c>
      <c r="AE51" s="3" t="str">
        <f>IF(AE$11&gt;T,"",IF($A51&gt;AE$12,"",IF(T=AE$11,100,EXP(-IRTree!AE52*h)*((AF51+AF52)/2+cc*h))))</f>
        <v/>
      </c>
      <c r="AF51" s="3" t="str">
        <f>IF(AF$11&gt;T,"",IF($A51&gt;AF$12,"",IF(T=AF$11,100,EXP(-IRTree!AF52*h)*((AG51+AG52)/2+cc*h))))</f>
        <v/>
      </c>
      <c r="AG51" s="3" t="str">
        <f>IF(AG$11&gt;T,"",IF($A51&gt;AG$12,"",IF(T=AG$11,100,EXP(-IRTree!AG52*h)*((AH51+AH52)/2+cc*h))))</f>
        <v/>
      </c>
      <c r="AH51" s="3" t="str">
        <f>IF(AH$11&gt;T,"",IF($A51&gt;AH$12,"",IF(T=AH$11,100,EXP(-IRTree!AH52*h)*((AI51+AI52)/2+cc*h))))</f>
        <v/>
      </c>
      <c r="AI51" s="3" t="str">
        <f>IF(AI$11&gt;T,"",IF($A51&gt;AI$12,"",IF(T=AI$11,100,EXP(-IRTree!AI52*h)*((AJ51+AJ52)/2+cc*h))))</f>
        <v/>
      </c>
      <c r="AJ51" s="3" t="str">
        <f>IF(AJ$11&gt;T,"",IF($A51&gt;AJ$12,"",IF(T=AJ$11,100,EXP(-IRTree!AJ52*h)*((AK51+AK52)/2+cc*h))))</f>
        <v/>
      </c>
      <c r="AK51" s="3" t="str">
        <f>IF(AK$11&gt;T,"",IF($A51&gt;AK$12,"",IF(T=AK$11,100,EXP(-IRTree!AK52*h)*((AL51+AL52)/2+cc*h))))</f>
        <v/>
      </c>
      <c r="AL51" s="3" t="str">
        <f>IF(AL$11&gt;T,"",IF($A51&gt;AL$12,"",IF(T=AL$11,100,EXP(-IRTree!AL52*h)*((AM51+AM52)/2+cc*h))))</f>
        <v/>
      </c>
      <c r="AM51" s="3" t="str">
        <f>IF(AM$11&gt;T,"",IF($A51&gt;AM$12,"",IF(T=AM$11,100,EXP(-IRTree!AM52*h)*((AN51+AN52)/2+cc*h))))</f>
        <v/>
      </c>
      <c r="AN51" s="3">
        <f>IF(AN$11&gt;T,"",IF($A51&gt;AN$12,"",IF(T=AN$11,100,EXP(-IRTree!AN52*h)*((AO51+AO52)/2+cc*h))))</f>
        <v>99.885569310460639</v>
      </c>
      <c r="AO51" s="3">
        <f>IF(AO$11&gt;T,"",IF($A51&gt;AO$12,"",IF(T=AO$11,100,EXP(-IRTree!AO52*h)*((AP51+AP52)/2+cc*h))))</f>
        <v>99.932390403150094</v>
      </c>
      <c r="AP51" s="3">
        <f>IF(AP$11&gt;T,"",IF($A51&gt;AP$12,"",IF(T=AP$11,100,EXP(-IRTree!AP52*h)*((AQ51+AQ52)/2+cc*h))))</f>
        <v>100</v>
      </c>
      <c r="AQ51" s="3" t="str">
        <f>IF(AQ$11&gt;T,"",IF($A51&gt;AQ$12,"",IF(T=AQ$11,100,EXP(-IRTree!AQ52*h)*((AR51+AR52)/2+cc*h))))</f>
        <v/>
      </c>
      <c r="AR51" s="3" t="str">
        <f>IF(AR$11&gt;T,"",IF($A51&gt;AR$12,"",IF(T=AR$11,100,EXP(-IRTree!AR52*h)*((AS51+AS52)/2+cc*h))))</f>
        <v/>
      </c>
      <c r="AS51" s="3" t="str">
        <f>IF(AS$11&gt;T,"",IF($A51&gt;AS$12,"",IF(T=AS$11,100,EXP(-IRTree!AS52*h)*((AT51+AT52)/2+cc*h))))</f>
        <v/>
      </c>
      <c r="AT51" s="3" t="str">
        <f>IF(AT$11&gt;T,"",IF($A51&gt;AT$12,"",IF(T=AT$11,100,EXP(-IRTree!AT52*h)*((AU51+AU52)/2+cc*h))))</f>
        <v/>
      </c>
      <c r="AU51" s="3" t="str">
        <f>IF(AU$11&gt;T,"",IF($A51&gt;AU$12,"",IF(T=AU$11,100,EXP(-IRTree!AU52*h)*((AV51+AV52)/2+cc*h))))</f>
        <v/>
      </c>
      <c r="AV51" s="3" t="str">
        <f>IF(AV$11&gt;T,"",IF($A51&gt;AV$12,"",IF(T=AV$11,100,EXP(-IRTree!AV52*h)*((AW51+AW52)/2+cc*h))))</f>
        <v/>
      </c>
      <c r="AW51" s="3" t="str">
        <f>IF(AW$11&gt;T,"",IF($A51&gt;AW$12,"",IF(T=AW$11,100,EXP(-IRTree!AW52*h)*((AX51+AX52)/2+cc*h))))</f>
        <v/>
      </c>
      <c r="AX51" s="3" t="str">
        <f>IF(AX$11&gt;T,"",IF($A51&gt;AX$12,"",IF(T=AX$11,100,EXP(-IRTree!AX52*h)*((AY51+AY52)/2+cc*h))))</f>
        <v/>
      </c>
      <c r="AY51" s="3" t="str">
        <f>IF(AY$11&gt;T,"",IF($A51&gt;AY$12,"",IF(T=AY$11,100,EXP(-IRTree!AY52*h)*((AZ51+AZ52)/2+cc*h))))</f>
        <v/>
      </c>
      <c r="AZ51" s="3" t="str">
        <f>IF(AZ$11&gt;T,"",IF($A51&gt;AZ$12,"",IF(T=AZ$11,100,EXP(-IRTree!AZ52*h)*((BA51+BA52)/2+cc*h))))</f>
        <v/>
      </c>
      <c r="BA51" s="3" t="str">
        <f>IF(BA$11&gt;T,"",IF($A51&gt;BA$12,"",IF(T=BA$11,100,EXP(-IRTree!BA52*h)*((BB51+BB52)/2+cc*h))))</f>
        <v/>
      </c>
      <c r="BB51" s="3" t="str">
        <f>IF(BB$11&gt;T,"",IF($A51&gt;BB$12,"",IF(T=BB$11,100,EXP(-IRTree!BB52*h)*((BC51+BC52)/2+cc*h))))</f>
        <v/>
      </c>
      <c r="BC51" s="3" t="str">
        <f>IF(BC$11&gt;T,"",IF($A51&gt;BC$12,"",IF(T=BC$11,100,EXP(-IRTree!BC52*h)*((BD51+BD52)/2+cc*h))))</f>
        <v/>
      </c>
      <c r="BD51" s="3" t="str">
        <f>IF(BD$11&gt;T,"",IF($A51&gt;BD$12,"",IF(T=BD$11,100,EXP(-IRTree!BD52*h)*((BE51+BE52)/2+cc*h))))</f>
        <v/>
      </c>
      <c r="BE51" s="3" t="str">
        <f>IF(BE$11&gt;T,"",IF($A51&gt;BE$12,"",IF(T=BE$11,100,EXP(-IRTree!BE52*h)*((BF51+BF52)/2+cc*h))))</f>
        <v/>
      </c>
      <c r="BF51" s="3" t="str">
        <f>IF(BF$11&gt;T,"",IF($A51&gt;BF$12,"",IF(T=BF$11,100,EXP(-IRTree!BF52*h)*((BG51+BG52)/2+cc*h))))</f>
        <v/>
      </c>
      <c r="BG51" s="3" t="str">
        <f>IF(BG$11&gt;T,"",IF($A51&gt;BG$12,"",IF(T=BG$11,100,EXP(-IRTree!BG52*h)*((BH51+BH52)/2+cc*h))))</f>
        <v/>
      </c>
      <c r="BH51" s="3" t="str">
        <f>IF(BH$11&gt;T,"",IF($A51&gt;BH$12,"",IF(T=BH$11,100,EXP(-IRTree!BH52*h)*((BI51+BI52)/2+cc*h))))</f>
        <v/>
      </c>
      <c r="BI51" s="3" t="str">
        <f>IF(BI$11&gt;T,"",IF($A51&gt;BI$12,"",IF(T=BI$11,100,EXP(-IRTree!BI52*h)*((BJ51+BJ52)/2+cc*h))))</f>
        <v/>
      </c>
      <c r="BJ51" s="3" t="str">
        <f>IF(BJ$11&gt;T,"",IF($A51&gt;BJ$12,"",IF(T=BJ$11,100,EXP(-IRTree!BJ52*h)*((BK51+BK52)/2+cc*h))))</f>
        <v/>
      </c>
    </row>
    <row r="52" spans="1:62">
      <c r="A52" s="12">
        <f t="shared" si="2"/>
        <v>39</v>
      </c>
      <c r="B52" s="3" t="str">
        <f>IF(B$11&gt;T,"",IF($A52&gt;B$12,"",IF(T=B$11,100,EXP(-IRTree!B53*h)*((C52+C53)/2+cc*h))))</f>
        <v/>
      </c>
      <c r="C52" s="3" t="str">
        <f>IF(C$11&gt;T,"",IF($A52&gt;C$12,"",IF(T=C$11,100,EXP(-IRTree!C53*h)*((D52+D53)/2+cc*h))))</f>
        <v/>
      </c>
      <c r="D52" s="3" t="str">
        <f>IF(D$11&gt;T,"",IF($A52&gt;D$12,"",IF(T=D$11,100,EXP(-IRTree!D53*h)*((E52+E53)/2+cc*h))))</f>
        <v/>
      </c>
      <c r="E52" s="3" t="str">
        <f>IF(E$11&gt;T,"",IF($A52&gt;E$12,"",IF(T=E$11,100,EXP(-IRTree!E53*h)*((F52+F53)/2+cc*h))))</f>
        <v/>
      </c>
      <c r="F52" s="3" t="str">
        <f>IF(F$11&gt;T,"",IF($A52&gt;F$12,"",IF(T=F$11,100,EXP(-IRTree!F53*h)*((G52+G53)/2+cc*h))))</f>
        <v/>
      </c>
      <c r="G52" s="3" t="str">
        <f>IF(G$11&gt;T,"",IF($A52&gt;G$12,"",IF(T=G$11,100,EXP(-IRTree!G53*h)*((H52+H53)/2+cc*h))))</f>
        <v/>
      </c>
      <c r="H52" s="3" t="str">
        <f>IF(H$11&gt;T,"",IF($A52&gt;H$12,"",IF(T=H$11,100,EXP(-IRTree!H53*h)*((I52+I53)/2+cc*h))))</f>
        <v/>
      </c>
      <c r="I52" s="3" t="str">
        <f>IF(I$11&gt;T,"",IF($A52&gt;I$12,"",IF(T=I$11,100,EXP(-IRTree!I53*h)*((J52+J53)/2+cc*h))))</f>
        <v/>
      </c>
      <c r="J52" s="3" t="str">
        <f>IF(J$11&gt;T,"",IF($A52&gt;J$12,"",IF(T=J$11,100,EXP(-IRTree!J53*h)*((K52+K53)/2+cc*h))))</f>
        <v/>
      </c>
      <c r="K52" s="3" t="str">
        <f>IF(K$11&gt;T,"",IF($A52&gt;K$12,"",IF(T=K$11,100,EXP(-IRTree!K53*h)*((L52+L53)/2+cc*h))))</f>
        <v/>
      </c>
      <c r="L52" s="3" t="str">
        <f>IF(L$11&gt;T,"",IF($A52&gt;L$12,"",IF(T=L$11,100,EXP(-IRTree!L53*h)*((M52+M53)/2+cc*h))))</f>
        <v/>
      </c>
      <c r="M52" s="3" t="str">
        <f>IF(M$11&gt;T,"",IF($A52&gt;M$12,"",IF(T=M$11,100,EXP(-IRTree!M53*h)*((N52+N53)/2+cc*h))))</f>
        <v/>
      </c>
      <c r="N52" s="3" t="str">
        <f>IF(N$11&gt;T,"",IF($A52&gt;N$12,"",IF(T=N$11,100,EXP(-IRTree!N53*h)*((O52+O53)/2+cc*h))))</f>
        <v/>
      </c>
      <c r="O52" s="3" t="str">
        <f>IF(O$11&gt;T,"",IF($A52&gt;O$12,"",IF(T=O$11,100,EXP(-IRTree!O53*h)*((P52+P53)/2+cc*h))))</f>
        <v/>
      </c>
      <c r="P52" s="3" t="str">
        <f>IF(P$11&gt;T,"",IF($A52&gt;P$12,"",IF(T=P$11,100,EXP(-IRTree!P53*h)*((Q52+Q53)/2+cc*h))))</f>
        <v/>
      </c>
      <c r="Q52" s="3" t="str">
        <f>IF(Q$11&gt;T,"",IF($A52&gt;Q$12,"",IF(T=Q$11,100,EXP(-IRTree!Q53*h)*((R52+R53)/2+cc*h))))</f>
        <v/>
      </c>
      <c r="R52" s="3" t="str">
        <f>IF(R$11&gt;T,"",IF($A52&gt;R$12,"",IF(T=R$11,100,EXP(-IRTree!R53*h)*((S52+S53)/2+cc*h))))</f>
        <v/>
      </c>
      <c r="S52" s="3" t="str">
        <f>IF(S$11&gt;T,"",IF($A52&gt;S$12,"",IF(T=S$11,100,EXP(-IRTree!S53*h)*((T52+T53)/2+cc*h))))</f>
        <v/>
      </c>
      <c r="T52" s="3" t="str">
        <f>IF(T$11&gt;T,"",IF($A52&gt;T$12,"",IF(T=T$11,100,EXP(-IRTree!T53*h)*((U52+U53)/2+cc*h))))</f>
        <v/>
      </c>
      <c r="U52" s="3" t="str">
        <f>IF(U$11&gt;T,"",IF($A52&gt;U$12,"",IF(T=U$11,100,EXP(-IRTree!U53*h)*((V52+V53)/2+cc*h))))</f>
        <v/>
      </c>
      <c r="V52" s="3" t="str">
        <f>IF(V$11&gt;T,"",IF($A52&gt;V$12,"",IF(T=V$11,100,EXP(-IRTree!V53*h)*((W52+W53)/2+cc*h))))</f>
        <v/>
      </c>
      <c r="W52" s="3" t="str">
        <f>IF(W$11&gt;T,"",IF($A52&gt;W$12,"",IF(T=W$11,100,EXP(-IRTree!W53*h)*((X52+X53)/2+cc*h))))</f>
        <v/>
      </c>
      <c r="X52" s="3" t="str">
        <f>IF(X$11&gt;T,"",IF($A52&gt;X$12,"",IF(T=X$11,100,EXP(-IRTree!X53*h)*((Y52+Y53)/2+cc*h))))</f>
        <v/>
      </c>
      <c r="Y52" s="3" t="str">
        <f>IF(Y$11&gt;T,"",IF($A52&gt;Y$12,"",IF(T=Y$11,100,EXP(-IRTree!Y53*h)*((Z52+Z53)/2+cc*h))))</f>
        <v/>
      </c>
      <c r="Z52" s="3" t="str">
        <f>IF(Z$11&gt;T,"",IF($A52&gt;Z$12,"",IF(T=Z$11,100,EXP(-IRTree!Z53*h)*((AA52+AA53)/2+cc*h))))</f>
        <v/>
      </c>
      <c r="AA52" s="3" t="str">
        <f>IF(AA$11&gt;T,"",IF($A52&gt;AA$12,"",IF(T=AA$11,100,EXP(-IRTree!AA53*h)*((AB52+AB53)/2+cc*h))))</f>
        <v/>
      </c>
      <c r="AB52" s="3" t="str">
        <f>IF(AB$11&gt;T,"",IF($A52&gt;AB$12,"",IF(T=AB$11,100,EXP(-IRTree!AB53*h)*((AC52+AC53)/2+cc*h))))</f>
        <v/>
      </c>
      <c r="AC52" s="3" t="str">
        <f>IF(AC$11&gt;T,"",IF($A52&gt;AC$12,"",IF(T=AC$11,100,EXP(-IRTree!AC53*h)*((AD52+AD53)/2+cc*h))))</f>
        <v/>
      </c>
      <c r="AD52" s="3" t="str">
        <f>IF(AD$11&gt;T,"",IF($A52&gt;AD$12,"",IF(T=AD$11,100,EXP(-IRTree!AD53*h)*((AE52+AE53)/2+cc*h))))</f>
        <v/>
      </c>
      <c r="AE52" s="3" t="str">
        <f>IF(AE$11&gt;T,"",IF($A52&gt;AE$12,"",IF(T=AE$11,100,EXP(-IRTree!AE53*h)*((AF52+AF53)/2+cc*h))))</f>
        <v/>
      </c>
      <c r="AF52" s="3" t="str">
        <f>IF(AF$11&gt;T,"",IF($A52&gt;AF$12,"",IF(T=AF$11,100,EXP(-IRTree!AF53*h)*((AG52+AG53)/2+cc*h))))</f>
        <v/>
      </c>
      <c r="AG52" s="3" t="str">
        <f>IF(AG$11&gt;T,"",IF($A52&gt;AG$12,"",IF(T=AG$11,100,EXP(-IRTree!AG53*h)*((AH52+AH53)/2+cc*h))))</f>
        <v/>
      </c>
      <c r="AH52" s="3" t="str">
        <f>IF(AH$11&gt;T,"",IF($A52&gt;AH$12,"",IF(T=AH$11,100,EXP(-IRTree!AH53*h)*((AI52+AI53)/2+cc*h))))</f>
        <v/>
      </c>
      <c r="AI52" s="3" t="str">
        <f>IF(AI$11&gt;T,"",IF($A52&gt;AI$12,"",IF(T=AI$11,100,EXP(-IRTree!AI53*h)*((AJ52+AJ53)/2+cc*h))))</f>
        <v/>
      </c>
      <c r="AJ52" s="3" t="str">
        <f>IF(AJ$11&gt;T,"",IF($A52&gt;AJ$12,"",IF(T=AJ$11,100,EXP(-IRTree!AJ53*h)*((AK52+AK53)/2+cc*h))))</f>
        <v/>
      </c>
      <c r="AK52" s="3" t="str">
        <f>IF(AK$11&gt;T,"",IF($A52&gt;AK$12,"",IF(T=AK$11,100,EXP(-IRTree!AK53*h)*((AL52+AL53)/2+cc*h))))</f>
        <v/>
      </c>
      <c r="AL52" s="3" t="str">
        <f>IF(AL$11&gt;T,"",IF($A52&gt;AL$12,"",IF(T=AL$11,100,EXP(-IRTree!AL53*h)*((AM52+AM53)/2+cc*h))))</f>
        <v/>
      </c>
      <c r="AM52" s="3" t="str">
        <f>IF(AM$11&gt;T,"",IF($A52&gt;AM$12,"",IF(T=AM$11,100,EXP(-IRTree!AM53*h)*((AN52+AN53)/2+cc*h))))</f>
        <v/>
      </c>
      <c r="AN52" s="3" t="str">
        <f>IF(AN$11&gt;T,"",IF($A52&gt;AN$12,"",IF(T=AN$11,100,EXP(-IRTree!AN53*h)*((AO52+AO53)/2+cc*h))))</f>
        <v/>
      </c>
      <c r="AO52" s="3">
        <f>IF(AO$11&gt;T,"",IF($A52&gt;AO$12,"",IF(T=AO$11,100,EXP(-IRTree!AO53*h)*((AP52+AP53)/2+cc*h))))</f>
        <v>99.942646108427837</v>
      </c>
      <c r="AP52" s="3">
        <f>IF(AP$11&gt;T,"",IF($A52&gt;AP$12,"",IF(T=AP$11,100,EXP(-IRTree!AP53*h)*((AQ52+AQ53)/2+cc*h))))</f>
        <v>100</v>
      </c>
      <c r="AQ52" s="3" t="str">
        <f>IF(AQ$11&gt;T,"",IF($A52&gt;AQ$12,"",IF(T=AQ$11,100,EXP(-IRTree!AQ53*h)*((AR52+AR53)/2+cc*h))))</f>
        <v/>
      </c>
      <c r="AR52" s="3" t="str">
        <f>IF(AR$11&gt;T,"",IF($A52&gt;AR$12,"",IF(T=AR$11,100,EXP(-IRTree!AR53*h)*((AS52+AS53)/2+cc*h))))</f>
        <v/>
      </c>
      <c r="AS52" s="3" t="str">
        <f>IF(AS$11&gt;T,"",IF($A52&gt;AS$12,"",IF(T=AS$11,100,EXP(-IRTree!AS53*h)*((AT52+AT53)/2+cc*h))))</f>
        <v/>
      </c>
      <c r="AT52" s="3" t="str">
        <f>IF(AT$11&gt;T,"",IF($A52&gt;AT$12,"",IF(T=AT$11,100,EXP(-IRTree!AT53*h)*((AU52+AU53)/2+cc*h))))</f>
        <v/>
      </c>
      <c r="AU52" s="3" t="str">
        <f>IF(AU$11&gt;T,"",IF($A52&gt;AU$12,"",IF(T=AU$11,100,EXP(-IRTree!AU53*h)*((AV52+AV53)/2+cc*h))))</f>
        <v/>
      </c>
      <c r="AV52" s="3" t="str">
        <f>IF(AV$11&gt;T,"",IF($A52&gt;AV$12,"",IF(T=AV$11,100,EXP(-IRTree!AV53*h)*((AW52+AW53)/2+cc*h))))</f>
        <v/>
      </c>
      <c r="AW52" s="3" t="str">
        <f>IF(AW$11&gt;T,"",IF($A52&gt;AW$12,"",IF(T=AW$11,100,EXP(-IRTree!AW53*h)*((AX52+AX53)/2+cc*h))))</f>
        <v/>
      </c>
      <c r="AX52" s="3" t="str">
        <f>IF(AX$11&gt;T,"",IF($A52&gt;AX$12,"",IF(T=AX$11,100,EXP(-IRTree!AX53*h)*((AY52+AY53)/2+cc*h))))</f>
        <v/>
      </c>
      <c r="AY52" s="3" t="str">
        <f>IF(AY$11&gt;T,"",IF($A52&gt;AY$12,"",IF(T=AY$11,100,EXP(-IRTree!AY53*h)*((AZ52+AZ53)/2+cc*h))))</f>
        <v/>
      </c>
      <c r="AZ52" s="3" t="str">
        <f>IF(AZ$11&gt;T,"",IF($A52&gt;AZ$12,"",IF(T=AZ$11,100,EXP(-IRTree!AZ53*h)*((BA52+BA53)/2+cc*h))))</f>
        <v/>
      </c>
      <c r="BA52" s="3" t="str">
        <f>IF(BA$11&gt;T,"",IF($A52&gt;BA$12,"",IF(T=BA$11,100,EXP(-IRTree!BA53*h)*((BB52+BB53)/2+cc*h))))</f>
        <v/>
      </c>
      <c r="BB52" s="3" t="str">
        <f>IF(BB$11&gt;T,"",IF($A52&gt;BB$12,"",IF(T=BB$11,100,EXP(-IRTree!BB53*h)*((BC52+BC53)/2+cc*h))))</f>
        <v/>
      </c>
      <c r="BC52" s="3" t="str">
        <f>IF(BC$11&gt;T,"",IF($A52&gt;BC$12,"",IF(T=BC$11,100,EXP(-IRTree!BC53*h)*((BD52+BD53)/2+cc*h))))</f>
        <v/>
      </c>
      <c r="BD52" s="3" t="str">
        <f>IF(BD$11&gt;T,"",IF($A52&gt;BD$12,"",IF(T=BD$11,100,EXP(-IRTree!BD53*h)*((BE52+BE53)/2+cc*h))))</f>
        <v/>
      </c>
      <c r="BE52" s="3" t="str">
        <f>IF(BE$11&gt;T,"",IF($A52&gt;BE$12,"",IF(T=BE$11,100,EXP(-IRTree!BE53*h)*((BF52+BF53)/2+cc*h))))</f>
        <v/>
      </c>
      <c r="BF52" s="3" t="str">
        <f>IF(BF$11&gt;T,"",IF($A52&gt;BF$12,"",IF(T=BF$11,100,EXP(-IRTree!BF53*h)*((BG52+BG53)/2+cc*h))))</f>
        <v/>
      </c>
      <c r="BG52" s="3" t="str">
        <f>IF(BG$11&gt;T,"",IF($A52&gt;BG$12,"",IF(T=BG$11,100,EXP(-IRTree!BG53*h)*((BH52+BH53)/2+cc*h))))</f>
        <v/>
      </c>
      <c r="BH52" s="3" t="str">
        <f>IF(BH$11&gt;T,"",IF($A52&gt;BH$12,"",IF(T=BH$11,100,EXP(-IRTree!BH53*h)*((BI52+BI53)/2+cc*h))))</f>
        <v/>
      </c>
      <c r="BI52" s="3" t="str">
        <f>IF(BI$11&gt;T,"",IF($A52&gt;BI$12,"",IF(T=BI$11,100,EXP(-IRTree!BI53*h)*((BJ52+BJ53)/2+cc*h))))</f>
        <v/>
      </c>
      <c r="BJ52" s="3" t="str">
        <f>IF(BJ$11&gt;T,"",IF($A52&gt;BJ$12,"",IF(T=BJ$11,100,EXP(-IRTree!BJ53*h)*((BK52+BK53)/2+cc*h))))</f>
        <v/>
      </c>
    </row>
    <row r="53" spans="1:62">
      <c r="A53" s="12">
        <f t="shared" si="2"/>
        <v>40</v>
      </c>
      <c r="B53" s="3" t="str">
        <f>IF(B$11&gt;T,"",IF($A53&gt;B$12,"",IF(T=B$11,100,EXP(-IRTree!B54*h)*((C53+C54)/2+cc*h))))</f>
        <v/>
      </c>
      <c r="C53" s="3" t="str">
        <f>IF(C$11&gt;T,"",IF($A53&gt;C$12,"",IF(T=C$11,100,EXP(-IRTree!C54*h)*((D53+D54)/2+cc*h))))</f>
        <v/>
      </c>
      <c r="D53" s="3" t="str">
        <f>IF(D$11&gt;T,"",IF($A53&gt;D$12,"",IF(T=D$11,100,EXP(-IRTree!D54*h)*((E53+E54)/2+cc*h))))</f>
        <v/>
      </c>
      <c r="E53" s="3" t="str">
        <f>IF(E$11&gt;T,"",IF($A53&gt;E$12,"",IF(T=E$11,100,EXP(-IRTree!E54*h)*((F53+F54)/2+cc*h))))</f>
        <v/>
      </c>
      <c r="F53" s="3" t="str">
        <f>IF(F$11&gt;T,"",IF($A53&gt;F$12,"",IF(T=F$11,100,EXP(-IRTree!F54*h)*((G53+G54)/2+cc*h))))</f>
        <v/>
      </c>
      <c r="G53" s="3" t="str">
        <f>IF(G$11&gt;T,"",IF($A53&gt;G$12,"",IF(T=G$11,100,EXP(-IRTree!G54*h)*((H53+H54)/2+cc*h))))</f>
        <v/>
      </c>
      <c r="H53" s="3" t="str">
        <f>IF(H$11&gt;T,"",IF($A53&gt;H$12,"",IF(T=H$11,100,EXP(-IRTree!H54*h)*((I53+I54)/2+cc*h))))</f>
        <v/>
      </c>
      <c r="I53" s="3" t="str">
        <f>IF(I$11&gt;T,"",IF($A53&gt;I$12,"",IF(T=I$11,100,EXP(-IRTree!I54*h)*((J53+J54)/2+cc*h))))</f>
        <v/>
      </c>
      <c r="J53" s="3" t="str">
        <f>IF(J$11&gt;T,"",IF($A53&gt;J$12,"",IF(T=J$11,100,EXP(-IRTree!J54*h)*((K53+K54)/2+cc*h))))</f>
        <v/>
      </c>
      <c r="K53" s="3" t="str">
        <f>IF(K$11&gt;T,"",IF($A53&gt;K$12,"",IF(T=K$11,100,EXP(-IRTree!K54*h)*((L53+L54)/2+cc*h))))</f>
        <v/>
      </c>
      <c r="L53" s="3" t="str">
        <f>IF(L$11&gt;T,"",IF($A53&gt;L$12,"",IF(T=L$11,100,EXP(-IRTree!L54*h)*((M53+M54)/2+cc*h))))</f>
        <v/>
      </c>
      <c r="M53" s="3" t="str">
        <f>IF(M$11&gt;T,"",IF($A53&gt;M$12,"",IF(T=M$11,100,EXP(-IRTree!M54*h)*((N53+N54)/2+cc*h))))</f>
        <v/>
      </c>
      <c r="N53" s="3" t="str">
        <f>IF(N$11&gt;T,"",IF($A53&gt;N$12,"",IF(T=N$11,100,EXP(-IRTree!N54*h)*((O53+O54)/2+cc*h))))</f>
        <v/>
      </c>
      <c r="O53" s="3" t="str">
        <f>IF(O$11&gt;T,"",IF($A53&gt;O$12,"",IF(T=O$11,100,EXP(-IRTree!O54*h)*((P53+P54)/2+cc*h))))</f>
        <v/>
      </c>
      <c r="P53" s="3" t="str">
        <f>IF(P$11&gt;T,"",IF($A53&gt;P$12,"",IF(T=P$11,100,EXP(-IRTree!P54*h)*((Q53+Q54)/2+cc*h))))</f>
        <v/>
      </c>
      <c r="Q53" s="3" t="str">
        <f>IF(Q$11&gt;T,"",IF($A53&gt;Q$12,"",IF(T=Q$11,100,EXP(-IRTree!Q54*h)*((R53+R54)/2+cc*h))))</f>
        <v/>
      </c>
      <c r="R53" s="3" t="str">
        <f>IF(R$11&gt;T,"",IF($A53&gt;R$12,"",IF(T=R$11,100,EXP(-IRTree!R54*h)*((S53+S54)/2+cc*h))))</f>
        <v/>
      </c>
      <c r="S53" s="3" t="str">
        <f>IF(S$11&gt;T,"",IF($A53&gt;S$12,"",IF(T=S$11,100,EXP(-IRTree!S54*h)*((T53+T54)/2+cc*h))))</f>
        <v/>
      </c>
      <c r="T53" s="3" t="str">
        <f>IF(T$11&gt;T,"",IF($A53&gt;T$12,"",IF(T=T$11,100,EXP(-IRTree!T54*h)*((U53+U54)/2+cc*h))))</f>
        <v/>
      </c>
      <c r="U53" s="3" t="str">
        <f>IF(U$11&gt;T,"",IF($A53&gt;U$12,"",IF(T=U$11,100,EXP(-IRTree!U54*h)*((V53+V54)/2+cc*h))))</f>
        <v/>
      </c>
      <c r="V53" s="3" t="str">
        <f>IF(V$11&gt;T,"",IF($A53&gt;V$12,"",IF(T=V$11,100,EXP(-IRTree!V54*h)*((W53+W54)/2+cc*h))))</f>
        <v/>
      </c>
      <c r="W53" s="3" t="str">
        <f>IF(W$11&gt;T,"",IF($A53&gt;W$12,"",IF(T=W$11,100,EXP(-IRTree!W54*h)*((X53+X54)/2+cc*h))))</f>
        <v/>
      </c>
      <c r="X53" s="3" t="str">
        <f>IF(X$11&gt;T,"",IF($A53&gt;X$12,"",IF(T=X$11,100,EXP(-IRTree!X54*h)*((Y53+Y54)/2+cc*h))))</f>
        <v/>
      </c>
      <c r="Y53" s="3" t="str">
        <f>IF(Y$11&gt;T,"",IF($A53&gt;Y$12,"",IF(T=Y$11,100,EXP(-IRTree!Y54*h)*((Z53+Z54)/2+cc*h))))</f>
        <v/>
      </c>
      <c r="Z53" s="3" t="str">
        <f>IF(Z$11&gt;T,"",IF($A53&gt;Z$12,"",IF(T=Z$11,100,EXP(-IRTree!Z54*h)*((AA53+AA54)/2+cc*h))))</f>
        <v/>
      </c>
      <c r="AA53" s="3" t="str">
        <f>IF(AA$11&gt;T,"",IF($A53&gt;AA$12,"",IF(T=AA$11,100,EXP(-IRTree!AA54*h)*((AB53+AB54)/2+cc*h))))</f>
        <v/>
      </c>
      <c r="AB53" s="3" t="str">
        <f>IF(AB$11&gt;T,"",IF($A53&gt;AB$12,"",IF(T=AB$11,100,EXP(-IRTree!AB54*h)*((AC53+AC54)/2+cc*h))))</f>
        <v/>
      </c>
      <c r="AC53" s="3" t="str">
        <f>IF(AC$11&gt;T,"",IF($A53&gt;AC$12,"",IF(T=AC$11,100,EXP(-IRTree!AC54*h)*((AD53+AD54)/2+cc*h))))</f>
        <v/>
      </c>
      <c r="AD53" s="3" t="str">
        <f>IF(AD$11&gt;T,"",IF($A53&gt;AD$12,"",IF(T=AD$11,100,EXP(-IRTree!AD54*h)*((AE53+AE54)/2+cc*h))))</f>
        <v/>
      </c>
      <c r="AE53" s="3" t="str">
        <f>IF(AE$11&gt;T,"",IF($A53&gt;AE$12,"",IF(T=AE$11,100,EXP(-IRTree!AE54*h)*((AF53+AF54)/2+cc*h))))</f>
        <v/>
      </c>
      <c r="AF53" s="3" t="str">
        <f>IF(AF$11&gt;T,"",IF($A53&gt;AF$12,"",IF(T=AF$11,100,EXP(-IRTree!AF54*h)*((AG53+AG54)/2+cc*h))))</f>
        <v/>
      </c>
      <c r="AG53" s="3" t="str">
        <f>IF(AG$11&gt;T,"",IF($A53&gt;AG$12,"",IF(T=AG$11,100,EXP(-IRTree!AG54*h)*((AH53+AH54)/2+cc*h))))</f>
        <v/>
      </c>
      <c r="AH53" s="3" t="str">
        <f>IF(AH$11&gt;T,"",IF($A53&gt;AH$12,"",IF(T=AH$11,100,EXP(-IRTree!AH54*h)*((AI53+AI54)/2+cc*h))))</f>
        <v/>
      </c>
      <c r="AI53" s="3" t="str">
        <f>IF(AI$11&gt;T,"",IF($A53&gt;AI$12,"",IF(T=AI$11,100,EXP(-IRTree!AI54*h)*((AJ53+AJ54)/2+cc*h))))</f>
        <v/>
      </c>
      <c r="AJ53" s="3" t="str">
        <f>IF(AJ$11&gt;T,"",IF($A53&gt;AJ$12,"",IF(T=AJ$11,100,EXP(-IRTree!AJ54*h)*((AK53+AK54)/2+cc*h))))</f>
        <v/>
      </c>
      <c r="AK53" s="3" t="str">
        <f>IF(AK$11&gt;T,"",IF($A53&gt;AK$12,"",IF(T=AK$11,100,EXP(-IRTree!AK54*h)*((AL53+AL54)/2+cc*h))))</f>
        <v/>
      </c>
      <c r="AL53" s="3" t="str">
        <f>IF(AL$11&gt;T,"",IF($A53&gt;AL$12,"",IF(T=AL$11,100,EXP(-IRTree!AL54*h)*((AM53+AM54)/2+cc*h))))</f>
        <v/>
      </c>
      <c r="AM53" s="3" t="str">
        <f>IF(AM$11&gt;T,"",IF($A53&gt;AM$12,"",IF(T=AM$11,100,EXP(-IRTree!AM54*h)*((AN53+AN54)/2+cc*h))))</f>
        <v/>
      </c>
      <c r="AN53" s="3" t="str">
        <f>IF(AN$11&gt;T,"",IF($A53&gt;AN$12,"",IF(T=AN$11,100,EXP(-IRTree!AN54*h)*((AO53+AO54)/2+cc*h))))</f>
        <v/>
      </c>
      <c r="AO53" s="3" t="str">
        <f>IF(AO$11&gt;T,"",IF($A53&gt;AO$12,"",IF(T=AO$11,100,EXP(-IRTree!AO54*h)*((AP53+AP54)/2+cc*h))))</f>
        <v/>
      </c>
      <c r="AP53" s="3">
        <f>IF(AP$11&gt;T,"",IF($A53&gt;AP$12,"",IF(T=AP$11,100,EXP(-IRTree!AP54*h)*((AQ53+AQ54)/2+cc*h))))</f>
        <v>100</v>
      </c>
      <c r="AQ53" s="3" t="str">
        <f>IF(AQ$11&gt;T,"",IF($A53&gt;AQ$12,"",IF(T=AQ$11,100,EXP(-IRTree!AQ54*h)*((AR53+AR54)/2+cc*h))))</f>
        <v/>
      </c>
      <c r="AR53" s="3" t="str">
        <f>IF(AR$11&gt;T,"",IF($A53&gt;AR$12,"",IF(T=AR$11,100,EXP(-IRTree!AR54*h)*((AS53+AS54)/2+cc*h))))</f>
        <v/>
      </c>
      <c r="AS53" s="3" t="str">
        <f>IF(AS$11&gt;T,"",IF($A53&gt;AS$12,"",IF(T=AS$11,100,EXP(-IRTree!AS54*h)*((AT53+AT54)/2+cc*h))))</f>
        <v/>
      </c>
      <c r="AT53" s="3" t="str">
        <f>IF(AT$11&gt;T,"",IF($A53&gt;AT$12,"",IF(T=AT$11,100,EXP(-IRTree!AT54*h)*((AU53+AU54)/2+cc*h))))</f>
        <v/>
      </c>
      <c r="AU53" s="3" t="str">
        <f>IF(AU$11&gt;T,"",IF($A53&gt;AU$12,"",IF(T=AU$11,100,EXP(-IRTree!AU54*h)*((AV53+AV54)/2+cc*h))))</f>
        <v/>
      </c>
      <c r="AV53" s="3" t="str">
        <f>IF(AV$11&gt;T,"",IF($A53&gt;AV$12,"",IF(T=AV$11,100,EXP(-IRTree!AV54*h)*((AW53+AW54)/2+cc*h))))</f>
        <v/>
      </c>
      <c r="AW53" s="3" t="str">
        <f>IF(AW$11&gt;T,"",IF($A53&gt;AW$12,"",IF(T=AW$11,100,EXP(-IRTree!AW54*h)*((AX53+AX54)/2+cc*h))))</f>
        <v/>
      </c>
      <c r="AX53" s="3" t="str">
        <f>IF(AX$11&gt;T,"",IF($A53&gt;AX$12,"",IF(T=AX$11,100,EXP(-IRTree!AX54*h)*((AY53+AY54)/2+cc*h))))</f>
        <v/>
      </c>
      <c r="AY53" s="3" t="str">
        <f>IF(AY$11&gt;T,"",IF($A53&gt;AY$12,"",IF(T=AY$11,100,EXP(-IRTree!AY54*h)*((AZ53+AZ54)/2+cc*h))))</f>
        <v/>
      </c>
      <c r="AZ53" s="3" t="str">
        <f>IF(AZ$11&gt;T,"",IF($A53&gt;AZ$12,"",IF(T=AZ$11,100,EXP(-IRTree!AZ54*h)*((BA53+BA54)/2+cc*h))))</f>
        <v/>
      </c>
      <c r="BA53" s="3" t="str">
        <f>IF(BA$11&gt;T,"",IF($A53&gt;BA$12,"",IF(T=BA$11,100,EXP(-IRTree!BA54*h)*((BB53+BB54)/2+cc*h))))</f>
        <v/>
      </c>
      <c r="BB53" s="3" t="str">
        <f>IF(BB$11&gt;T,"",IF($A53&gt;BB$12,"",IF(T=BB$11,100,EXP(-IRTree!BB54*h)*((BC53+BC54)/2+cc*h))))</f>
        <v/>
      </c>
      <c r="BC53" s="3" t="str">
        <f>IF(BC$11&gt;T,"",IF($A53&gt;BC$12,"",IF(T=BC$11,100,EXP(-IRTree!BC54*h)*((BD53+BD54)/2+cc*h))))</f>
        <v/>
      </c>
      <c r="BD53" s="3" t="str">
        <f>IF(BD$11&gt;T,"",IF($A53&gt;BD$12,"",IF(T=BD$11,100,EXP(-IRTree!BD54*h)*((BE53+BE54)/2+cc*h))))</f>
        <v/>
      </c>
      <c r="BE53" s="3" t="str">
        <f>IF(BE$11&gt;T,"",IF($A53&gt;BE$12,"",IF(T=BE$11,100,EXP(-IRTree!BE54*h)*((BF53+BF54)/2+cc*h))))</f>
        <v/>
      </c>
      <c r="BF53" s="3" t="str">
        <f>IF(BF$11&gt;T,"",IF($A53&gt;BF$12,"",IF(T=BF$11,100,EXP(-IRTree!BF54*h)*((BG53+BG54)/2+cc*h))))</f>
        <v/>
      </c>
      <c r="BG53" s="3" t="str">
        <f>IF(BG$11&gt;T,"",IF($A53&gt;BG$12,"",IF(T=BG$11,100,EXP(-IRTree!BG54*h)*((BH53+BH54)/2+cc*h))))</f>
        <v/>
      </c>
      <c r="BH53" s="3" t="str">
        <f>IF(BH$11&gt;T,"",IF($A53&gt;BH$12,"",IF(T=BH$11,100,EXP(-IRTree!BH54*h)*((BI53+BI54)/2+cc*h))))</f>
        <v/>
      </c>
      <c r="BI53" s="3" t="str">
        <f>IF(BI$11&gt;T,"",IF($A53&gt;BI$12,"",IF(T=BI$11,100,EXP(-IRTree!BI54*h)*((BJ53+BJ54)/2+cc*h))))</f>
        <v/>
      </c>
      <c r="BJ53" s="3" t="str">
        <f>IF(BJ$11&gt;T,"",IF($A53&gt;BJ$12,"",IF(T=BJ$11,100,EXP(-IRTree!BJ54*h)*((BK53+BK54)/2+cc*h))))</f>
        <v/>
      </c>
    </row>
    <row r="54" spans="1:62">
      <c r="A54" s="12">
        <f t="shared" si="2"/>
        <v>41</v>
      </c>
      <c r="B54" s="3" t="str">
        <f>IF(B$11&gt;T,"",IF($A54&gt;B$12,"",IF(T=B$11,100,EXP(-IRTree!B55*h)*((C54+C55)/2+cc*h))))</f>
        <v/>
      </c>
      <c r="C54" s="3" t="str">
        <f>IF(C$11&gt;T,"",IF($A54&gt;C$12,"",IF(T=C$11,100,EXP(-IRTree!C55*h)*((D54+D55)/2+cc*h))))</f>
        <v/>
      </c>
      <c r="D54" s="3" t="str">
        <f>IF(D$11&gt;T,"",IF($A54&gt;D$12,"",IF(T=D$11,100,EXP(-IRTree!D55*h)*((E54+E55)/2+cc*h))))</f>
        <v/>
      </c>
      <c r="E54" s="3" t="str">
        <f>IF(E$11&gt;T,"",IF($A54&gt;E$12,"",IF(T=E$11,100,EXP(-IRTree!E55*h)*((F54+F55)/2+cc*h))))</f>
        <v/>
      </c>
      <c r="F54" s="3" t="str">
        <f>IF(F$11&gt;T,"",IF($A54&gt;F$12,"",IF(T=F$11,100,EXP(-IRTree!F55*h)*((G54+G55)/2+cc*h))))</f>
        <v/>
      </c>
      <c r="G54" s="3" t="str">
        <f>IF(G$11&gt;T,"",IF($A54&gt;G$12,"",IF(T=G$11,100,EXP(-IRTree!G55*h)*((H54+H55)/2+cc*h))))</f>
        <v/>
      </c>
      <c r="H54" s="3" t="str">
        <f>IF(H$11&gt;T,"",IF($A54&gt;H$12,"",IF(T=H$11,100,EXP(-IRTree!H55*h)*((I54+I55)/2+cc*h))))</f>
        <v/>
      </c>
      <c r="I54" s="3" t="str">
        <f>IF(I$11&gt;T,"",IF($A54&gt;I$12,"",IF(T=I$11,100,EXP(-IRTree!I55*h)*((J54+J55)/2+cc*h))))</f>
        <v/>
      </c>
      <c r="J54" s="3" t="str">
        <f>IF(J$11&gt;T,"",IF($A54&gt;J$12,"",IF(T=J$11,100,EXP(-IRTree!J55*h)*((K54+K55)/2+cc*h))))</f>
        <v/>
      </c>
      <c r="K54" s="3" t="str">
        <f>IF(K$11&gt;T,"",IF($A54&gt;K$12,"",IF(T=K$11,100,EXP(-IRTree!K55*h)*((L54+L55)/2+cc*h))))</f>
        <v/>
      </c>
      <c r="L54" s="3" t="str">
        <f>IF(L$11&gt;T,"",IF($A54&gt;L$12,"",IF(T=L$11,100,EXP(-IRTree!L55*h)*((M54+M55)/2+cc*h))))</f>
        <v/>
      </c>
      <c r="M54" s="3" t="str">
        <f>IF(M$11&gt;T,"",IF($A54&gt;M$12,"",IF(T=M$11,100,EXP(-IRTree!M55*h)*((N54+N55)/2+cc*h))))</f>
        <v/>
      </c>
      <c r="N54" s="3" t="str">
        <f>IF(N$11&gt;T,"",IF($A54&gt;N$12,"",IF(T=N$11,100,EXP(-IRTree!N55*h)*((O54+O55)/2+cc*h))))</f>
        <v/>
      </c>
      <c r="O54" s="3" t="str">
        <f>IF(O$11&gt;T,"",IF($A54&gt;O$12,"",IF(T=O$11,100,EXP(-IRTree!O55*h)*((P54+P55)/2+cc*h))))</f>
        <v/>
      </c>
      <c r="P54" s="3" t="str">
        <f>IF(P$11&gt;T,"",IF($A54&gt;P$12,"",IF(T=P$11,100,EXP(-IRTree!P55*h)*((Q54+Q55)/2+cc*h))))</f>
        <v/>
      </c>
      <c r="Q54" s="3" t="str">
        <f>IF(Q$11&gt;T,"",IF($A54&gt;Q$12,"",IF(T=Q$11,100,EXP(-IRTree!Q55*h)*((R54+R55)/2+cc*h))))</f>
        <v/>
      </c>
      <c r="R54" s="3" t="str">
        <f>IF(R$11&gt;T,"",IF($A54&gt;R$12,"",IF(T=R$11,100,EXP(-IRTree!R55*h)*((S54+S55)/2+cc*h))))</f>
        <v/>
      </c>
      <c r="S54" s="3" t="str">
        <f>IF(S$11&gt;T,"",IF($A54&gt;S$12,"",IF(T=S$11,100,EXP(-IRTree!S55*h)*((T54+T55)/2+cc*h))))</f>
        <v/>
      </c>
      <c r="T54" s="3" t="str">
        <f>IF(T$11&gt;T,"",IF($A54&gt;T$12,"",IF(T=T$11,100,EXP(-IRTree!T55*h)*((U54+U55)/2+cc*h))))</f>
        <v/>
      </c>
      <c r="U54" s="3" t="str">
        <f>IF(U$11&gt;T,"",IF($A54&gt;U$12,"",IF(T=U$11,100,EXP(-IRTree!U55*h)*((V54+V55)/2+cc*h))))</f>
        <v/>
      </c>
      <c r="V54" s="3" t="str">
        <f>IF(V$11&gt;T,"",IF($A54&gt;V$12,"",IF(T=V$11,100,EXP(-IRTree!V55*h)*((W54+W55)/2+cc*h))))</f>
        <v/>
      </c>
      <c r="W54" s="3" t="str">
        <f>IF(W$11&gt;T,"",IF($A54&gt;W$12,"",IF(T=W$11,100,EXP(-IRTree!W55*h)*((X54+X55)/2+cc*h))))</f>
        <v/>
      </c>
      <c r="X54" s="3" t="str">
        <f>IF(X$11&gt;T,"",IF($A54&gt;X$12,"",IF(T=X$11,100,EXP(-IRTree!X55*h)*((Y54+Y55)/2+cc*h))))</f>
        <v/>
      </c>
      <c r="Y54" s="3" t="str">
        <f>IF(Y$11&gt;T,"",IF($A54&gt;Y$12,"",IF(T=Y$11,100,EXP(-IRTree!Y55*h)*((Z54+Z55)/2+cc*h))))</f>
        <v/>
      </c>
      <c r="Z54" s="3" t="str">
        <f>IF(Z$11&gt;T,"",IF($A54&gt;Z$12,"",IF(T=Z$11,100,EXP(-IRTree!Z55*h)*((AA54+AA55)/2+cc*h))))</f>
        <v/>
      </c>
      <c r="AA54" s="3" t="str">
        <f>IF(AA$11&gt;T,"",IF($A54&gt;AA$12,"",IF(T=AA$11,100,EXP(-IRTree!AA55*h)*((AB54+AB55)/2+cc*h))))</f>
        <v/>
      </c>
      <c r="AB54" s="3" t="str">
        <f>IF(AB$11&gt;T,"",IF($A54&gt;AB$12,"",IF(T=AB$11,100,EXP(-IRTree!AB55*h)*((AC54+AC55)/2+cc*h))))</f>
        <v/>
      </c>
      <c r="AC54" s="3" t="str">
        <f>IF(AC$11&gt;T,"",IF($A54&gt;AC$12,"",IF(T=AC$11,100,EXP(-IRTree!AC55*h)*((AD54+AD55)/2+cc*h))))</f>
        <v/>
      </c>
      <c r="AD54" s="3" t="str">
        <f>IF(AD$11&gt;T,"",IF($A54&gt;AD$12,"",IF(T=AD$11,100,EXP(-IRTree!AD55*h)*((AE54+AE55)/2+cc*h))))</f>
        <v/>
      </c>
      <c r="AE54" s="3" t="str">
        <f>IF(AE$11&gt;T,"",IF($A54&gt;AE$12,"",IF(T=AE$11,100,EXP(-IRTree!AE55*h)*((AF54+AF55)/2+cc*h))))</f>
        <v/>
      </c>
      <c r="AF54" s="3" t="str">
        <f>IF(AF$11&gt;T,"",IF($A54&gt;AF$12,"",IF(T=AF$11,100,EXP(-IRTree!AF55*h)*((AG54+AG55)/2+cc*h))))</f>
        <v/>
      </c>
      <c r="AG54" s="3" t="str">
        <f>IF(AG$11&gt;T,"",IF($A54&gt;AG$12,"",IF(T=AG$11,100,EXP(-IRTree!AG55*h)*((AH54+AH55)/2+cc*h))))</f>
        <v/>
      </c>
      <c r="AH54" s="3" t="str">
        <f>IF(AH$11&gt;T,"",IF($A54&gt;AH$12,"",IF(T=AH$11,100,EXP(-IRTree!AH55*h)*((AI54+AI55)/2+cc*h))))</f>
        <v/>
      </c>
      <c r="AI54" s="3" t="str">
        <f>IF(AI$11&gt;T,"",IF($A54&gt;AI$12,"",IF(T=AI$11,100,EXP(-IRTree!AI55*h)*((AJ54+AJ55)/2+cc*h))))</f>
        <v/>
      </c>
      <c r="AJ54" s="3" t="str">
        <f>IF(AJ$11&gt;T,"",IF($A54&gt;AJ$12,"",IF(T=AJ$11,100,EXP(-IRTree!AJ55*h)*((AK54+AK55)/2+cc*h))))</f>
        <v/>
      </c>
      <c r="AK54" s="3" t="str">
        <f>IF(AK$11&gt;T,"",IF($A54&gt;AK$12,"",IF(T=AK$11,100,EXP(-IRTree!AK55*h)*((AL54+AL55)/2+cc*h))))</f>
        <v/>
      </c>
      <c r="AL54" s="3" t="str">
        <f>IF(AL$11&gt;T,"",IF($A54&gt;AL$12,"",IF(T=AL$11,100,EXP(-IRTree!AL55*h)*((AM54+AM55)/2+cc*h))))</f>
        <v/>
      </c>
      <c r="AM54" s="3" t="str">
        <f>IF(AM$11&gt;T,"",IF($A54&gt;AM$12,"",IF(T=AM$11,100,EXP(-IRTree!AM55*h)*((AN54+AN55)/2+cc*h))))</f>
        <v/>
      </c>
      <c r="AN54" s="3" t="str">
        <f>IF(AN$11&gt;T,"",IF($A54&gt;AN$12,"",IF(T=AN$11,100,EXP(-IRTree!AN55*h)*((AO54+AO55)/2+cc*h))))</f>
        <v/>
      </c>
      <c r="AO54" s="3" t="str">
        <f>IF(AO$11&gt;T,"",IF($A54&gt;AO$12,"",IF(T=AO$11,100,EXP(-IRTree!AO55*h)*((AP54+AP55)/2+cc*h))))</f>
        <v/>
      </c>
      <c r="AP54" s="3" t="str">
        <f>IF(AP$11&gt;T,"",IF($A54&gt;AP$12,"",IF(T=AP$11,100,EXP(-IRTree!AP55*h)*((AQ54+AQ55)/2+cc*h))))</f>
        <v/>
      </c>
      <c r="AQ54" s="3" t="str">
        <f>IF(AQ$11&gt;T,"",IF($A54&gt;AQ$12,"",IF(T=AQ$11,100,EXP(-IRTree!AQ55*h)*((AR54+AR55)/2+cc*h))))</f>
        <v/>
      </c>
      <c r="AR54" s="3" t="str">
        <f>IF(AR$11&gt;T,"",IF($A54&gt;AR$12,"",IF(T=AR$11,100,EXP(-IRTree!AR55*h)*((AS54+AS55)/2+cc*h))))</f>
        <v/>
      </c>
      <c r="AS54" s="3" t="str">
        <f>IF(AS$11&gt;T,"",IF($A54&gt;AS$12,"",IF(T=AS$11,100,EXP(-IRTree!AS55*h)*((AT54+AT55)/2+cc*h))))</f>
        <v/>
      </c>
      <c r="AT54" s="3" t="str">
        <f>IF(AT$11&gt;T,"",IF($A54&gt;AT$12,"",IF(T=AT$11,100,EXP(-IRTree!AT55*h)*((AU54+AU55)/2+cc*h))))</f>
        <v/>
      </c>
      <c r="AU54" s="3" t="str">
        <f>IF(AU$11&gt;T,"",IF($A54&gt;AU$12,"",IF(T=AU$11,100,EXP(-IRTree!AU55*h)*((AV54+AV55)/2+cc*h))))</f>
        <v/>
      </c>
      <c r="AV54" s="3" t="str">
        <f>IF(AV$11&gt;T,"",IF($A54&gt;AV$12,"",IF(T=AV$11,100,EXP(-IRTree!AV55*h)*((AW54+AW55)/2+cc*h))))</f>
        <v/>
      </c>
      <c r="AW54" s="3" t="str">
        <f>IF(AW$11&gt;T,"",IF($A54&gt;AW$12,"",IF(T=AW$11,100,EXP(-IRTree!AW55*h)*((AX54+AX55)/2+cc*h))))</f>
        <v/>
      </c>
      <c r="AX54" s="3" t="str">
        <f>IF(AX$11&gt;T,"",IF($A54&gt;AX$12,"",IF(T=AX$11,100,EXP(-IRTree!AX55*h)*((AY54+AY55)/2+cc*h))))</f>
        <v/>
      </c>
      <c r="AY54" s="3" t="str">
        <f>IF(AY$11&gt;T,"",IF($A54&gt;AY$12,"",IF(T=AY$11,100,EXP(-IRTree!AY55*h)*((AZ54+AZ55)/2+cc*h))))</f>
        <v/>
      </c>
      <c r="AZ54" s="3" t="str">
        <f>IF(AZ$11&gt;T,"",IF($A54&gt;AZ$12,"",IF(T=AZ$11,100,EXP(-IRTree!AZ55*h)*((BA54+BA55)/2+cc*h))))</f>
        <v/>
      </c>
      <c r="BA54" s="3" t="str">
        <f>IF(BA$11&gt;T,"",IF($A54&gt;BA$12,"",IF(T=BA$11,100,EXP(-IRTree!BA55*h)*((BB54+BB55)/2+cc*h))))</f>
        <v/>
      </c>
      <c r="BB54" s="3" t="str">
        <f>IF(BB$11&gt;T,"",IF($A54&gt;BB$12,"",IF(T=BB$11,100,EXP(-IRTree!BB55*h)*((BC54+BC55)/2+cc*h))))</f>
        <v/>
      </c>
      <c r="BC54" s="3" t="str">
        <f>IF(BC$11&gt;T,"",IF($A54&gt;BC$12,"",IF(T=BC$11,100,EXP(-IRTree!BC55*h)*((BD54+BD55)/2+cc*h))))</f>
        <v/>
      </c>
      <c r="BD54" s="3" t="str">
        <f>IF(BD$11&gt;T,"",IF($A54&gt;BD$12,"",IF(T=BD$11,100,EXP(-IRTree!BD55*h)*((BE54+BE55)/2+cc*h))))</f>
        <v/>
      </c>
      <c r="BE54" s="3" t="str">
        <f>IF(BE$11&gt;T,"",IF($A54&gt;BE$12,"",IF(T=BE$11,100,EXP(-IRTree!BE55*h)*((BF54+BF55)/2+cc*h))))</f>
        <v/>
      </c>
      <c r="BF54" s="3" t="str">
        <f>IF(BF$11&gt;T,"",IF($A54&gt;BF$12,"",IF(T=BF$11,100,EXP(-IRTree!BF55*h)*((BG54+BG55)/2+cc*h))))</f>
        <v/>
      </c>
      <c r="BG54" s="3" t="str">
        <f>IF(BG$11&gt;T,"",IF($A54&gt;BG$12,"",IF(T=BG$11,100,EXP(-IRTree!BG55*h)*((BH54+BH55)/2+cc*h))))</f>
        <v/>
      </c>
      <c r="BH54" s="3" t="str">
        <f>IF(BH$11&gt;T,"",IF($A54&gt;BH$12,"",IF(T=BH$11,100,EXP(-IRTree!BH55*h)*((BI54+BI55)/2+cc*h))))</f>
        <v/>
      </c>
      <c r="BI54" s="3" t="str">
        <f>IF(BI$11&gt;T,"",IF($A54&gt;BI$12,"",IF(T=BI$11,100,EXP(-IRTree!BI55*h)*((BJ54+BJ55)/2+cc*h))))</f>
        <v/>
      </c>
      <c r="BJ54" s="3" t="str">
        <f>IF(BJ$11&gt;T,"",IF($A54&gt;BJ$12,"",IF(T=BJ$11,100,EXP(-IRTree!BJ55*h)*((BK54+BK55)/2+cc*h))))</f>
        <v/>
      </c>
    </row>
    <row r="55" spans="1:62">
      <c r="A55" s="12">
        <f t="shared" si="2"/>
        <v>42</v>
      </c>
      <c r="B55" s="3" t="str">
        <f>IF(B$11&gt;T,"",IF($A55&gt;B$12,"",IF(T=B$11,100,EXP(-IRTree!B56*h)*((C55+C56)/2+cc*h))))</f>
        <v/>
      </c>
      <c r="C55" s="3" t="str">
        <f>IF(C$11&gt;T,"",IF($A55&gt;C$12,"",IF(T=C$11,100,EXP(-IRTree!C56*h)*((D55+D56)/2+cc*h))))</f>
        <v/>
      </c>
      <c r="D55" s="3" t="str">
        <f>IF(D$11&gt;T,"",IF($A55&gt;D$12,"",IF(T=D$11,100,EXP(-IRTree!D56*h)*((E55+E56)/2+cc*h))))</f>
        <v/>
      </c>
      <c r="E55" s="3" t="str">
        <f>IF(E$11&gt;T,"",IF($A55&gt;E$12,"",IF(T=E$11,100,EXP(-IRTree!E56*h)*((F55+F56)/2+cc*h))))</f>
        <v/>
      </c>
      <c r="F55" s="3" t="str">
        <f>IF(F$11&gt;T,"",IF($A55&gt;F$12,"",IF(T=F$11,100,EXP(-IRTree!F56*h)*((G55+G56)/2+cc*h))))</f>
        <v/>
      </c>
      <c r="G55" s="3" t="str">
        <f>IF(G$11&gt;T,"",IF($A55&gt;G$12,"",IF(T=G$11,100,EXP(-IRTree!G56*h)*((H55+H56)/2+cc*h))))</f>
        <v/>
      </c>
      <c r="H55" s="3" t="str">
        <f>IF(H$11&gt;T,"",IF($A55&gt;H$12,"",IF(T=H$11,100,EXP(-IRTree!H56*h)*((I55+I56)/2+cc*h))))</f>
        <v/>
      </c>
      <c r="I55" s="3" t="str">
        <f>IF(I$11&gt;T,"",IF($A55&gt;I$12,"",IF(T=I$11,100,EXP(-IRTree!I56*h)*((J55+J56)/2+cc*h))))</f>
        <v/>
      </c>
      <c r="J55" s="3" t="str">
        <f>IF(J$11&gt;T,"",IF($A55&gt;J$12,"",IF(T=J$11,100,EXP(-IRTree!J56*h)*((K55+K56)/2+cc*h))))</f>
        <v/>
      </c>
      <c r="K55" s="3" t="str">
        <f>IF(K$11&gt;T,"",IF($A55&gt;K$12,"",IF(T=K$11,100,EXP(-IRTree!K56*h)*((L55+L56)/2+cc*h))))</f>
        <v/>
      </c>
      <c r="L55" s="3" t="str">
        <f>IF(L$11&gt;T,"",IF($A55&gt;L$12,"",IF(T=L$11,100,EXP(-IRTree!L56*h)*((M55+M56)/2+cc*h))))</f>
        <v/>
      </c>
      <c r="M55" s="3" t="str">
        <f>IF(M$11&gt;T,"",IF($A55&gt;M$12,"",IF(T=M$11,100,EXP(-IRTree!M56*h)*((N55+N56)/2+cc*h))))</f>
        <v/>
      </c>
      <c r="N55" s="3" t="str">
        <f>IF(N$11&gt;T,"",IF($A55&gt;N$12,"",IF(T=N$11,100,EXP(-IRTree!N56*h)*((O55+O56)/2+cc*h))))</f>
        <v/>
      </c>
      <c r="O55" s="3" t="str">
        <f>IF(O$11&gt;T,"",IF($A55&gt;O$12,"",IF(T=O$11,100,EXP(-IRTree!O56*h)*((P55+P56)/2+cc*h))))</f>
        <v/>
      </c>
      <c r="P55" s="3" t="str">
        <f>IF(P$11&gt;T,"",IF($A55&gt;P$12,"",IF(T=P$11,100,EXP(-IRTree!P56*h)*((Q55+Q56)/2+cc*h))))</f>
        <v/>
      </c>
      <c r="Q55" s="3" t="str">
        <f>IF(Q$11&gt;T,"",IF($A55&gt;Q$12,"",IF(T=Q$11,100,EXP(-IRTree!Q56*h)*((R55+R56)/2+cc*h))))</f>
        <v/>
      </c>
      <c r="R55" s="3" t="str">
        <f>IF(R$11&gt;T,"",IF($A55&gt;R$12,"",IF(T=R$11,100,EXP(-IRTree!R56*h)*((S55+S56)/2+cc*h))))</f>
        <v/>
      </c>
      <c r="S55" s="3" t="str">
        <f>IF(S$11&gt;T,"",IF($A55&gt;S$12,"",IF(T=S$11,100,EXP(-IRTree!S56*h)*((T55+T56)/2+cc*h))))</f>
        <v/>
      </c>
      <c r="T55" s="3" t="str">
        <f>IF(T$11&gt;T,"",IF($A55&gt;T$12,"",IF(T=T$11,100,EXP(-IRTree!T56*h)*((U55+U56)/2+cc*h))))</f>
        <v/>
      </c>
      <c r="U55" s="3" t="str">
        <f>IF(U$11&gt;T,"",IF($A55&gt;U$12,"",IF(T=U$11,100,EXP(-IRTree!U56*h)*((V55+V56)/2+cc*h))))</f>
        <v/>
      </c>
      <c r="V55" s="3" t="str">
        <f>IF(V$11&gt;T,"",IF($A55&gt;V$12,"",IF(T=V$11,100,EXP(-IRTree!V56*h)*((W55+W56)/2+cc*h))))</f>
        <v/>
      </c>
      <c r="W55" s="3" t="str">
        <f>IF(W$11&gt;T,"",IF($A55&gt;W$12,"",IF(T=W$11,100,EXP(-IRTree!W56*h)*((X55+X56)/2+cc*h))))</f>
        <v/>
      </c>
      <c r="X55" s="3" t="str">
        <f>IF(X$11&gt;T,"",IF($A55&gt;X$12,"",IF(T=X$11,100,EXP(-IRTree!X56*h)*((Y55+Y56)/2+cc*h))))</f>
        <v/>
      </c>
      <c r="Y55" s="3" t="str">
        <f>IF(Y$11&gt;T,"",IF($A55&gt;Y$12,"",IF(T=Y$11,100,EXP(-IRTree!Y56*h)*((Z55+Z56)/2+cc*h))))</f>
        <v/>
      </c>
      <c r="Z55" s="3" t="str">
        <f>IF(Z$11&gt;T,"",IF($A55&gt;Z$12,"",IF(T=Z$11,100,EXP(-IRTree!Z56*h)*((AA55+AA56)/2+cc*h))))</f>
        <v/>
      </c>
      <c r="AA55" s="3" t="str">
        <f>IF(AA$11&gt;T,"",IF($A55&gt;AA$12,"",IF(T=AA$11,100,EXP(-IRTree!AA56*h)*((AB55+AB56)/2+cc*h))))</f>
        <v/>
      </c>
      <c r="AB55" s="3" t="str">
        <f>IF(AB$11&gt;T,"",IF($A55&gt;AB$12,"",IF(T=AB$11,100,EXP(-IRTree!AB56*h)*((AC55+AC56)/2+cc*h))))</f>
        <v/>
      </c>
      <c r="AC55" s="3" t="str">
        <f>IF(AC$11&gt;T,"",IF($A55&gt;AC$12,"",IF(T=AC$11,100,EXP(-IRTree!AC56*h)*((AD55+AD56)/2+cc*h))))</f>
        <v/>
      </c>
      <c r="AD55" s="3" t="str">
        <f>IF(AD$11&gt;T,"",IF($A55&gt;AD$12,"",IF(T=AD$11,100,EXP(-IRTree!AD56*h)*((AE55+AE56)/2+cc*h))))</f>
        <v/>
      </c>
      <c r="AE55" s="3" t="str">
        <f>IF(AE$11&gt;T,"",IF($A55&gt;AE$12,"",IF(T=AE$11,100,EXP(-IRTree!AE56*h)*((AF55+AF56)/2+cc*h))))</f>
        <v/>
      </c>
      <c r="AF55" s="3" t="str">
        <f>IF(AF$11&gt;T,"",IF($A55&gt;AF$12,"",IF(T=AF$11,100,EXP(-IRTree!AF56*h)*((AG55+AG56)/2+cc*h))))</f>
        <v/>
      </c>
      <c r="AG55" s="3" t="str">
        <f>IF(AG$11&gt;T,"",IF($A55&gt;AG$12,"",IF(T=AG$11,100,EXP(-IRTree!AG56*h)*((AH55+AH56)/2+cc*h))))</f>
        <v/>
      </c>
      <c r="AH55" s="3" t="str">
        <f>IF(AH$11&gt;T,"",IF($A55&gt;AH$12,"",IF(T=AH$11,100,EXP(-IRTree!AH56*h)*((AI55+AI56)/2+cc*h))))</f>
        <v/>
      </c>
      <c r="AI55" s="3" t="str">
        <f>IF(AI$11&gt;T,"",IF($A55&gt;AI$12,"",IF(T=AI$11,100,EXP(-IRTree!AI56*h)*((AJ55+AJ56)/2+cc*h))))</f>
        <v/>
      </c>
      <c r="AJ55" s="3" t="str">
        <f>IF(AJ$11&gt;T,"",IF($A55&gt;AJ$12,"",IF(T=AJ$11,100,EXP(-IRTree!AJ56*h)*((AK55+AK56)/2+cc*h))))</f>
        <v/>
      </c>
      <c r="AK55" s="3" t="str">
        <f>IF(AK$11&gt;T,"",IF($A55&gt;AK$12,"",IF(T=AK$11,100,EXP(-IRTree!AK56*h)*((AL55+AL56)/2+cc*h))))</f>
        <v/>
      </c>
      <c r="AL55" s="3" t="str">
        <f>IF(AL$11&gt;T,"",IF($A55&gt;AL$12,"",IF(T=AL$11,100,EXP(-IRTree!AL56*h)*((AM55+AM56)/2+cc*h))))</f>
        <v/>
      </c>
      <c r="AM55" s="3" t="str">
        <f>IF(AM$11&gt;T,"",IF($A55&gt;AM$12,"",IF(T=AM$11,100,EXP(-IRTree!AM56*h)*((AN55+AN56)/2+cc*h))))</f>
        <v/>
      </c>
      <c r="AN55" s="3" t="str">
        <f>IF(AN$11&gt;T,"",IF($A55&gt;AN$12,"",IF(T=AN$11,100,EXP(-IRTree!AN56*h)*((AO55+AO56)/2+cc*h))))</f>
        <v/>
      </c>
      <c r="AO55" s="3" t="str">
        <f>IF(AO$11&gt;T,"",IF($A55&gt;AO$12,"",IF(T=AO$11,100,EXP(-IRTree!AO56*h)*((AP55+AP56)/2+cc*h))))</f>
        <v/>
      </c>
      <c r="AP55" s="3" t="str">
        <f>IF(AP$11&gt;T,"",IF($A55&gt;AP$12,"",IF(T=AP$11,100,EXP(-IRTree!AP56*h)*((AQ55+AQ56)/2+cc*h))))</f>
        <v/>
      </c>
      <c r="AQ55" s="3" t="str">
        <f>IF(AQ$11&gt;T,"",IF($A55&gt;AQ$12,"",IF(T=AQ$11,100,EXP(-IRTree!AQ56*h)*((AR55+AR56)/2+cc*h))))</f>
        <v/>
      </c>
      <c r="AR55" s="3" t="str">
        <f>IF(AR$11&gt;T,"",IF($A55&gt;AR$12,"",IF(T=AR$11,100,EXP(-IRTree!AR56*h)*((AS55+AS56)/2+cc*h))))</f>
        <v/>
      </c>
      <c r="AS55" s="3" t="str">
        <f>IF(AS$11&gt;T,"",IF($A55&gt;AS$12,"",IF(T=AS$11,100,EXP(-IRTree!AS56*h)*((AT55+AT56)/2+cc*h))))</f>
        <v/>
      </c>
      <c r="AT55" s="3" t="str">
        <f>IF(AT$11&gt;T,"",IF($A55&gt;AT$12,"",IF(T=AT$11,100,EXP(-IRTree!AT56*h)*((AU55+AU56)/2+cc*h))))</f>
        <v/>
      </c>
      <c r="AU55" s="3" t="str">
        <f>IF(AU$11&gt;T,"",IF($A55&gt;AU$12,"",IF(T=AU$11,100,EXP(-IRTree!AU56*h)*((AV55+AV56)/2+cc*h))))</f>
        <v/>
      </c>
      <c r="AV55" s="3" t="str">
        <f>IF(AV$11&gt;T,"",IF($A55&gt;AV$12,"",IF(T=AV$11,100,EXP(-IRTree!AV56*h)*((AW55+AW56)/2+cc*h))))</f>
        <v/>
      </c>
      <c r="AW55" s="3" t="str">
        <f>IF(AW$11&gt;T,"",IF($A55&gt;AW$12,"",IF(T=AW$11,100,EXP(-IRTree!AW56*h)*((AX55+AX56)/2+cc*h))))</f>
        <v/>
      </c>
      <c r="AX55" s="3" t="str">
        <f>IF(AX$11&gt;T,"",IF($A55&gt;AX$12,"",IF(T=AX$11,100,EXP(-IRTree!AX56*h)*((AY55+AY56)/2+cc*h))))</f>
        <v/>
      </c>
      <c r="AY55" s="3" t="str">
        <f>IF(AY$11&gt;T,"",IF($A55&gt;AY$12,"",IF(T=AY$11,100,EXP(-IRTree!AY56*h)*((AZ55+AZ56)/2+cc*h))))</f>
        <v/>
      </c>
      <c r="AZ55" s="3" t="str">
        <f>IF(AZ$11&gt;T,"",IF($A55&gt;AZ$12,"",IF(T=AZ$11,100,EXP(-IRTree!AZ56*h)*((BA55+BA56)/2+cc*h))))</f>
        <v/>
      </c>
      <c r="BA55" s="3" t="str">
        <f>IF(BA$11&gt;T,"",IF($A55&gt;BA$12,"",IF(T=BA$11,100,EXP(-IRTree!BA56*h)*((BB55+BB56)/2+cc*h))))</f>
        <v/>
      </c>
      <c r="BB55" s="3" t="str">
        <f>IF(BB$11&gt;T,"",IF($A55&gt;BB$12,"",IF(T=BB$11,100,EXP(-IRTree!BB56*h)*((BC55+BC56)/2+cc*h))))</f>
        <v/>
      </c>
      <c r="BC55" s="3" t="str">
        <f>IF(BC$11&gt;T,"",IF($A55&gt;BC$12,"",IF(T=BC$11,100,EXP(-IRTree!BC56*h)*((BD55+BD56)/2+cc*h))))</f>
        <v/>
      </c>
      <c r="BD55" s="3" t="str">
        <f>IF(BD$11&gt;T,"",IF($A55&gt;BD$12,"",IF(T=BD$11,100,EXP(-IRTree!BD56*h)*((BE55+BE56)/2+cc*h))))</f>
        <v/>
      </c>
      <c r="BE55" s="3" t="str">
        <f>IF(BE$11&gt;T,"",IF($A55&gt;BE$12,"",IF(T=BE$11,100,EXP(-IRTree!BE56*h)*((BF55+BF56)/2+cc*h))))</f>
        <v/>
      </c>
      <c r="BF55" s="3" t="str">
        <f>IF(BF$11&gt;T,"",IF($A55&gt;BF$12,"",IF(T=BF$11,100,EXP(-IRTree!BF56*h)*((BG55+BG56)/2+cc*h))))</f>
        <v/>
      </c>
      <c r="BG55" s="3" t="str">
        <f>IF(BG$11&gt;T,"",IF($A55&gt;BG$12,"",IF(T=BG$11,100,EXP(-IRTree!BG56*h)*((BH55+BH56)/2+cc*h))))</f>
        <v/>
      </c>
      <c r="BH55" s="3" t="str">
        <f>IF(BH$11&gt;T,"",IF($A55&gt;BH$12,"",IF(T=BH$11,100,EXP(-IRTree!BH56*h)*((BI55+BI56)/2+cc*h))))</f>
        <v/>
      </c>
      <c r="BI55" s="3" t="str">
        <f>IF(BI$11&gt;T,"",IF($A55&gt;BI$12,"",IF(T=BI$11,100,EXP(-IRTree!BI56*h)*((BJ55+BJ56)/2+cc*h))))</f>
        <v/>
      </c>
      <c r="BJ55" s="3" t="str">
        <f>IF(BJ$11&gt;T,"",IF($A55&gt;BJ$12,"",IF(T=BJ$11,100,EXP(-IRTree!BJ56*h)*((BK55+BK56)/2+cc*h))))</f>
        <v/>
      </c>
    </row>
    <row r="56" spans="1:62">
      <c r="A56" s="12">
        <f t="shared" si="2"/>
        <v>43</v>
      </c>
      <c r="B56" s="3" t="str">
        <f>IF(B$11&gt;T,"",IF($A56&gt;B$12,"",IF(T=B$11,100,EXP(-IRTree!B57*h)*((C56+C57)/2+cc*h))))</f>
        <v/>
      </c>
      <c r="C56" s="3" t="str">
        <f>IF(C$11&gt;T,"",IF($A56&gt;C$12,"",IF(T=C$11,100,EXP(-IRTree!C57*h)*((D56+D57)/2+cc*h))))</f>
        <v/>
      </c>
      <c r="D56" s="3" t="str">
        <f>IF(D$11&gt;T,"",IF($A56&gt;D$12,"",IF(T=D$11,100,EXP(-IRTree!D57*h)*((E56+E57)/2+cc*h))))</f>
        <v/>
      </c>
      <c r="E56" s="3" t="str">
        <f>IF(E$11&gt;T,"",IF($A56&gt;E$12,"",IF(T=E$11,100,EXP(-IRTree!E57*h)*((F56+F57)/2+cc*h))))</f>
        <v/>
      </c>
      <c r="F56" s="3" t="str">
        <f>IF(F$11&gt;T,"",IF($A56&gt;F$12,"",IF(T=F$11,100,EXP(-IRTree!F57*h)*((G56+G57)/2+cc*h))))</f>
        <v/>
      </c>
      <c r="G56" s="3" t="str">
        <f>IF(G$11&gt;T,"",IF($A56&gt;G$12,"",IF(T=G$11,100,EXP(-IRTree!G57*h)*((H56+H57)/2+cc*h))))</f>
        <v/>
      </c>
      <c r="H56" s="3" t="str">
        <f>IF(H$11&gt;T,"",IF($A56&gt;H$12,"",IF(T=H$11,100,EXP(-IRTree!H57*h)*((I56+I57)/2+cc*h))))</f>
        <v/>
      </c>
      <c r="I56" s="3" t="str">
        <f>IF(I$11&gt;T,"",IF($A56&gt;I$12,"",IF(T=I$11,100,EXP(-IRTree!I57*h)*((J56+J57)/2+cc*h))))</f>
        <v/>
      </c>
      <c r="J56" s="3" t="str">
        <f>IF(J$11&gt;T,"",IF($A56&gt;J$12,"",IF(T=J$11,100,EXP(-IRTree!J57*h)*((K56+K57)/2+cc*h))))</f>
        <v/>
      </c>
      <c r="K56" s="3" t="str">
        <f>IF(K$11&gt;T,"",IF($A56&gt;K$12,"",IF(T=K$11,100,EXP(-IRTree!K57*h)*((L56+L57)/2+cc*h))))</f>
        <v/>
      </c>
      <c r="L56" s="3" t="str">
        <f>IF(L$11&gt;T,"",IF($A56&gt;L$12,"",IF(T=L$11,100,EXP(-IRTree!L57*h)*((M56+M57)/2+cc*h))))</f>
        <v/>
      </c>
      <c r="M56" s="3" t="str">
        <f>IF(M$11&gt;T,"",IF($A56&gt;M$12,"",IF(T=M$11,100,EXP(-IRTree!M57*h)*((N56+N57)/2+cc*h))))</f>
        <v/>
      </c>
      <c r="N56" s="3" t="str">
        <f>IF(N$11&gt;T,"",IF($A56&gt;N$12,"",IF(T=N$11,100,EXP(-IRTree!N57*h)*((O56+O57)/2+cc*h))))</f>
        <v/>
      </c>
      <c r="O56" s="3" t="str">
        <f>IF(O$11&gt;T,"",IF($A56&gt;O$12,"",IF(T=O$11,100,EXP(-IRTree!O57*h)*((P56+P57)/2+cc*h))))</f>
        <v/>
      </c>
      <c r="P56" s="3" t="str">
        <f>IF(P$11&gt;T,"",IF($A56&gt;P$12,"",IF(T=P$11,100,EXP(-IRTree!P57*h)*((Q56+Q57)/2+cc*h))))</f>
        <v/>
      </c>
      <c r="Q56" s="3" t="str">
        <f>IF(Q$11&gt;T,"",IF($A56&gt;Q$12,"",IF(T=Q$11,100,EXP(-IRTree!Q57*h)*((R56+R57)/2+cc*h))))</f>
        <v/>
      </c>
      <c r="R56" s="3" t="str">
        <f>IF(R$11&gt;T,"",IF($A56&gt;R$12,"",IF(T=R$11,100,EXP(-IRTree!R57*h)*((S56+S57)/2+cc*h))))</f>
        <v/>
      </c>
      <c r="S56" s="3" t="str">
        <f>IF(S$11&gt;T,"",IF($A56&gt;S$12,"",IF(T=S$11,100,EXP(-IRTree!S57*h)*((T56+T57)/2+cc*h))))</f>
        <v/>
      </c>
      <c r="T56" s="3" t="str">
        <f>IF(T$11&gt;T,"",IF($A56&gt;T$12,"",IF(T=T$11,100,EXP(-IRTree!T57*h)*((U56+U57)/2+cc*h))))</f>
        <v/>
      </c>
      <c r="U56" s="3" t="str">
        <f>IF(U$11&gt;T,"",IF($A56&gt;U$12,"",IF(T=U$11,100,EXP(-IRTree!U57*h)*((V56+V57)/2+cc*h))))</f>
        <v/>
      </c>
      <c r="V56" s="3" t="str">
        <f>IF(V$11&gt;T,"",IF($A56&gt;V$12,"",IF(T=V$11,100,EXP(-IRTree!V57*h)*((W56+W57)/2+cc*h))))</f>
        <v/>
      </c>
      <c r="W56" s="3" t="str">
        <f>IF(W$11&gt;T,"",IF($A56&gt;W$12,"",IF(T=W$11,100,EXP(-IRTree!W57*h)*((X56+X57)/2+cc*h))))</f>
        <v/>
      </c>
      <c r="X56" s="3" t="str">
        <f>IF(X$11&gt;T,"",IF($A56&gt;X$12,"",IF(T=X$11,100,EXP(-IRTree!X57*h)*((Y56+Y57)/2+cc*h))))</f>
        <v/>
      </c>
      <c r="Y56" s="3" t="str">
        <f>IF(Y$11&gt;T,"",IF($A56&gt;Y$12,"",IF(T=Y$11,100,EXP(-IRTree!Y57*h)*((Z56+Z57)/2+cc*h))))</f>
        <v/>
      </c>
      <c r="Z56" s="3" t="str">
        <f>IF(Z$11&gt;T,"",IF($A56&gt;Z$12,"",IF(T=Z$11,100,EXP(-IRTree!Z57*h)*((AA56+AA57)/2+cc*h))))</f>
        <v/>
      </c>
      <c r="AA56" s="3" t="str">
        <f>IF(AA$11&gt;T,"",IF($A56&gt;AA$12,"",IF(T=AA$11,100,EXP(-IRTree!AA57*h)*((AB56+AB57)/2+cc*h))))</f>
        <v/>
      </c>
      <c r="AB56" s="3" t="str">
        <f>IF(AB$11&gt;T,"",IF($A56&gt;AB$12,"",IF(T=AB$11,100,EXP(-IRTree!AB57*h)*((AC56+AC57)/2+cc*h))))</f>
        <v/>
      </c>
      <c r="AC56" s="3" t="str">
        <f>IF(AC$11&gt;T,"",IF($A56&gt;AC$12,"",IF(T=AC$11,100,EXP(-IRTree!AC57*h)*((AD56+AD57)/2+cc*h))))</f>
        <v/>
      </c>
      <c r="AD56" s="3" t="str">
        <f>IF(AD$11&gt;T,"",IF($A56&gt;AD$12,"",IF(T=AD$11,100,EXP(-IRTree!AD57*h)*((AE56+AE57)/2+cc*h))))</f>
        <v/>
      </c>
      <c r="AE56" s="3" t="str">
        <f>IF(AE$11&gt;T,"",IF($A56&gt;AE$12,"",IF(T=AE$11,100,EXP(-IRTree!AE57*h)*((AF56+AF57)/2+cc*h))))</f>
        <v/>
      </c>
      <c r="AF56" s="3" t="str">
        <f>IF(AF$11&gt;T,"",IF($A56&gt;AF$12,"",IF(T=AF$11,100,EXP(-IRTree!AF57*h)*((AG56+AG57)/2+cc*h))))</f>
        <v/>
      </c>
      <c r="AG56" s="3" t="str">
        <f>IF(AG$11&gt;T,"",IF($A56&gt;AG$12,"",IF(T=AG$11,100,EXP(-IRTree!AG57*h)*((AH56+AH57)/2+cc*h))))</f>
        <v/>
      </c>
      <c r="AH56" s="3" t="str">
        <f>IF(AH$11&gt;T,"",IF($A56&gt;AH$12,"",IF(T=AH$11,100,EXP(-IRTree!AH57*h)*((AI56+AI57)/2+cc*h))))</f>
        <v/>
      </c>
      <c r="AI56" s="3" t="str">
        <f>IF(AI$11&gt;T,"",IF($A56&gt;AI$12,"",IF(T=AI$11,100,EXP(-IRTree!AI57*h)*((AJ56+AJ57)/2+cc*h))))</f>
        <v/>
      </c>
      <c r="AJ56" s="3" t="str">
        <f>IF(AJ$11&gt;T,"",IF($A56&gt;AJ$12,"",IF(T=AJ$11,100,EXP(-IRTree!AJ57*h)*((AK56+AK57)/2+cc*h))))</f>
        <v/>
      </c>
      <c r="AK56" s="3" t="str">
        <f>IF(AK$11&gt;T,"",IF($A56&gt;AK$12,"",IF(T=AK$11,100,EXP(-IRTree!AK57*h)*((AL56+AL57)/2+cc*h))))</f>
        <v/>
      </c>
      <c r="AL56" s="3" t="str">
        <f>IF(AL$11&gt;T,"",IF($A56&gt;AL$12,"",IF(T=AL$11,100,EXP(-IRTree!AL57*h)*((AM56+AM57)/2+cc*h))))</f>
        <v/>
      </c>
      <c r="AM56" s="3" t="str">
        <f>IF(AM$11&gt;T,"",IF($A56&gt;AM$12,"",IF(T=AM$11,100,EXP(-IRTree!AM57*h)*((AN56+AN57)/2+cc*h))))</f>
        <v/>
      </c>
      <c r="AN56" s="3" t="str">
        <f>IF(AN$11&gt;T,"",IF($A56&gt;AN$12,"",IF(T=AN$11,100,EXP(-IRTree!AN57*h)*((AO56+AO57)/2+cc*h))))</f>
        <v/>
      </c>
      <c r="AO56" s="3" t="str">
        <f>IF(AO$11&gt;T,"",IF($A56&gt;AO$12,"",IF(T=AO$11,100,EXP(-IRTree!AO57*h)*((AP56+AP57)/2+cc*h))))</f>
        <v/>
      </c>
      <c r="AP56" s="3" t="str">
        <f>IF(AP$11&gt;T,"",IF($A56&gt;AP$12,"",IF(T=AP$11,100,EXP(-IRTree!AP57*h)*((AQ56+AQ57)/2+cc*h))))</f>
        <v/>
      </c>
      <c r="AQ56" s="3" t="str">
        <f>IF(AQ$11&gt;T,"",IF($A56&gt;AQ$12,"",IF(T=AQ$11,100,EXP(-IRTree!AQ57*h)*((AR56+AR57)/2+cc*h))))</f>
        <v/>
      </c>
      <c r="AR56" s="3" t="str">
        <f>IF(AR$11&gt;T,"",IF($A56&gt;AR$12,"",IF(T=AR$11,100,EXP(-IRTree!AR57*h)*((AS56+AS57)/2+cc*h))))</f>
        <v/>
      </c>
      <c r="AS56" s="3" t="str">
        <f>IF(AS$11&gt;T,"",IF($A56&gt;AS$12,"",IF(T=AS$11,100,EXP(-IRTree!AS57*h)*((AT56+AT57)/2+cc*h))))</f>
        <v/>
      </c>
      <c r="AT56" s="3" t="str">
        <f>IF(AT$11&gt;T,"",IF($A56&gt;AT$12,"",IF(T=AT$11,100,EXP(-IRTree!AT57*h)*((AU56+AU57)/2+cc*h))))</f>
        <v/>
      </c>
      <c r="AU56" s="3" t="str">
        <f>IF(AU$11&gt;T,"",IF($A56&gt;AU$12,"",IF(T=AU$11,100,EXP(-IRTree!AU57*h)*((AV56+AV57)/2+cc*h))))</f>
        <v/>
      </c>
      <c r="AV56" s="3" t="str">
        <f>IF(AV$11&gt;T,"",IF($A56&gt;AV$12,"",IF(T=AV$11,100,EXP(-IRTree!AV57*h)*((AW56+AW57)/2+cc*h))))</f>
        <v/>
      </c>
      <c r="AW56" s="3" t="str">
        <f>IF(AW$11&gt;T,"",IF($A56&gt;AW$12,"",IF(T=AW$11,100,EXP(-IRTree!AW57*h)*((AX56+AX57)/2+cc*h))))</f>
        <v/>
      </c>
      <c r="AX56" s="3" t="str">
        <f>IF(AX$11&gt;T,"",IF($A56&gt;AX$12,"",IF(T=AX$11,100,EXP(-IRTree!AX57*h)*((AY56+AY57)/2+cc*h))))</f>
        <v/>
      </c>
      <c r="AY56" s="3" t="str">
        <f>IF(AY$11&gt;T,"",IF($A56&gt;AY$12,"",IF(T=AY$11,100,EXP(-IRTree!AY57*h)*((AZ56+AZ57)/2+cc*h))))</f>
        <v/>
      </c>
      <c r="AZ56" s="3" t="str">
        <f>IF(AZ$11&gt;T,"",IF($A56&gt;AZ$12,"",IF(T=AZ$11,100,EXP(-IRTree!AZ57*h)*((BA56+BA57)/2+cc*h))))</f>
        <v/>
      </c>
      <c r="BA56" s="3" t="str">
        <f>IF(BA$11&gt;T,"",IF($A56&gt;BA$12,"",IF(T=BA$11,100,EXP(-IRTree!BA57*h)*((BB56+BB57)/2+cc*h))))</f>
        <v/>
      </c>
      <c r="BB56" s="3" t="str">
        <f>IF(BB$11&gt;T,"",IF($A56&gt;BB$12,"",IF(T=BB$11,100,EXP(-IRTree!BB57*h)*((BC56+BC57)/2+cc*h))))</f>
        <v/>
      </c>
      <c r="BC56" s="3" t="str">
        <f>IF(BC$11&gt;T,"",IF($A56&gt;BC$12,"",IF(T=BC$11,100,EXP(-IRTree!BC57*h)*((BD56+BD57)/2+cc*h))))</f>
        <v/>
      </c>
      <c r="BD56" s="3" t="str">
        <f>IF(BD$11&gt;T,"",IF($A56&gt;BD$12,"",IF(T=BD$11,100,EXP(-IRTree!BD57*h)*((BE56+BE57)/2+cc*h))))</f>
        <v/>
      </c>
      <c r="BE56" s="3" t="str">
        <f>IF(BE$11&gt;T,"",IF($A56&gt;BE$12,"",IF(T=BE$11,100,EXP(-IRTree!BE57*h)*((BF56+BF57)/2+cc*h))))</f>
        <v/>
      </c>
      <c r="BF56" s="3" t="str">
        <f>IF(BF$11&gt;T,"",IF($A56&gt;BF$12,"",IF(T=BF$11,100,EXP(-IRTree!BF57*h)*((BG56+BG57)/2+cc*h))))</f>
        <v/>
      </c>
      <c r="BG56" s="3" t="str">
        <f>IF(BG$11&gt;T,"",IF($A56&gt;BG$12,"",IF(T=BG$11,100,EXP(-IRTree!BG57*h)*((BH56+BH57)/2+cc*h))))</f>
        <v/>
      </c>
      <c r="BH56" s="3" t="str">
        <f>IF(BH$11&gt;T,"",IF($A56&gt;BH$12,"",IF(T=BH$11,100,EXP(-IRTree!BH57*h)*((BI56+BI57)/2+cc*h))))</f>
        <v/>
      </c>
      <c r="BI56" s="3" t="str">
        <f>IF(BI$11&gt;T,"",IF($A56&gt;BI$12,"",IF(T=BI$11,100,EXP(-IRTree!BI57*h)*((BJ56+BJ57)/2+cc*h))))</f>
        <v/>
      </c>
      <c r="BJ56" s="3" t="str">
        <f>IF(BJ$11&gt;T,"",IF($A56&gt;BJ$12,"",IF(T=BJ$11,100,EXP(-IRTree!BJ57*h)*((BK56+BK57)/2+cc*h))))</f>
        <v/>
      </c>
    </row>
    <row r="57" spans="1:62">
      <c r="A57" s="12">
        <f t="shared" si="2"/>
        <v>44</v>
      </c>
      <c r="B57" s="3" t="str">
        <f>IF(B$11&gt;T,"",IF($A57&gt;B$12,"",IF(T=B$11,100,EXP(-IRTree!B58*h)*((C57+C58)/2+cc*h))))</f>
        <v/>
      </c>
      <c r="C57" s="3" t="str">
        <f>IF(C$11&gt;T,"",IF($A57&gt;C$12,"",IF(T=C$11,100,EXP(-IRTree!C58*h)*((D57+D58)/2+cc*h))))</f>
        <v/>
      </c>
      <c r="D57" s="3" t="str">
        <f>IF(D$11&gt;T,"",IF($A57&gt;D$12,"",IF(T=D$11,100,EXP(-IRTree!D58*h)*((E57+E58)/2+cc*h))))</f>
        <v/>
      </c>
      <c r="E57" s="3" t="str">
        <f>IF(E$11&gt;T,"",IF($A57&gt;E$12,"",IF(T=E$11,100,EXP(-IRTree!E58*h)*((F57+F58)/2+cc*h))))</f>
        <v/>
      </c>
      <c r="F57" s="3" t="str">
        <f>IF(F$11&gt;T,"",IF($A57&gt;F$12,"",IF(T=F$11,100,EXP(-IRTree!F58*h)*((G57+G58)/2+cc*h))))</f>
        <v/>
      </c>
      <c r="G57" s="3" t="str">
        <f>IF(G$11&gt;T,"",IF($A57&gt;G$12,"",IF(T=G$11,100,EXP(-IRTree!G58*h)*((H57+H58)/2+cc*h))))</f>
        <v/>
      </c>
      <c r="H57" s="3" t="str">
        <f>IF(H$11&gt;T,"",IF($A57&gt;H$12,"",IF(T=H$11,100,EXP(-IRTree!H58*h)*((I57+I58)/2+cc*h))))</f>
        <v/>
      </c>
      <c r="I57" s="3" t="str">
        <f>IF(I$11&gt;T,"",IF($A57&gt;I$12,"",IF(T=I$11,100,EXP(-IRTree!I58*h)*((J57+J58)/2+cc*h))))</f>
        <v/>
      </c>
      <c r="J57" s="3" t="str">
        <f>IF(J$11&gt;T,"",IF($A57&gt;J$12,"",IF(T=J$11,100,EXP(-IRTree!J58*h)*((K57+K58)/2+cc*h))))</f>
        <v/>
      </c>
      <c r="K57" s="3" t="str">
        <f>IF(K$11&gt;T,"",IF($A57&gt;K$12,"",IF(T=K$11,100,EXP(-IRTree!K58*h)*((L57+L58)/2+cc*h))))</f>
        <v/>
      </c>
      <c r="L57" s="3" t="str">
        <f>IF(L$11&gt;T,"",IF($A57&gt;L$12,"",IF(T=L$11,100,EXP(-IRTree!L58*h)*((M57+M58)/2+cc*h))))</f>
        <v/>
      </c>
      <c r="M57" s="3" t="str">
        <f>IF(M$11&gt;T,"",IF($A57&gt;M$12,"",IF(T=M$11,100,EXP(-IRTree!M58*h)*((N57+N58)/2+cc*h))))</f>
        <v/>
      </c>
      <c r="N57" s="3" t="str">
        <f>IF(N$11&gt;T,"",IF($A57&gt;N$12,"",IF(T=N$11,100,EXP(-IRTree!N58*h)*((O57+O58)/2+cc*h))))</f>
        <v/>
      </c>
      <c r="O57" s="3" t="str">
        <f>IF(O$11&gt;T,"",IF($A57&gt;O$12,"",IF(T=O$11,100,EXP(-IRTree!O58*h)*((P57+P58)/2+cc*h))))</f>
        <v/>
      </c>
      <c r="P57" s="3" t="str">
        <f>IF(P$11&gt;T,"",IF($A57&gt;P$12,"",IF(T=P$11,100,EXP(-IRTree!P58*h)*((Q57+Q58)/2+cc*h))))</f>
        <v/>
      </c>
      <c r="Q57" s="3" t="str">
        <f>IF(Q$11&gt;T,"",IF($A57&gt;Q$12,"",IF(T=Q$11,100,EXP(-IRTree!Q58*h)*((R57+R58)/2+cc*h))))</f>
        <v/>
      </c>
      <c r="R57" s="3" t="str">
        <f>IF(R$11&gt;T,"",IF($A57&gt;R$12,"",IF(T=R$11,100,EXP(-IRTree!R58*h)*((S57+S58)/2+cc*h))))</f>
        <v/>
      </c>
      <c r="S57" s="3" t="str">
        <f>IF(S$11&gt;T,"",IF($A57&gt;S$12,"",IF(T=S$11,100,EXP(-IRTree!S58*h)*((T57+T58)/2+cc*h))))</f>
        <v/>
      </c>
      <c r="T57" s="3" t="str">
        <f>IF(T$11&gt;T,"",IF($A57&gt;T$12,"",IF(T=T$11,100,EXP(-IRTree!T58*h)*((U57+U58)/2+cc*h))))</f>
        <v/>
      </c>
      <c r="U57" s="3" t="str">
        <f>IF(U$11&gt;T,"",IF($A57&gt;U$12,"",IF(T=U$11,100,EXP(-IRTree!U58*h)*((V57+V58)/2+cc*h))))</f>
        <v/>
      </c>
      <c r="V57" s="3" t="str">
        <f>IF(V$11&gt;T,"",IF($A57&gt;V$12,"",IF(T=V$11,100,EXP(-IRTree!V58*h)*((W57+W58)/2+cc*h))))</f>
        <v/>
      </c>
      <c r="W57" s="3" t="str">
        <f>IF(W$11&gt;T,"",IF($A57&gt;W$12,"",IF(T=W$11,100,EXP(-IRTree!W58*h)*((X57+X58)/2+cc*h))))</f>
        <v/>
      </c>
      <c r="X57" s="3" t="str">
        <f>IF(X$11&gt;T,"",IF($A57&gt;X$12,"",IF(T=X$11,100,EXP(-IRTree!X58*h)*((Y57+Y58)/2+cc*h))))</f>
        <v/>
      </c>
      <c r="Y57" s="3" t="str">
        <f>IF(Y$11&gt;T,"",IF($A57&gt;Y$12,"",IF(T=Y$11,100,EXP(-IRTree!Y58*h)*((Z57+Z58)/2+cc*h))))</f>
        <v/>
      </c>
      <c r="Z57" s="3" t="str">
        <f>IF(Z$11&gt;T,"",IF($A57&gt;Z$12,"",IF(T=Z$11,100,EXP(-IRTree!Z58*h)*((AA57+AA58)/2+cc*h))))</f>
        <v/>
      </c>
      <c r="AA57" s="3" t="str">
        <f>IF(AA$11&gt;T,"",IF($A57&gt;AA$12,"",IF(T=AA$11,100,EXP(-IRTree!AA58*h)*((AB57+AB58)/2+cc*h))))</f>
        <v/>
      </c>
      <c r="AB57" s="3" t="str">
        <f>IF(AB$11&gt;T,"",IF($A57&gt;AB$12,"",IF(T=AB$11,100,EXP(-IRTree!AB58*h)*((AC57+AC58)/2+cc*h))))</f>
        <v/>
      </c>
      <c r="AC57" s="3" t="str">
        <f>IF(AC$11&gt;T,"",IF($A57&gt;AC$12,"",IF(T=AC$11,100,EXP(-IRTree!AC58*h)*((AD57+AD58)/2+cc*h))))</f>
        <v/>
      </c>
      <c r="AD57" s="3" t="str">
        <f>IF(AD$11&gt;T,"",IF($A57&gt;AD$12,"",IF(T=AD$11,100,EXP(-IRTree!AD58*h)*((AE57+AE58)/2+cc*h))))</f>
        <v/>
      </c>
      <c r="AE57" s="3" t="str">
        <f>IF(AE$11&gt;T,"",IF($A57&gt;AE$12,"",IF(T=AE$11,100,EXP(-IRTree!AE58*h)*((AF57+AF58)/2+cc*h))))</f>
        <v/>
      </c>
      <c r="AF57" s="3" t="str">
        <f>IF(AF$11&gt;T,"",IF($A57&gt;AF$12,"",IF(T=AF$11,100,EXP(-IRTree!AF58*h)*((AG57+AG58)/2+cc*h))))</f>
        <v/>
      </c>
      <c r="AG57" s="3" t="str">
        <f>IF(AG$11&gt;T,"",IF($A57&gt;AG$12,"",IF(T=AG$11,100,EXP(-IRTree!AG58*h)*((AH57+AH58)/2+cc*h))))</f>
        <v/>
      </c>
      <c r="AH57" s="3" t="str">
        <f>IF(AH$11&gt;T,"",IF($A57&gt;AH$12,"",IF(T=AH$11,100,EXP(-IRTree!AH58*h)*((AI57+AI58)/2+cc*h))))</f>
        <v/>
      </c>
      <c r="AI57" s="3" t="str">
        <f>IF(AI$11&gt;T,"",IF($A57&gt;AI$12,"",IF(T=AI$11,100,EXP(-IRTree!AI58*h)*((AJ57+AJ58)/2+cc*h))))</f>
        <v/>
      </c>
      <c r="AJ57" s="3" t="str">
        <f>IF(AJ$11&gt;T,"",IF($A57&gt;AJ$12,"",IF(T=AJ$11,100,EXP(-IRTree!AJ58*h)*((AK57+AK58)/2+cc*h))))</f>
        <v/>
      </c>
      <c r="AK57" s="3" t="str">
        <f>IF(AK$11&gt;T,"",IF($A57&gt;AK$12,"",IF(T=AK$11,100,EXP(-IRTree!AK58*h)*((AL57+AL58)/2+cc*h))))</f>
        <v/>
      </c>
      <c r="AL57" s="3" t="str">
        <f>IF(AL$11&gt;T,"",IF($A57&gt;AL$12,"",IF(T=AL$11,100,EXP(-IRTree!AL58*h)*((AM57+AM58)/2+cc*h))))</f>
        <v/>
      </c>
      <c r="AM57" s="3" t="str">
        <f>IF(AM$11&gt;T,"",IF($A57&gt;AM$12,"",IF(T=AM$11,100,EXP(-IRTree!AM58*h)*((AN57+AN58)/2+cc*h))))</f>
        <v/>
      </c>
      <c r="AN57" s="3" t="str">
        <f>IF(AN$11&gt;T,"",IF($A57&gt;AN$12,"",IF(T=AN$11,100,EXP(-IRTree!AN58*h)*((AO57+AO58)/2+cc*h))))</f>
        <v/>
      </c>
      <c r="AO57" s="3" t="str">
        <f>IF(AO$11&gt;T,"",IF($A57&gt;AO$12,"",IF(T=AO$11,100,EXP(-IRTree!AO58*h)*((AP57+AP58)/2+cc*h))))</f>
        <v/>
      </c>
      <c r="AP57" s="3" t="str">
        <f>IF(AP$11&gt;T,"",IF($A57&gt;AP$12,"",IF(T=AP$11,100,EXP(-IRTree!AP58*h)*((AQ57+AQ58)/2+cc*h))))</f>
        <v/>
      </c>
      <c r="AQ57" s="3" t="str">
        <f>IF(AQ$11&gt;T,"",IF($A57&gt;AQ$12,"",IF(T=AQ$11,100,EXP(-IRTree!AQ58*h)*((AR57+AR58)/2+cc*h))))</f>
        <v/>
      </c>
      <c r="AR57" s="3" t="str">
        <f>IF(AR$11&gt;T,"",IF($A57&gt;AR$12,"",IF(T=AR$11,100,EXP(-IRTree!AR58*h)*((AS57+AS58)/2+cc*h))))</f>
        <v/>
      </c>
      <c r="AS57" s="3" t="str">
        <f>IF(AS$11&gt;T,"",IF($A57&gt;AS$12,"",IF(T=AS$11,100,EXP(-IRTree!AS58*h)*((AT57+AT58)/2+cc*h))))</f>
        <v/>
      </c>
      <c r="AT57" s="3" t="str">
        <f>IF(AT$11&gt;T,"",IF($A57&gt;AT$12,"",IF(T=AT$11,100,EXP(-IRTree!AT58*h)*((AU57+AU58)/2+cc*h))))</f>
        <v/>
      </c>
      <c r="AU57" s="3" t="str">
        <f>IF(AU$11&gt;T,"",IF($A57&gt;AU$12,"",IF(T=AU$11,100,EXP(-IRTree!AU58*h)*((AV57+AV58)/2+cc*h))))</f>
        <v/>
      </c>
      <c r="AV57" s="3" t="str">
        <f>IF(AV$11&gt;T,"",IF($A57&gt;AV$12,"",IF(T=AV$11,100,EXP(-IRTree!AV58*h)*((AW57+AW58)/2+cc*h))))</f>
        <v/>
      </c>
      <c r="AW57" s="3" t="str">
        <f>IF(AW$11&gt;T,"",IF($A57&gt;AW$12,"",IF(T=AW$11,100,EXP(-IRTree!AW58*h)*((AX57+AX58)/2+cc*h))))</f>
        <v/>
      </c>
      <c r="AX57" s="3" t="str">
        <f>IF(AX$11&gt;T,"",IF($A57&gt;AX$12,"",IF(T=AX$11,100,EXP(-IRTree!AX58*h)*((AY57+AY58)/2+cc*h))))</f>
        <v/>
      </c>
      <c r="AY57" s="3" t="str">
        <f>IF(AY$11&gt;T,"",IF($A57&gt;AY$12,"",IF(T=AY$11,100,EXP(-IRTree!AY58*h)*((AZ57+AZ58)/2+cc*h))))</f>
        <v/>
      </c>
      <c r="AZ57" s="3" t="str">
        <f>IF(AZ$11&gt;T,"",IF($A57&gt;AZ$12,"",IF(T=AZ$11,100,EXP(-IRTree!AZ58*h)*((BA57+BA58)/2+cc*h))))</f>
        <v/>
      </c>
      <c r="BA57" s="3" t="str">
        <f>IF(BA$11&gt;T,"",IF($A57&gt;BA$12,"",IF(T=BA$11,100,EXP(-IRTree!BA58*h)*((BB57+BB58)/2+cc*h))))</f>
        <v/>
      </c>
      <c r="BB57" s="3" t="str">
        <f>IF(BB$11&gt;T,"",IF($A57&gt;BB$12,"",IF(T=BB$11,100,EXP(-IRTree!BB58*h)*((BC57+BC58)/2+cc*h))))</f>
        <v/>
      </c>
      <c r="BC57" s="3" t="str">
        <f>IF(BC$11&gt;T,"",IF($A57&gt;BC$12,"",IF(T=BC$11,100,EXP(-IRTree!BC58*h)*((BD57+BD58)/2+cc*h))))</f>
        <v/>
      </c>
      <c r="BD57" s="3" t="str">
        <f>IF(BD$11&gt;T,"",IF($A57&gt;BD$12,"",IF(T=BD$11,100,EXP(-IRTree!BD58*h)*((BE57+BE58)/2+cc*h))))</f>
        <v/>
      </c>
      <c r="BE57" s="3" t="str">
        <f>IF(BE$11&gt;T,"",IF($A57&gt;BE$12,"",IF(T=BE$11,100,EXP(-IRTree!BE58*h)*((BF57+BF58)/2+cc*h))))</f>
        <v/>
      </c>
      <c r="BF57" s="3" t="str">
        <f>IF(BF$11&gt;T,"",IF($A57&gt;BF$12,"",IF(T=BF$11,100,EXP(-IRTree!BF58*h)*((BG57+BG58)/2+cc*h))))</f>
        <v/>
      </c>
      <c r="BG57" s="3" t="str">
        <f>IF(BG$11&gt;T,"",IF($A57&gt;BG$12,"",IF(T=BG$11,100,EXP(-IRTree!BG58*h)*((BH57+BH58)/2+cc*h))))</f>
        <v/>
      </c>
      <c r="BH57" s="3" t="str">
        <f>IF(BH$11&gt;T,"",IF($A57&gt;BH$12,"",IF(T=BH$11,100,EXP(-IRTree!BH58*h)*((BI57+BI58)/2+cc*h))))</f>
        <v/>
      </c>
      <c r="BI57" s="3" t="str">
        <f>IF(BI$11&gt;T,"",IF($A57&gt;BI$12,"",IF(T=BI$11,100,EXP(-IRTree!BI58*h)*((BJ57+BJ58)/2+cc*h))))</f>
        <v/>
      </c>
      <c r="BJ57" s="3" t="str">
        <f>IF(BJ$11&gt;T,"",IF($A57&gt;BJ$12,"",IF(T=BJ$11,100,EXP(-IRTree!BJ58*h)*((BK57+BK58)/2+cc*h))))</f>
        <v/>
      </c>
    </row>
    <row r="58" spans="1:62">
      <c r="A58" s="12">
        <f t="shared" si="2"/>
        <v>45</v>
      </c>
      <c r="B58" s="3" t="str">
        <f>IF(B$11&gt;T,"",IF($A58&gt;B$12,"",IF(T=B$11,100,EXP(-IRTree!B59*h)*((C58+C59)/2+cc*h))))</f>
        <v/>
      </c>
      <c r="C58" s="3" t="str">
        <f>IF(C$11&gt;T,"",IF($A58&gt;C$12,"",IF(T=C$11,100,EXP(-IRTree!C59*h)*((D58+D59)/2+cc*h))))</f>
        <v/>
      </c>
      <c r="D58" s="3" t="str">
        <f>IF(D$11&gt;T,"",IF($A58&gt;D$12,"",IF(T=D$11,100,EXP(-IRTree!D59*h)*((E58+E59)/2+cc*h))))</f>
        <v/>
      </c>
      <c r="E58" s="3" t="str">
        <f>IF(E$11&gt;T,"",IF($A58&gt;E$12,"",IF(T=E$11,100,EXP(-IRTree!E59*h)*((F58+F59)/2+cc*h))))</f>
        <v/>
      </c>
      <c r="F58" s="3" t="str">
        <f>IF(F$11&gt;T,"",IF($A58&gt;F$12,"",IF(T=F$11,100,EXP(-IRTree!F59*h)*((G58+G59)/2+cc*h))))</f>
        <v/>
      </c>
      <c r="G58" s="3" t="str">
        <f>IF(G$11&gt;T,"",IF($A58&gt;G$12,"",IF(T=G$11,100,EXP(-IRTree!G59*h)*((H58+H59)/2+cc*h))))</f>
        <v/>
      </c>
      <c r="H58" s="3" t="str">
        <f>IF(H$11&gt;T,"",IF($A58&gt;H$12,"",IF(T=H$11,100,EXP(-IRTree!H59*h)*((I58+I59)/2+cc*h))))</f>
        <v/>
      </c>
      <c r="I58" s="3" t="str">
        <f>IF(I$11&gt;T,"",IF($A58&gt;I$12,"",IF(T=I$11,100,EXP(-IRTree!I59*h)*((J58+J59)/2+cc*h))))</f>
        <v/>
      </c>
      <c r="J58" s="3" t="str">
        <f>IF(J$11&gt;T,"",IF($A58&gt;J$12,"",IF(T=J$11,100,EXP(-IRTree!J59*h)*((K58+K59)/2+cc*h))))</f>
        <v/>
      </c>
      <c r="K58" s="3" t="str">
        <f>IF(K$11&gt;T,"",IF($A58&gt;K$12,"",IF(T=K$11,100,EXP(-IRTree!K59*h)*((L58+L59)/2+cc*h))))</f>
        <v/>
      </c>
      <c r="L58" s="3" t="str">
        <f>IF(L$11&gt;T,"",IF($A58&gt;L$12,"",IF(T=L$11,100,EXP(-IRTree!L59*h)*((M58+M59)/2+cc*h))))</f>
        <v/>
      </c>
      <c r="M58" s="3" t="str">
        <f>IF(M$11&gt;T,"",IF($A58&gt;M$12,"",IF(T=M$11,100,EXP(-IRTree!M59*h)*((N58+N59)/2+cc*h))))</f>
        <v/>
      </c>
      <c r="N58" s="3" t="str">
        <f>IF(N$11&gt;T,"",IF($A58&gt;N$12,"",IF(T=N$11,100,EXP(-IRTree!N59*h)*((O58+O59)/2+cc*h))))</f>
        <v/>
      </c>
      <c r="O58" s="3" t="str">
        <f>IF(O$11&gt;T,"",IF($A58&gt;O$12,"",IF(T=O$11,100,EXP(-IRTree!O59*h)*((P58+P59)/2+cc*h))))</f>
        <v/>
      </c>
      <c r="P58" s="3" t="str">
        <f>IF(P$11&gt;T,"",IF($A58&gt;P$12,"",IF(T=P$11,100,EXP(-IRTree!P59*h)*((Q58+Q59)/2+cc*h))))</f>
        <v/>
      </c>
      <c r="Q58" s="3" t="str">
        <f>IF(Q$11&gt;T,"",IF($A58&gt;Q$12,"",IF(T=Q$11,100,EXP(-IRTree!Q59*h)*((R58+R59)/2+cc*h))))</f>
        <v/>
      </c>
      <c r="R58" s="3" t="str">
        <f>IF(R$11&gt;T,"",IF($A58&gt;R$12,"",IF(T=R$11,100,EXP(-IRTree!R59*h)*((S58+S59)/2+cc*h))))</f>
        <v/>
      </c>
      <c r="S58" s="3" t="str">
        <f>IF(S$11&gt;T,"",IF($A58&gt;S$12,"",IF(T=S$11,100,EXP(-IRTree!S59*h)*((T58+T59)/2+cc*h))))</f>
        <v/>
      </c>
      <c r="T58" s="3" t="str">
        <f>IF(T$11&gt;T,"",IF($A58&gt;T$12,"",IF(T=T$11,100,EXP(-IRTree!T59*h)*((U58+U59)/2+cc*h))))</f>
        <v/>
      </c>
      <c r="U58" s="3" t="str">
        <f>IF(U$11&gt;T,"",IF($A58&gt;U$12,"",IF(T=U$11,100,EXP(-IRTree!U59*h)*((V58+V59)/2+cc*h))))</f>
        <v/>
      </c>
      <c r="V58" s="3" t="str">
        <f>IF(V$11&gt;T,"",IF($A58&gt;V$12,"",IF(T=V$11,100,EXP(-IRTree!V59*h)*((W58+W59)/2+cc*h))))</f>
        <v/>
      </c>
      <c r="W58" s="3" t="str">
        <f>IF(W$11&gt;T,"",IF($A58&gt;W$12,"",IF(T=W$11,100,EXP(-IRTree!W59*h)*((X58+X59)/2+cc*h))))</f>
        <v/>
      </c>
      <c r="X58" s="3" t="str">
        <f>IF(X$11&gt;T,"",IF($A58&gt;X$12,"",IF(T=X$11,100,EXP(-IRTree!X59*h)*((Y58+Y59)/2+cc*h))))</f>
        <v/>
      </c>
      <c r="Y58" s="3" t="str">
        <f>IF(Y$11&gt;T,"",IF($A58&gt;Y$12,"",IF(T=Y$11,100,EXP(-IRTree!Y59*h)*((Z58+Z59)/2+cc*h))))</f>
        <v/>
      </c>
      <c r="Z58" s="3" t="str">
        <f>IF(Z$11&gt;T,"",IF($A58&gt;Z$12,"",IF(T=Z$11,100,EXP(-IRTree!Z59*h)*((AA58+AA59)/2+cc*h))))</f>
        <v/>
      </c>
      <c r="AA58" s="3" t="str">
        <f>IF(AA$11&gt;T,"",IF($A58&gt;AA$12,"",IF(T=AA$11,100,EXP(-IRTree!AA59*h)*((AB58+AB59)/2+cc*h))))</f>
        <v/>
      </c>
      <c r="AB58" s="3" t="str">
        <f>IF(AB$11&gt;T,"",IF($A58&gt;AB$12,"",IF(T=AB$11,100,EXP(-IRTree!AB59*h)*((AC58+AC59)/2+cc*h))))</f>
        <v/>
      </c>
      <c r="AC58" s="3" t="str">
        <f>IF(AC$11&gt;T,"",IF($A58&gt;AC$12,"",IF(T=AC$11,100,EXP(-IRTree!AC59*h)*((AD58+AD59)/2+cc*h))))</f>
        <v/>
      </c>
      <c r="AD58" s="3" t="str">
        <f>IF(AD$11&gt;T,"",IF($A58&gt;AD$12,"",IF(T=AD$11,100,EXP(-IRTree!AD59*h)*((AE58+AE59)/2+cc*h))))</f>
        <v/>
      </c>
      <c r="AE58" s="3" t="str">
        <f>IF(AE$11&gt;T,"",IF($A58&gt;AE$12,"",IF(T=AE$11,100,EXP(-IRTree!AE59*h)*((AF58+AF59)/2+cc*h))))</f>
        <v/>
      </c>
      <c r="AF58" s="3" t="str">
        <f>IF(AF$11&gt;T,"",IF($A58&gt;AF$12,"",IF(T=AF$11,100,EXP(-IRTree!AF59*h)*((AG58+AG59)/2+cc*h))))</f>
        <v/>
      </c>
      <c r="AG58" s="3" t="str">
        <f>IF(AG$11&gt;T,"",IF($A58&gt;AG$12,"",IF(T=AG$11,100,EXP(-IRTree!AG59*h)*((AH58+AH59)/2+cc*h))))</f>
        <v/>
      </c>
      <c r="AH58" s="3" t="str">
        <f>IF(AH$11&gt;T,"",IF($A58&gt;AH$12,"",IF(T=AH$11,100,EXP(-IRTree!AH59*h)*((AI58+AI59)/2+cc*h))))</f>
        <v/>
      </c>
      <c r="AI58" s="3" t="str">
        <f>IF(AI$11&gt;T,"",IF($A58&gt;AI$12,"",IF(T=AI$11,100,EXP(-IRTree!AI59*h)*((AJ58+AJ59)/2+cc*h))))</f>
        <v/>
      </c>
      <c r="AJ58" s="3" t="str">
        <f>IF(AJ$11&gt;T,"",IF($A58&gt;AJ$12,"",IF(T=AJ$11,100,EXP(-IRTree!AJ59*h)*((AK58+AK59)/2+cc*h))))</f>
        <v/>
      </c>
      <c r="AK58" s="3" t="str">
        <f>IF(AK$11&gt;T,"",IF($A58&gt;AK$12,"",IF(T=AK$11,100,EXP(-IRTree!AK59*h)*((AL58+AL59)/2+cc*h))))</f>
        <v/>
      </c>
      <c r="AL58" s="3" t="str">
        <f>IF(AL$11&gt;T,"",IF($A58&gt;AL$12,"",IF(T=AL$11,100,EXP(-IRTree!AL59*h)*((AM58+AM59)/2+cc*h))))</f>
        <v/>
      </c>
      <c r="AM58" s="3" t="str">
        <f>IF(AM$11&gt;T,"",IF($A58&gt;AM$12,"",IF(T=AM$11,100,EXP(-IRTree!AM59*h)*((AN58+AN59)/2+cc*h))))</f>
        <v/>
      </c>
      <c r="AN58" s="3" t="str">
        <f>IF(AN$11&gt;T,"",IF($A58&gt;AN$12,"",IF(T=AN$11,100,EXP(-IRTree!AN59*h)*((AO58+AO59)/2+cc*h))))</f>
        <v/>
      </c>
      <c r="AO58" s="3" t="str">
        <f>IF(AO$11&gt;T,"",IF($A58&gt;AO$12,"",IF(T=AO$11,100,EXP(-IRTree!AO59*h)*((AP58+AP59)/2+cc*h))))</f>
        <v/>
      </c>
      <c r="AP58" s="3" t="str">
        <f>IF(AP$11&gt;T,"",IF($A58&gt;AP$12,"",IF(T=AP$11,100,EXP(-IRTree!AP59*h)*((AQ58+AQ59)/2+cc*h))))</f>
        <v/>
      </c>
      <c r="AQ58" s="3" t="str">
        <f>IF(AQ$11&gt;T,"",IF($A58&gt;AQ$12,"",IF(T=AQ$11,100,EXP(-IRTree!AQ59*h)*((AR58+AR59)/2+cc*h))))</f>
        <v/>
      </c>
      <c r="AR58" s="3" t="str">
        <f>IF(AR$11&gt;T,"",IF($A58&gt;AR$12,"",IF(T=AR$11,100,EXP(-IRTree!AR59*h)*((AS58+AS59)/2+cc*h))))</f>
        <v/>
      </c>
      <c r="AS58" s="3" t="str">
        <f>IF(AS$11&gt;T,"",IF($A58&gt;AS$12,"",IF(T=AS$11,100,EXP(-IRTree!AS59*h)*((AT58+AT59)/2+cc*h))))</f>
        <v/>
      </c>
      <c r="AT58" s="3" t="str">
        <f>IF(AT$11&gt;T,"",IF($A58&gt;AT$12,"",IF(T=AT$11,100,EXP(-IRTree!AT59*h)*((AU58+AU59)/2+cc*h))))</f>
        <v/>
      </c>
      <c r="AU58" s="3" t="str">
        <f>IF(AU$11&gt;T,"",IF($A58&gt;AU$12,"",IF(T=AU$11,100,EXP(-IRTree!AU59*h)*((AV58+AV59)/2+cc*h))))</f>
        <v/>
      </c>
      <c r="AV58" s="3" t="str">
        <f>IF(AV$11&gt;T,"",IF($A58&gt;AV$12,"",IF(T=AV$11,100,EXP(-IRTree!AV59*h)*((AW58+AW59)/2+cc*h))))</f>
        <v/>
      </c>
      <c r="AW58" s="3" t="str">
        <f>IF(AW$11&gt;T,"",IF($A58&gt;AW$12,"",IF(T=AW$11,100,EXP(-IRTree!AW59*h)*((AX58+AX59)/2+cc*h))))</f>
        <v/>
      </c>
      <c r="AX58" s="3" t="str">
        <f>IF(AX$11&gt;T,"",IF($A58&gt;AX$12,"",IF(T=AX$11,100,EXP(-IRTree!AX59*h)*((AY58+AY59)/2+cc*h))))</f>
        <v/>
      </c>
      <c r="AY58" s="3" t="str">
        <f>IF(AY$11&gt;T,"",IF($A58&gt;AY$12,"",IF(T=AY$11,100,EXP(-IRTree!AY59*h)*((AZ58+AZ59)/2+cc*h))))</f>
        <v/>
      </c>
      <c r="AZ58" s="3" t="str">
        <f>IF(AZ$11&gt;T,"",IF($A58&gt;AZ$12,"",IF(T=AZ$11,100,EXP(-IRTree!AZ59*h)*((BA58+BA59)/2+cc*h))))</f>
        <v/>
      </c>
      <c r="BA58" s="3" t="str">
        <f>IF(BA$11&gt;T,"",IF($A58&gt;BA$12,"",IF(T=BA$11,100,EXP(-IRTree!BA59*h)*((BB58+BB59)/2+cc*h))))</f>
        <v/>
      </c>
      <c r="BB58" s="3" t="str">
        <f>IF(BB$11&gt;T,"",IF($A58&gt;BB$12,"",IF(T=BB$11,100,EXP(-IRTree!BB59*h)*((BC58+BC59)/2+cc*h))))</f>
        <v/>
      </c>
      <c r="BC58" s="3" t="str">
        <f>IF(BC$11&gt;T,"",IF($A58&gt;BC$12,"",IF(T=BC$11,100,EXP(-IRTree!BC59*h)*((BD58+BD59)/2+cc*h))))</f>
        <v/>
      </c>
      <c r="BD58" s="3" t="str">
        <f>IF(BD$11&gt;T,"",IF($A58&gt;BD$12,"",IF(T=BD$11,100,EXP(-IRTree!BD59*h)*((BE58+BE59)/2+cc*h))))</f>
        <v/>
      </c>
      <c r="BE58" s="3" t="str">
        <f>IF(BE$11&gt;T,"",IF($A58&gt;BE$12,"",IF(T=BE$11,100,EXP(-IRTree!BE59*h)*((BF58+BF59)/2+cc*h))))</f>
        <v/>
      </c>
      <c r="BF58" s="3" t="str">
        <f>IF(BF$11&gt;T,"",IF($A58&gt;BF$12,"",IF(T=BF$11,100,EXP(-IRTree!BF59*h)*((BG58+BG59)/2+cc*h))))</f>
        <v/>
      </c>
      <c r="BG58" s="3" t="str">
        <f>IF(BG$11&gt;T,"",IF($A58&gt;BG$12,"",IF(T=BG$11,100,EXP(-IRTree!BG59*h)*((BH58+BH59)/2+cc*h))))</f>
        <v/>
      </c>
      <c r="BH58" s="3" t="str">
        <f>IF(BH$11&gt;T,"",IF($A58&gt;BH$12,"",IF(T=BH$11,100,EXP(-IRTree!BH59*h)*((BI58+BI59)/2+cc*h))))</f>
        <v/>
      </c>
      <c r="BI58" s="3" t="str">
        <f>IF(BI$11&gt;T,"",IF($A58&gt;BI$12,"",IF(T=BI$11,100,EXP(-IRTree!BI59*h)*((BJ58+BJ59)/2+cc*h))))</f>
        <v/>
      </c>
      <c r="BJ58" s="3" t="str">
        <f>IF(BJ$11&gt;T,"",IF($A58&gt;BJ$12,"",IF(T=BJ$11,100,EXP(-IRTree!BJ59*h)*((BK58+BK59)/2+cc*h))))</f>
        <v/>
      </c>
    </row>
    <row r="59" spans="1:62">
      <c r="A59" s="12">
        <f t="shared" si="2"/>
        <v>46</v>
      </c>
      <c r="B59" s="3" t="str">
        <f>IF(B$11&gt;T,"",IF($A59&gt;B$12,"",IF(T=B$11,100,EXP(-IRTree!B60*h)*((C59+C60)/2+cc*h))))</f>
        <v/>
      </c>
      <c r="C59" s="3" t="str">
        <f>IF(C$11&gt;T,"",IF($A59&gt;C$12,"",IF(T=C$11,100,EXP(-IRTree!C60*h)*((D59+D60)/2+cc*h))))</f>
        <v/>
      </c>
      <c r="D59" s="3" t="str">
        <f>IF(D$11&gt;T,"",IF($A59&gt;D$12,"",IF(T=D$11,100,EXP(-IRTree!D60*h)*((E59+E60)/2+cc*h))))</f>
        <v/>
      </c>
      <c r="E59" s="3" t="str">
        <f>IF(E$11&gt;T,"",IF($A59&gt;E$12,"",IF(T=E$11,100,EXP(-IRTree!E60*h)*((F59+F60)/2+cc*h))))</f>
        <v/>
      </c>
      <c r="F59" s="3" t="str">
        <f>IF(F$11&gt;T,"",IF($A59&gt;F$12,"",IF(T=F$11,100,EXP(-IRTree!F60*h)*((G59+G60)/2+cc*h))))</f>
        <v/>
      </c>
      <c r="G59" s="3" t="str">
        <f>IF(G$11&gt;T,"",IF($A59&gt;G$12,"",IF(T=G$11,100,EXP(-IRTree!G60*h)*((H59+H60)/2+cc*h))))</f>
        <v/>
      </c>
      <c r="H59" s="3" t="str">
        <f>IF(H$11&gt;T,"",IF($A59&gt;H$12,"",IF(T=H$11,100,EXP(-IRTree!H60*h)*((I59+I60)/2+cc*h))))</f>
        <v/>
      </c>
      <c r="I59" s="3" t="str">
        <f>IF(I$11&gt;T,"",IF($A59&gt;I$12,"",IF(T=I$11,100,EXP(-IRTree!I60*h)*((J59+J60)/2+cc*h))))</f>
        <v/>
      </c>
      <c r="J59" s="3" t="str">
        <f>IF(J$11&gt;T,"",IF($A59&gt;J$12,"",IF(T=J$11,100,EXP(-IRTree!J60*h)*((K59+K60)/2+cc*h))))</f>
        <v/>
      </c>
      <c r="K59" s="3" t="str">
        <f>IF(K$11&gt;T,"",IF($A59&gt;K$12,"",IF(T=K$11,100,EXP(-IRTree!K60*h)*((L59+L60)/2+cc*h))))</f>
        <v/>
      </c>
      <c r="L59" s="3" t="str">
        <f>IF(L$11&gt;T,"",IF($A59&gt;L$12,"",IF(T=L$11,100,EXP(-IRTree!L60*h)*((M59+M60)/2+cc*h))))</f>
        <v/>
      </c>
      <c r="M59" s="3" t="str">
        <f>IF(M$11&gt;T,"",IF($A59&gt;M$12,"",IF(T=M$11,100,EXP(-IRTree!M60*h)*((N59+N60)/2+cc*h))))</f>
        <v/>
      </c>
      <c r="N59" s="3" t="str">
        <f>IF(N$11&gt;T,"",IF($A59&gt;N$12,"",IF(T=N$11,100,EXP(-IRTree!N60*h)*((O59+O60)/2+cc*h))))</f>
        <v/>
      </c>
      <c r="O59" s="3" t="str">
        <f>IF(O$11&gt;T,"",IF($A59&gt;O$12,"",IF(T=O$11,100,EXP(-IRTree!O60*h)*((P59+P60)/2+cc*h))))</f>
        <v/>
      </c>
      <c r="P59" s="3" t="str">
        <f>IF(P$11&gt;T,"",IF($A59&gt;P$12,"",IF(T=P$11,100,EXP(-IRTree!P60*h)*((Q59+Q60)/2+cc*h))))</f>
        <v/>
      </c>
      <c r="Q59" s="3" t="str">
        <f>IF(Q$11&gt;T,"",IF($A59&gt;Q$12,"",IF(T=Q$11,100,EXP(-IRTree!Q60*h)*((R59+R60)/2+cc*h))))</f>
        <v/>
      </c>
      <c r="R59" s="3" t="str">
        <f>IF(R$11&gt;T,"",IF($A59&gt;R$12,"",IF(T=R$11,100,EXP(-IRTree!R60*h)*((S59+S60)/2+cc*h))))</f>
        <v/>
      </c>
      <c r="S59" s="3" t="str">
        <f>IF(S$11&gt;T,"",IF($A59&gt;S$12,"",IF(T=S$11,100,EXP(-IRTree!S60*h)*((T59+T60)/2+cc*h))))</f>
        <v/>
      </c>
      <c r="T59" s="3" t="str">
        <f>IF(T$11&gt;T,"",IF($A59&gt;T$12,"",IF(T=T$11,100,EXP(-IRTree!T60*h)*((U59+U60)/2+cc*h))))</f>
        <v/>
      </c>
      <c r="U59" s="3" t="str">
        <f>IF(U$11&gt;T,"",IF($A59&gt;U$12,"",IF(T=U$11,100,EXP(-IRTree!U60*h)*((V59+V60)/2+cc*h))))</f>
        <v/>
      </c>
      <c r="V59" s="3" t="str">
        <f>IF(V$11&gt;T,"",IF($A59&gt;V$12,"",IF(T=V$11,100,EXP(-IRTree!V60*h)*((W59+W60)/2+cc*h))))</f>
        <v/>
      </c>
      <c r="W59" s="3" t="str">
        <f>IF(W$11&gt;T,"",IF($A59&gt;W$12,"",IF(T=W$11,100,EXP(-IRTree!W60*h)*((X59+X60)/2+cc*h))))</f>
        <v/>
      </c>
      <c r="X59" s="3" t="str">
        <f>IF(X$11&gt;T,"",IF($A59&gt;X$12,"",IF(T=X$11,100,EXP(-IRTree!X60*h)*((Y59+Y60)/2+cc*h))))</f>
        <v/>
      </c>
      <c r="Y59" s="3" t="str">
        <f>IF(Y$11&gt;T,"",IF($A59&gt;Y$12,"",IF(T=Y$11,100,EXP(-IRTree!Y60*h)*((Z59+Z60)/2+cc*h))))</f>
        <v/>
      </c>
      <c r="Z59" s="3" t="str">
        <f>IF(Z$11&gt;T,"",IF($A59&gt;Z$12,"",IF(T=Z$11,100,EXP(-IRTree!Z60*h)*((AA59+AA60)/2+cc*h))))</f>
        <v/>
      </c>
      <c r="AA59" s="3" t="str">
        <f>IF(AA$11&gt;T,"",IF($A59&gt;AA$12,"",IF(T=AA$11,100,EXP(-IRTree!AA60*h)*((AB59+AB60)/2+cc*h))))</f>
        <v/>
      </c>
      <c r="AB59" s="3" t="str">
        <f>IF(AB$11&gt;T,"",IF($A59&gt;AB$12,"",IF(T=AB$11,100,EXP(-IRTree!AB60*h)*((AC59+AC60)/2+cc*h))))</f>
        <v/>
      </c>
      <c r="AC59" s="3" t="str">
        <f>IF(AC$11&gt;T,"",IF($A59&gt;AC$12,"",IF(T=AC$11,100,EXP(-IRTree!AC60*h)*((AD59+AD60)/2+cc*h))))</f>
        <v/>
      </c>
      <c r="AD59" s="3" t="str">
        <f>IF(AD$11&gt;T,"",IF($A59&gt;AD$12,"",IF(T=AD$11,100,EXP(-IRTree!AD60*h)*((AE59+AE60)/2+cc*h))))</f>
        <v/>
      </c>
      <c r="AE59" s="3" t="str">
        <f>IF(AE$11&gt;T,"",IF($A59&gt;AE$12,"",IF(T=AE$11,100,EXP(-IRTree!AE60*h)*((AF59+AF60)/2+cc*h))))</f>
        <v/>
      </c>
      <c r="AF59" s="3" t="str">
        <f>IF(AF$11&gt;T,"",IF($A59&gt;AF$12,"",IF(T=AF$11,100,EXP(-IRTree!AF60*h)*((AG59+AG60)/2+cc*h))))</f>
        <v/>
      </c>
      <c r="AG59" s="3" t="str">
        <f>IF(AG$11&gt;T,"",IF($A59&gt;AG$12,"",IF(T=AG$11,100,EXP(-IRTree!AG60*h)*((AH59+AH60)/2+cc*h))))</f>
        <v/>
      </c>
      <c r="AH59" s="3" t="str">
        <f>IF(AH$11&gt;T,"",IF($A59&gt;AH$12,"",IF(T=AH$11,100,EXP(-IRTree!AH60*h)*((AI59+AI60)/2+cc*h))))</f>
        <v/>
      </c>
      <c r="AI59" s="3" t="str">
        <f>IF(AI$11&gt;T,"",IF($A59&gt;AI$12,"",IF(T=AI$11,100,EXP(-IRTree!AI60*h)*((AJ59+AJ60)/2+cc*h))))</f>
        <v/>
      </c>
      <c r="AJ59" s="3" t="str">
        <f>IF(AJ$11&gt;T,"",IF($A59&gt;AJ$12,"",IF(T=AJ$11,100,EXP(-IRTree!AJ60*h)*((AK59+AK60)/2+cc*h))))</f>
        <v/>
      </c>
      <c r="AK59" s="3" t="str">
        <f>IF(AK$11&gt;T,"",IF($A59&gt;AK$12,"",IF(T=AK$11,100,EXP(-IRTree!AK60*h)*((AL59+AL60)/2+cc*h))))</f>
        <v/>
      </c>
      <c r="AL59" s="3" t="str">
        <f>IF(AL$11&gt;T,"",IF($A59&gt;AL$12,"",IF(T=AL$11,100,EXP(-IRTree!AL60*h)*((AM59+AM60)/2+cc*h))))</f>
        <v/>
      </c>
      <c r="AM59" s="3" t="str">
        <f>IF(AM$11&gt;T,"",IF($A59&gt;AM$12,"",IF(T=AM$11,100,EXP(-IRTree!AM60*h)*((AN59+AN60)/2+cc*h))))</f>
        <v/>
      </c>
      <c r="AN59" s="3" t="str">
        <f>IF(AN$11&gt;T,"",IF($A59&gt;AN$12,"",IF(T=AN$11,100,EXP(-IRTree!AN60*h)*((AO59+AO60)/2+cc*h))))</f>
        <v/>
      </c>
      <c r="AO59" s="3" t="str">
        <f>IF(AO$11&gt;T,"",IF($A59&gt;AO$12,"",IF(T=AO$11,100,EXP(-IRTree!AO60*h)*((AP59+AP60)/2+cc*h))))</f>
        <v/>
      </c>
      <c r="AP59" s="3" t="str">
        <f>IF(AP$11&gt;T,"",IF($A59&gt;AP$12,"",IF(T=AP$11,100,EXP(-IRTree!AP60*h)*((AQ59+AQ60)/2+cc*h))))</f>
        <v/>
      </c>
      <c r="AQ59" s="3" t="str">
        <f>IF(AQ$11&gt;T,"",IF($A59&gt;AQ$12,"",IF(T=AQ$11,100,EXP(-IRTree!AQ60*h)*((AR59+AR60)/2+cc*h))))</f>
        <v/>
      </c>
      <c r="AR59" s="3" t="str">
        <f>IF(AR$11&gt;T,"",IF($A59&gt;AR$12,"",IF(T=AR$11,100,EXP(-IRTree!AR60*h)*((AS59+AS60)/2+cc*h))))</f>
        <v/>
      </c>
      <c r="AS59" s="3" t="str">
        <f>IF(AS$11&gt;T,"",IF($A59&gt;AS$12,"",IF(T=AS$11,100,EXP(-IRTree!AS60*h)*((AT59+AT60)/2+cc*h))))</f>
        <v/>
      </c>
      <c r="AT59" s="3" t="str">
        <f>IF(AT$11&gt;T,"",IF($A59&gt;AT$12,"",IF(T=AT$11,100,EXP(-IRTree!AT60*h)*((AU59+AU60)/2+cc*h))))</f>
        <v/>
      </c>
      <c r="AU59" s="3" t="str">
        <f>IF(AU$11&gt;T,"",IF($A59&gt;AU$12,"",IF(T=AU$11,100,EXP(-IRTree!AU60*h)*((AV59+AV60)/2+cc*h))))</f>
        <v/>
      </c>
      <c r="AV59" s="3" t="str">
        <f>IF(AV$11&gt;T,"",IF($A59&gt;AV$12,"",IF(T=AV$11,100,EXP(-IRTree!AV60*h)*((AW59+AW60)/2+cc*h))))</f>
        <v/>
      </c>
      <c r="AW59" s="3" t="str">
        <f>IF(AW$11&gt;T,"",IF($A59&gt;AW$12,"",IF(T=AW$11,100,EXP(-IRTree!AW60*h)*((AX59+AX60)/2+cc*h))))</f>
        <v/>
      </c>
      <c r="AX59" s="3" t="str">
        <f>IF(AX$11&gt;T,"",IF($A59&gt;AX$12,"",IF(T=AX$11,100,EXP(-IRTree!AX60*h)*((AY59+AY60)/2+cc*h))))</f>
        <v/>
      </c>
      <c r="AY59" s="3" t="str">
        <f>IF(AY$11&gt;T,"",IF($A59&gt;AY$12,"",IF(T=AY$11,100,EXP(-IRTree!AY60*h)*((AZ59+AZ60)/2+cc*h))))</f>
        <v/>
      </c>
      <c r="AZ59" s="3" t="str">
        <f>IF(AZ$11&gt;T,"",IF($A59&gt;AZ$12,"",IF(T=AZ$11,100,EXP(-IRTree!AZ60*h)*((BA59+BA60)/2+cc*h))))</f>
        <v/>
      </c>
      <c r="BA59" s="3" t="str">
        <f>IF(BA$11&gt;T,"",IF($A59&gt;BA$12,"",IF(T=BA$11,100,EXP(-IRTree!BA60*h)*((BB59+BB60)/2+cc*h))))</f>
        <v/>
      </c>
      <c r="BB59" s="3" t="str">
        <f>IF(BB$11&gt;T,"",IF($A59&gt;BB$12,"",IF(T=BB$11,100,EXP(-IRTree!BB60*h)*((BC59+BC60)/2+cc*h))))</f>
        <v/>
      </c>
      <c r="BC59" s="3" t="str">
        <f>IF(BC$11&gt;T,"",IF($A59&gt;BC$12,"",IF(T=BC$11,100,EXP(-IRTree!BC60*h)*((BD59+BD60)/2+cc*h))))</f>
        <v/>
      </c>
      <c r="BD59" s="3" t="str">
        <f>IF(BD$11&gt;T,"",IF($A59&gt;BD$12,"",IF(T=BD$11,100,EXP(-IRTree!BD60*h)*((BE59+BE60)/2+cc*h))))</f>
        <v/>
      </c>
      <c r="BE59" s="3" t="str">
        <f>IF(BE$11&gt;T,"",IF($A59&gt;BE$12,"",IF(T=BE$11,100,EXP(-IRTree!BE60*h)*((BF59+BF60)/2+cc*h))))</f>
        <v/>
      </c>
      <c r="BF59" s="3" t="str">
        <f>IF(BF$11&gt;T,"",IF($A59&gt;BF$12,"",IF(T=BF$11,100,EXP(-IRTree!BF60*h)*((BG59+BG60)/2+cc*h))))</f>
        <v/>
      </c>
      <c r="BG59" s="3" t="str">
        <f>IF(BG$11&gt;T,"",IF($A59&gt;BG$12,"",IF(T=BG$11,100,EXP(-IRTree!BG60*h)*((BH59+BH60)/2+cc*h))))</f>
        <v/>
      </c>
      <c r="BH59" s="3" t="str">
        <f>IF(BH$11&gt;T,"",IF($A59&gt;BH$12,"",IF(T=BH$11,100,EXP(-IRTree!BH60*h)*((BI59+BI60)/2+cc*h))))</f>
        <v/>
      </c>
      <c r="BI59" s="3" t="str">
        <f>IF(BI$11&gt;T,"",IF($A59&gt;BI$12,"",IF(T=BI$11,100,EXP(-IRTree!BI60*h)*((BJ59+BJ60)/2+cc*h))))</f>
        <v/>
      </c>
      <c r="BJ59" s="3" t="str">
        <f>IF(BJ$11&gt;T,"",IF($A59&gt;BJ$12,"",IF(T=BJ$11,100,EXP(-IRTree!BJ60*h)*((BK59+BK60)/2+cc*h))))</f>
        <v/>
      </c>
    </row>
    <row r="60" spans="1:62">
      <c r="A60" s="12">
        <f t="shared" si="2"/>
        <v>47</v>
      </c>
      <c r="B60" s="3" t="str">
        <f>IF(B$11&gt;T,"",IF($A60&gt;B$12,"",IF(T=B$11,100,EXP(-IRTree!B61*h)*((C60+C61)/2+cc*h))))</f>
        <v/>
      </c>
      <c r="C60" s="3" t="str">
        <f>IF(C$11&gt;T,"",IF($A60&gt;C$12,"",IF(T=C$11,100,EXP(-IRTree!C61*h)*((D60+D61)/2+cc*h))))</f>
        <v/>
      </c>
      <c r="D60" s="3" t="str">
        <f>IF(D$11&gt;T,"",IF($A60&gt;D$12,"",IF(T=D$11,100,EXP(-IRTree!D61*h)*((E60+E61)/2+cc*h))))</f>
        <v/>
      </c>
      <c r="E60" s="3" t="str">
        <f>IF(E$11&gt;T,"",IF($A60&gt;E$12,"",IF(T=E$11,100,EXP(-IRTree!E61*h)*((F60+F61)/2+cc*h))))</f>
        <v/>
      </c>
      <c r="F60" s="3" t="str">
        <f>IF(F$11&gt;T,"",IF($A60&gt;F$12,"",IF(T=F$11,100,EXP(-IRTree!F61*h)*((G60+G61)/2+cc*h))))</f>
        <v/>
      </c>
      <c r="G60" s="3" t="str">
        <f>IF(G$11&gt;T,"",IF($A60&gt;G$12,"",IF(T=G$11,100,EXP(-IRTree!G61*h)*((H60+H61)/2+cc*h))))</f>
        <v/>
      </c>
      <c r="H60" s="3" t="str">
        <f>IF(H$11&gt;T,"",IF($A60&gt;H$12,"",IF(T=H$11,100,EXP(-IRTree!H61*h)*((I60+I61)/2+cc*h))))</f>
        <v/>
      </c>
      <c r="I60" s="3" t="str">
        <f>IF(I$11&gt;T,"",IF($A60&gt;I$12,"",IF(T=I$11,100,EXP(-IRTree!I61*h)*((J60+J61)/2+cc*h))))</f>
        <v/>
      </c>
      <c r="J60" s="3" t="str">
        <f>IF(J$11&gt;T,"",IF($A60&gt;J$12,"",IF(T=J$11,100,EXP(-IRTree!J61*h)*((K60+K61)/2+cc*h))))</f>
        <v/>
      </c>
      <c r="K60" s="3" t="str">
        <f>IF(K$11&gt;T,"",IF($A60&gt;K$12,"",IF(T=K$11,100,EXP(-IRTree!K61*h)*((L60+L61)/2+cc*h))))</f>
        <v/>
      </c>
      <c r="L60" s="3" t="str">
        <f>IF(L$11&gt;T,"",IF($A60&gt;L$12,"",IF(T=L$11,100,EXP(-IRTree!L61*h)*((M60+M61)/2+cc*h))))</f>
        <v/>
      </c>
      <c r="M60" s="3" t="str">
        <f>IF(M$11&gt;T,"",IF($A60&gt;M$12,"",IF(T=M$11,100,EXP(-IRTree!M61*h)*((N60+N61)/2+cc*h))))</f>
        <v/>
      </c>
      <c r="N60" s="3" t="str">
        <f>IF(N$11&gt;T,"",IF($A60&gt;N$12,"",IF(T=N$11,100,EXP(-IRTree!N61*h)*((O60+O61)/2+cc*h))))</f>
        <v/>
      </c>
      <c r="O60" s="3" t="str">
        <f>IF(O$11&gt;T,"",IF($A60&gt;O$12,"",IF(T=O$11,100,EXP(-IRTree!O61*h)*((P60+P61)/2+cc*h))))</f>
        <v/>
      </c>
      <c r="P60" s="3" t="str">
        <f>IF(P$11&gt;T,"",IF($A60&gt;P$12,"",IF(T=P$11,100,EXP(-IRTree!P61*h)*((Q60+Q61)/2+cc*h))))</f>
        <v/>
      </c>
      <c r="Q60" s="3" t="str">
        <f>IF(Q$11&gt;T,"",IF($A60&gt;Q$12,"",IF(T=Q$11,100,EXP(-IRTree!Q61*h)*((R60+R61)/2+cc*h))))</f>
        <v/>
      </c>
      <c r="R60" s="3" t="str">
        <f>IF(R$11&gt;T,"",IF($A60&gt;R$12,"",IF(T=R$11,100,EXP(-IRTree!R61*h)*((S60+S61)/2+cc*h))))</f>
        <v/>
      </c>
      <c r="S60" s="3" t="str">
        <f>IF(S$11&gt;T,"",IF($A60&gt;S$12,"",IF(T=S$11,100,EXP(-IRTree!S61*h)*((T60+T61)/2+cc*h))))</f>
        <v/>
      </c>
      <c r="T60" s="3" t="str">
        <f>IF(T$11&gt;T,"",IF($A60&gt;T$12,"",IF(T=T$11,100,EXP(-IRTree!T61*h)*((U60+U61)/2+cc*h))))</f>
        <v/>
      </c>
      <c r="U60" s="3" t="str">
        <f>IF(U$11&gt;T,"",IF($A60&gt;U$12,"",IF(T=U$11,100,EXP(-IRTree!U61*h)*((V60+V61)/2+cc*h))))</f>
        <v/>
      </c>
      <c r="V60" s="3" t="str">
        <f>IF(V$11&gt;T,"",IF($A60&gt;V$12,"",IF(T=V$11,100,EXP(-IRTree!V61*h)*((W60+W61)/2+cc*h))))</f>
        <v/>
      </c>
      <c r="W60" s="3" t="str">
        <f>IF(W$11&gt;T,"",IF($A60&gt;W$12,"",IF(T=W$11,100,EXP(-IRTree!W61*h)*((X60+X61)/2+cc*h))))</f>
        <v/>
      </c>
      <c r="X60" s="3" t="str">
        <f>IF(X$11&gt;T,"",IF($A60&gt;X$12,"",IF(T=X$11,100,EXP(-IRTree!X61*h)*((Y60+Y61)/2+cc*h))))</f>
        <v/>
      </c>
      <c r="Y60" s="3" t="str">
        <f>IF(Y$11&gt;T,"",IF($A60&gt;Y$12,"",IF(T=Y$11,100,EXP(-IRTree!Y61*h)*((Z60+Z61)/2+cc*h))))</f>
        <v/>
      </c>
      <c r="Z60" s="3" t="str">
        <f>IF(Z$11&gt;T,"",IF($A60&gt;Z$12,"",IF(T=Z$11,100,EXP(-IRTree!Z61*h)*((AA60+AA61)/2+cc*h))))</f>
        <v/>
      </c>
      <c r="AA60" s="3" t="str">
        <f>IF(AA$11&gt;T,"",IF($A60&gt;AA$12,"",IF(T=AA$11,100,EXP(-IRTree!AA61*h)*((AB60+AB61)/2+cc*h))))</f>
        <v/>
      </c>
      <c r="AB60" s="3" t="str">
        <f>IF(AB$11&gt;T,"",IF($A60&gt;AB$12,"",IF(T=AB$11,100,EXP(-IRTree!AB61*h)*((AC60+AC61)/2+cc*h))))</f>
        <v/>
      </c>
      <c r="AC60" s="3" t="str">
        <f>IF(AC$11&gt;T,"",IF($A60&gt;AC$12,"",IF(T=AC$11,100,EXP(-IRTree!AC61*h)*((AD60+AD61)/2+cc*h))))</f>
        <v/>
      </c>
      <c r="AD60" s="3" t="str">
        <f>IF(AD$11&gt;T,"",IF($A60&gt;AD$12,"",IF(T=AD$11,100,EXP(-IRTree!AD61*h)*((AE60+AE61)/2+cc*h))))</f>
        <v/>
      </c>
      <c r="AE60" s="3" t="str">
        <f>IF(AE$11&gt;T,"",IF($A60&gt;AE$12,"",IF(T=AE$11,100,EXP(-IRTree!AE61*h)*((AF60+AF61)/2+cc*h))))</f>
        <v/>
      </c>
      <c r="AF60" s="3" t="str">
        <f>IF(AF$11&gt;T,"",IF($A60&gt;AF$12,"",IF(T=AF$11,100,EXP(-IRTree!AF61*h)*((AG60+AG61)/2+cc*h))))</f>
        <v/>
      </c>
      <c r="AG60" s="3" t="str">
        <f>IF(AG$11&gt;T,"",IF($A60&gt;AG$12,"",IF(T=AG$11,100,EXP(-IRTree!AG61*h)*((AH60+AH61)/2+cc*h))))</f>
        <v/>
      </c>
      <c r="AH60" s="3" t="str">
        <f>IF(AH$11&gt;T,"",IF($A60&gt;AH$12,"",IF(T=AH$11,100,EXP(-IRTree!AH61*h)*((AI60+AI61)/2+cc*h))))</f>
        <v/>
      </c>
      <c r="AI60" s="3" t="str">
        <f>IF(AI$11&gt;T,"",IF($A60&gt;AI$12,"",IF(T=AI$11,100,EXP(-IRTree!AI61*h)*((AJ60+AJ61)/2+cc*h))))</f>
        <v/>
      </c>
      <c r="AJ60" s="3" t="str">
        <f>IF(AJ$11&gt;T,"",IF($A60&gt;AJ$12,"",IF(T=AJ$11,100,EXP(-IRTree!AJ61*h)*((AK60+AK61)/2+cc*h))))</f>
        <v/>
      </c>
      <c r="AK60" s="3" t="str">
        <f>IF(AK$11&gt;T,"",IF($A60&gt;AK$12,"",IF(T=AK$11,100,EXP(-IRTree!AK61*h)*((AL60+AL61)/2+cc*h))))</f>
        <v/>
      </c>
      <c r="AL60" s="3" t="str">
        <f>IF(AL$11&gt;T,"",IF($A60&gt;AL$12,"",IF(T=AL$11,100,EXP(-IRTree!AL61*h)*((AM60+AM61)/2+cc*h))))</f>
        <v/>
      </c>
      <c r="AM60" s="3" t="str">
        <f>IF(AM$11&gt;T,"",IF($A60&gt;AM$12,"",IF(T=AM$11,100,EXP(-IRTree!AM61*h)*((AN60+AN61)/2+cc*h))))</f>
        <v/>
      </c>
      <c r="AN60" s="3" t="str">
        <f>IF(AN$11&gt;T,"",IF($A60&gt;AN$12,"",IF(T=AN$11,100,EXP(-IRTree!AN61*h)*((AO60+AO61)/2+cc*h))))</f>
        <v/>
      </c>
      <c r="AO60" s="3" t="str">
        <f>IF(AO$11&gt;T,"",IF($A60&gt;AO$12,"",IF(T=AO$11,100,EXP(-IRTree!AO61*h)*((AP60+AP61)/2+cc*h))))</f>
        <v/>
      </c>
      <c r="AP60" s="3" t="str">
        <f>IF(AP$11&gt;T,"",IF($A60&gt;AP$12,"",IF(T=AP$11,100,EXP(-IRTree!AP61*h)*((AQ60+AQ61)/2+cc*h))))</f>
        <v/>
      </c>
      <c r="AQ60" s="3" t="str">
        <f>IF(AQ$11&gt;T,"",IF($A60&gt;AQ$12,"",IF(T=AQ$11,100,EXP(-IRTree!AQ61*h)*((AR60+AR61)/2+cc*h))))</f>
        <v/>
      </c>
      <c r="AR60" s="3" t="str">
        <f>IF(AR$11&gt;T,"",IF($A60&gt;AR$12,"",IF(T=AR$11,100,EXP(-IRTree!AR61*h)*((AS60+AS61)/2+cc*h))))</f>
        <v/>
      </c>
      <c r="AS60" s="3" t="str">
        <f>IF(AS$11&gt;T,"",IF($A60&gt;AS$12,"",IF(T=AS$11,100,EXP(-IRTree!AS61*h)*((AT60+AT61)/2+cc*h))))</f>
        <v/>
      </c>
      <c r="AT60" s="3" t="str">
        <f>IF(AT$11&gt;T,"",IF($A60&gt;AT$12,"",IF(T=AT$11,100,EXP(-IRTree!AT61*h)*((AU60+AU61)/2+cc*h))))</f>
        <v/>
      </c>
      <c r="AU60" s="3" t="str">
        <f>IF(AU$11&gt;T,"",IF($A60&gt;AU$12,"",IF(T=AU$11,100,EXP(-IRTree!AU61*h)*((AV60+AV61)/2+cc*h))))</f>
        <v/>
      </c>
      <c r="AV60" s="3" t="str">
        <f>IF(AV$11&gt;T,"",IF($A60&gt;AV$12,"",IF(T=AV$11,100,EXP(-IRTree!AV61*h)*((AW60+AW61)/2+cc*h))))</f>
        <v/>
      </c>
      <c r="AW60" s="3" t="str">
        <f>IF(AW$11&gt;T,"",IF($A60&gt;AW$12,"",IF(T=AW$11,100,EXP(-IRTree!AW61*h)*((AX60+AX61)/2+cc*h))))</f>
        <v/>
      </c>
      <c r="AX60" s="3" t="str">
        <f>IF(AX$11&gt;T,"",IF($A60&gt;AX$12,"",IF(T=AX$11,100,EXP(-IRTree!AX61*h)*((AY60+AY61)/2+cc*h))))</f>
        <v/>
      </c>
      <c r="AY60" s="3" t="str">
        <f>IF(AY$11&gt;T,"",IF($A60&gt;AY$12,"",IF(T=AY$11,100,EXP(-IRTree!AY61*h)*((AZ60+AZ61)/2+cc*h))))</f>
        <v/>
      </c>
      <c r="AZ60" s="3" t="str">
        <f>IF(AZ$11&gt;T,"",IF($A60&gt;AZ$12,"",IF(T=AZ$11,100,EXP(-IRTree!AZ61*h)*((BA60+BA61)/2+cc*h))))</f>
        <v/>
      </c>
      <c r="BA60" s="3" t="str">
        <f>IF(BA$11&gt;T,"",IF($A60&gt;BA$12,"",IF(T=BA$11,100,EXP(-IRTree!BA61*h)*((BB60+BB61)/2+cc*h))))</f>
        <v/>
      </c>
      <c r="BB60" s="3" t="str">
        <f>IF(BB$11&gt;T,"",IF($A60&gt;BB$12,"",IF(T=BB$11,100,EXP(-IRTree!BB61*h)*((BC60+BC61)/2+cc*h))))</f>
        <v/>
      </c>
      <c r="BC60" s="3" t="str">
        <f>IF(BC$11&gt;T,"",IF($A60&gt;BC$12,"",IF(T=BC$11,100,EXP(-IRTree!BC61*h)*((BD60+BD61)/2+cc*h))))</f>
        <v/>
      </c>
      <c r="BD60" s="3" t="str">
        <f>IF(BD$11&gt;T,"",IF($A60&gt;BD$12,"",IF(T=BD$11,100,EXP(-IRTree!BD61*h)*((BE60+BE61)/2+cc*h))))</f>
        <v/>
      </c>
      <c r="BE60" s="3" t="str">
        <f>IF(BE$11&gt;T,"",IF($A60&gt;BE$12,"",IF(T=BE$11,100,EXP(-IRTree!BE61*h)*((BF60+BF61)/2+cc*h))))</f>
        <v/>
      </c>
      <c r="BF60" s="3" t="str">
        <f>IF(BF$11&gt;T,"",IF($A60&gt;BF$12,"",IF(T=BF$11,100,EXP(-IRTree!BF61*h)*((BG60+BG61)/2+cc*h))))</f>
        <v/>
      </c>
      <c r="BG60" s="3" t="str">
        <f>IF(BG$11&gt;T,"",IF($A60&gt;BG$12,"",IF(T=BG$11,100,EXP(-IRTree!BG61*h)*((BH60+BH61)/2+cc*h))))</f>
        <v/>
      </c>
      <c r="BH60" s="3" t="str">
        <f>IF(BH$11&gt;T,"",IF($A60&gt;BH$12,"",IF(T=BH$11,100,EXP(-IRTree!BH61*h)*((BI60+BI61)/2+cc*h))))</f>
        <v/>
      </c>
      <c r="BI60" s="3" t="str">
        <f>IF(BI$11&gt;T,"",IF($A60&gt;BI$12,"",IF(T=BI$11,100,EXP(-IRTree!BI61*h)*((BJ60+BJ61)/2+cc*h))))</f>
        <v/>
      </c>
      <c r="BJ60" s="3" t="str">
        <f>IF(BJ$11&gt;T,"",IF($A60&gt;BJ$12,"",IF(T=BJ$11,100,EXP(-IRTree!BJ61*h)*((BK60+BK61)/2+cc*h))))</f>
        <v/>
      </c>
    </row>
    <row r="61" spans="1:62">
      <c r="A61" s="12">
        <f t="shared" si="2"/>
        <v>48</v>
      </c>
      <c r="B61" s="3" t="str">
        <f>IF(B$11&gt;T,"",IF($A61&gt;B$12,"",IF(T=B$11,100,EXP(-IRTree!B62*h)*((C61+C62)/2+cc*h))))</f>
        <v/>
      </c>
      <c r="C61" s="3" t="str">
        <f>IF(C$11&gt;T,"",IF($A61&gt;C$12,"",IF(T=C$11,100,EXP(-IRTree!C62*h)*((D61+D62)/2+cc*h))))</f>
        <v/>
      </c>
      <c r="D61" s="3" t="str">
        <f>IF(D$11&gt;T,"",IF($A61&gt;D$12,"",IF(T=D$11,100,EXP(-IRTree!D62*h)*((E61+E62)/2+cc*h))))</f>
        <v/>
      </c>
      <c r="E61" s="3" t="str">
        <f>IF(E$11&gt;T,"",IF($A61&gt;E$12,"",IF(T=E$11,100,EXP(-IRTree!E62*h)*((F61+F62)/2+cc*h))))</f>
        <v/>
      </c>
      <c r="F61" s="3" t="str">
        <f>IF(F$11&gt;T,"",IF($A61&gt;F$12,"",IF(T=F$11,100,EXP(-IRTree!F62*h)*((G61+G62)/2+cc*h))))</f>
        <v/>
      </c>
      <c r="G61" s="3" t="str">
        <f>IF(G$11&gt;T,"",IF($A61&gt;G$12,"",IF(T=G$11,100,EXP(-IRTree!G62*h)*((H61+H62)/2+cc*h))))</f>
        <v/>
      </c>
      <c r="H61" s="3" t="str">
        <f>IF(H$11&gt;T,"",IF($A61&gt;H$12,"",IF(T=H$11,100,EXP(-IRTree!H62*h)*((I61+I62)/2+cc*h))))</f>
        <v/>
      </c>
      <c r="I61" s="3" t="str">
        <f>IF(I$11&gt;T,"",IF($A61&gt;I$12,"",IF(T=I$11,100,EXP(-IRTree!I62*h)*((J61+J62)/2+cc*h))))</f>
        <v/>
      </c>
      <c r="J61" s="3" t="str">
        <f>IF(J$11&gt;T,"",IF($A61&gt;J$12,"",IF(T=J$11,100,EXP(-IRTree!J62*h)*((K61+K62)/2+cc*h))))</f>
        <v/>
      </c>
      <c r="K61" s="3" t="str">
        <f>IF(K$11&gt;T,"",IF($A61&gt;K$12,"",IF(T=K$11,100,EXP(-IRTree!K62*h)*((L61+L62)/2+cc*h))))</f>
        <v/>
      </c>
      <c r="L61" s="3" t="str">
        <f>IF(L$11&gt;T,"",IF($A61&gt;L$12,"",IF(T=L$11,100,EXP(-IRTree!L62*h)*((M61+M62)/2+cc*h))))</f>
        <v/>
      </c>
      <c r="M61" s="3" t="str">
        <f>IF(M$11&gt;T,"",IF($A61&gt;M$12,"",IF(T=M$11,100,EXP(-IRTree!M62*h)*((N61+N62)/2+cc*h))))</f>
        <v/>
      </c>
      <c r="N61" s="3" t="str">
        <f>IF(N$11&gt;T,"",IF($A61&gt;N$12,"",IF(T=N$11,100,EXP(-IRTree!N62*h)*((O61+O62)/2+cc*h))))</f>
        <v/>
      </c>
      <c r="O61" s="3" t="str">
        <f>IF(O$11&gt;T,"",IF($A61&gt;O$12,"",IF(T=O$11,100,EXP(-IRTree!O62*h)*((P61+P62)/2+cc*h))))</f>
        <v/>
      </c>
      <c r="P61" s="3" t="str">
        <f>IF(P$11&gt;T,"",IF($A61&gt;P$12,"",IF(T=P$11,100,EXP(-IRTree!P62*h)*((Q61+Q62)/2+cc*h))))</f>
        <v/>
      </c>
      <c r="Q61" s="3" t="str">
        <f>IF(Q$11&gt;T,"",IF($A61&gt;Q$12,"",IF(T=Q$11,100,EXP(-IRTree!Q62*h)*((R61+R62)/2+cc*h))))</f>
        <v/>
      </c>
      <c r="R61" s="3" t="str">
        <f>IF(R$11&gt;T,"",IF($A61&gt;R$12,"",IF(T=R$11,100,EXP(-IRTree!R62*h)*((S61+S62)/2+cc*h))))</f>
        <v/>
      </c>
      <c r="S61" s="3" t="str">
        <f>IF(S$11&gt;T,"",IF($A61&gt;S$12,"",IF(T=S$11,100,EXP(-IRTree!S62*h)*((T61+T62)/2+cc*h))))</f>
        <v/>
      </c>
      <c r="T61" s="3" t="str">
        <f>IF(T$11&gt;T,"",IF($A61&gt;T$12,"",IF(T=T$11,100,EXP(-IRTree!T62*h)*((U61+U62)/2+cc*h))))</f>
        <v/>
      </c>
      <c r="U61" s="3" t="str">
        <f>IF(U$11&gt;T,"",IF($A61&gt;U$12,"",IF(T=U$11,100,EXP(-IRTree!U62*h)*((V61+V62)/2+cc*h))))</f>
        <v/>
      </c>
      <c r="V61" s="3" t="str">
        <f>IF(V$11&gt;T,"",IF($A61&gt;V$12,"",IF(T=V$11,100,EXP(-IRTree!V62*h)*((W61+W62)/2+cc*h))))</f>
        <v/>
      </c>
      <c r="W61" s="3" t="str">
        <f>IF(W$11&gt;T,"",IF($A61&gt;W$12,"",IF(T=W$11,100,EXP(-IRTree!W62*h)*((X61+X62)/2+cc*h))))</f>
        <v/>
      </c>
      <c r="X61" s="3" t="str">
        <f>IF(X$11&gt;T,"",IF($A61&gt;X$12,"",IF(T=X$11,100,EXP(-IRTree!X62*h)*((Y61+Y62)/2+cc*h))))</f>
        <v/>
      </c>
      <c r="Y61" s="3" t="str">
        <f>IF(Y$11&gt;T,"",IF($A61&gt;Y$12,"",IF(T=Y$11,100,EXP(-IRTree!Y62*h)*((Z61+Z62)/2+cc*h))))</f>
        <v/>
      </c>
      <c r="Z61" s="3" t="str">
        <f>IF(Z$11&gt;T,"",IF($A61&gt;Z$12,"",IF(T=Z$11,100,EXP(-IRTree!Z62*h)*((AA61+AA62)/2+cc*h))))</f>
        <v/>
      </c>
      <c r="AA61" s="3" t="str">
        <f>IF(AA$11&gt;T,"",IF($A61&gt;AA$12,"",IF(T=AA$11,100,EXP(-IRTree!AA62*h)*((AB61+AB62)/2+cc*h))))</f>
        <v/>
      </c>
      <c r="AB61" s="3" t="str">
        <f>IF(AB$11&gt;T,"",IF($A61&gt;AB$12,"",IF(T=AB$11,100,EXP(-IRTree!AB62*h)*((AC61+AC62)/2+cc*h))))</f>
        <v/>
      </c>
      <c r="AC61" s="3" t="str">
        <f>IF(AC$11&gt;T,"",IF($A61&gt;AC$12,"",IF(T=AC$11,100,EXP(-IRTree!AC62*h)*((AD61+AD62)/2+cc*h))))</f>
        <v/>
      </c>
      <c r="AD61" s="3" t="str">
        <f>IF(AD$11&gt;T,"",IF($A61&gt;AD$12,"",IF(T=AD$11,100,EXP(-IRTree!AD62*h)*((AE61+AE62)/2+cc*h))))</f>
        <v/>
      </c>
      <c r="AE61" s="3" t="str">
        <f>IF(AE$11&gt;T,"",IF($A61&gt;AE$12,"",IF(T=AE$11,100,EXP(-IRTree!AE62*h)*((AF61+AF62)/2+cc*h))))</f>
        <v/>
      </c>
      <c r="AF61" s="3" t="str">
        <f>IF(AF$11&gt;T,"",IF($A61&gt;AF$12,"",IF(T=AF$11,100,EXP(-IRTree!AF62*h)*((AG61+AG62)/2+cc*h))))</f>
        <v/>
      </c>
      <c r="AG61" s="3" t="str">
        <f>IF(AG$11&gt;T,"",IF($A61&gt;AG$12,"",IF(T=AG$11,100,EXP(-IRTree!AG62*h)*((AH61+AH62)/2+cc*h))))</f>
        <v/>
      </c>
      <c r="AH61" s="3" t="str">
        <f>IF(AH$11&gt;T,"",IF($A61&gt;AH$12,"",IF(T=AH$11,100,EXP(-IRTree!AH62*h)*((AI61+AI62)/2+cc*h))))</f>
        <v/>
      </c>
      <c r="AI61" s="3" t="str">
        <f>IF(AI$11&gt;T,"",IF($A61&gt;AI$12,"",IF(T=AI$11,100,EXP(-IRTree!AI62*h)*((AJ61+AJ62)/2+cc*h))))</f>
        <v/>
      </c>
      <c r="AJ61" s="3" t="str">
        <f>IF(AJ$11&gt;T,"",IF($A61&gt;AJ$12,"",IF(T=AJ$11,100,EXP(-IRTree!AJ62*h)*((AK61+AK62)/2+cc*h))))</f>
        <v/>
      </c>
      <c r="AK61" s="3" t="str">
        <f>IF(AK$11&gt;T,"",IF($A61&gt;AK$12,"",IF(T=AK$11,100,EXP(-IRTree!AK62*h)*((AL61+AL62)/2+cc*h))))</f>
        <v/>
      </c>
      <c r="AL61" s="3" t="str">
        <f>IF(AL$11&gt;T,"",IF($A61&gt;AL$12,"",IF(T=AL$11,100,EXP(-IRTree!AL62*h)*((AM61+AM62)/2+cc*h))))</f>
        <v/>
      </c>
      <c r="AM61" s="3" t="str">
        <f>IF(AM$11&gt;T,"",IF($A61&gt;AM$12,"",IF(T=AM$11,100,EXP(-IRTree!AM62*h)*((AN61+AN62)/2+cc*h))))</f>
        <v/>
      </c>
      <c r="AN61" s="3" t="str">
        <f>IF(AN$11&gt;T,"",IF($A61&gt;AN$12,"",IF(T=AN$11,100,EXP(-IRTree!AN62*h)*((AO61+AO62)/2+cc*h))))</f>
        <v/>
      </c>
      <c r="AO61" s="3" t="str">
        <f>IF(AO$11&gt;T,"",IF($A61&gt;AO$12,"",IF(T=AO$11,100,EXP(-IRTree!AO62*h)*((AP61+AP62)/2+cc*h))))</f>
        <v/>
      </c>
      <c r="AP61" s="3" t="str">
        <f>IF(AP$11&gt;T,"",IF($A61&gt;AP$12,"",IF(T=AP$11,100,EXP(-IRTree!AP62*h)*((AQ61+AQ62)/2+cc*h))))</f>
        <v/>
      </c>
      <c r="AQ61" s="3" t="str">
        <f>IF(AQ$11&gt;T,"",IF($A61&gt;AQ$12,"",IF(T=AQ$11,100,EXP(-IRTree!AQ62*h)*((AR61+AR62)/2+cc*h))))</f>
        <v/>
      </c>
      <c r="AR61" s="3" t="str">
        <f>IF(AR$11&gt;T,"",IF($A61&gt;AR$12,"",IF(T=AR$11,100,EXP(-IRTree!AR62*h)*((AS61+AS62)/2+cc*h))))</f>
        <v/>
      </c>
      <c r="AS61" s="3" t="str">
        <f>IF(AS$11&gt;T,"",IF($A61&gt;AS$12,"",IF(T=AS$11,100,EXP(-IRTree!AS62*h)*((AT61+AT62)/2+cc*h))))</f>
        <v/>
      </c>
      <c r="AT61" s="3" t="str">
        <f>IF(AT$11&gt;T,"",IF($A61&gt;AT$12,"",IF(T=AT$11,100,EXP(-IRTree!AT62*h)*((AU61+AU62)/2+cc*h))))</f>
        <v/>
      </c>
      <c r="AU61" s="3" t="str">
        <f>IF(AU$11&gt;T,"",IF($A61&gt;AU$12,"",IF(T=AU$11,100,EXP(-IRTree!AU62*h)*((AV61+AV62)/2+cc*h))))</f>
        <v/>
      </c>
      <c r="AV61" s="3" t="str">
        <f>IF(AV$11&gt;T,"",IF($A61&gt;AV$12,"",IF(T=AV$11,100,EXP(-IRTree!AV62*h)*((AW61+AW62)/2+cc*h))))</f>
        <v/>
      </c>
      <c r="AW61" s="3" t="str">
        <f>IF(AW$11&gt;T,"",IF($A61&gt;AW$12,"",IF(T=AW$11,100,EXP(-IRTree!AW62*h)*((AX61+AX62)/2+cc*h))))</f>
        <v/>
      </c>
      <c r="AX61" s="3" t="str">
        <f>IF(AX$11&gt;T,"",IF($A61&gt;AX$12,"",IF(T=AX$11,100,EXP(-IRTree!AX62*h)*((AY61+AY62)/2+cc*h))))</f>
        <v/>
      </c>
      <c r="AY61" s="3" t="str">
        <f>IF(AY$11&gt;T,"",IF($A61&gt;AY$12,"",IF(T=AY$11,100,EXP(-IRTree!AY62*h)*((AZ61+AZ62)/2+cc*h))))</f>
        <v/>
      </c>
      <c r="AZ61" s="3" t="str">
        <f>IF(AZ$11&gt;T,"",IF($A61&gt;AZ$12,"",IF(T=AZ$11,100,EXP(-IRTree!AZ62*h)*((BA61+BA62)/2+cc*h))))</f>
        <v/>
      </c>
      <c r="BA61" s="3" t="str">
        <f>IF(BA$11&gt;T,"",IF($A61&gt;BA$12,"",IF(T=BA$11,100,EXP(-IRTree!BA62*h)*((BB61+BB62)/2+cc*h))))</f>
        <v/>
      </c>
      <c r="BB61" s="3" t="str">
        <f>IF(BB$11&gt;T,"",IF($A61&gt;BB$12,"",IF(T=BB$11,100,EXP(-IRTree!BB62*h)*((BC61+BC62)/2+cc*h))))</f>
        <v/>
      </c>
      <c r="BC61" s="3" t="str">
        <f>IF(BC$11&gt;T,"",IF($A61&gt;BC$12,"",IF(T=BC$11,100,EXP(-IRTree!BC62*h)*((BD61+BD62)/2+cc*h))))</f>
        <v/>
      </c>
      <c r="BD61" s="3" t="str">
        <f>IF(BD$11&gt;T,"",IF($A61&gt;BD$12,"",IF(T=BD$11,100,EXP(-IRTree!BD62*h)*((BE61+BE62)/2+cc*h))))</f>
        <v/>
      </c>
      <c r="BE61" s="3" t="str">
        <f>IF(BE$11&gt;T,"",IF($A61&gt;BE$12,"",IF(T=BE$11,100,EXP(-IRTree!BE62*h)*((BF61+BF62)/2+cc*h))))</f>
        <v/>
      </c>
      <c r="BF61" s="3" t="str">
        <f>IF(BF$11&gt;T,"",IF($A61&gt;BF$12,"",IF(T=BF$11,100,EXP(-IRTree!BF62*h)*((BG61+BG62)/2+cc*h))))</f>
        <v/>
      </c>
      <c r="BG61" s="3" t="str">
        <f>IF(BG$11&gt;T,"",IF($A61&gt;BG$12,"",IF(T=BG$11,100,EXP(-IRTree!BG62*h)*((BH61+BH62)/2+cc*h))))</f>
        <v/>
      </c>
      <c r="BH61" s="3" t="str">
        <f>IF(BH$11&gt;T,"",IF($A61&gt;BH$12,"",IF(T=BH$11,100,EXP(-IRTree!BH62*h)*((BI61+BI62)/2+cc*h))))</f>
        <v/>
      </c>
      <c r="BI61" s="3" t="str">
        <f>IF(BI$11&gt;T,"",IF($A61&gt;BI$12,"",IF(T=BI$11,100,EXP(-IRTree!BI62*h)*((BJ61+BJ62)/2+cc*h))))</f>
        <v/>
      </c>
      <c r="BJ61" s="3" t="str">
        <f>IF(BJ$11&gt;T,"",IF($A61&gt;BJ$12,"",IF(T=BJ$11,100,EXP(-IRTree!BJ62*h)*((BK61+BK62)/2+cc*h))))</f>
        <v/>
      </c>
    </row>
    <row r="62" spans="1:62">
      <c r="A62" s="12">
        <f t="shared" si="2"/>
        <v>49</v>
      </c>
      <c r="B62" s="3" t="str">
        <f>IF(B$11&gt;T,"",IF($A62&gt;B$12,"",IF(T=B$11,100,EXP(-IRTree!B63*h)*((C62+C63)/2+cc*h))))</f>
        <v/>
      </c>
      <c r="C62" s="3" t="str">
        <f>IF(C$11&gt;T,"",IF($A62&gt;C$12,"",IF(T=C$11,100,EXP(-IRTree!C63*h)*((D62+D63)/2+cc*h))))</f>
        <v/>
      </c>
      <c r="D62" s="3" t="str">
        <f>IF(D$11&gt;T,"",IF($A62&gt;D$12,"",IF(T=D$11,100,EXP(-IRTree!D63*h)*((E62+E63)/2+cc*h))))</f>
        <v/>
      </c>
      <c r="E62" s="3" t="str">
        <f>IF(E$11&gt;T,"",IF($A62&gt;E$12,"",IF(T=E$11,100,EXP(-IRTree!E63*h)*((F62+F63)/2+cc*h))))</f>
        <v/>
      </c>
      <c r="F62" s="3" t="str">
        <f>IF(F$11&gt;T,"",IF($A62&gt;F$12,"",IF(T=F$11,100,EXP(-IRTree!F63*h)*((G62+G63)/2+cc*h))))</f>
        <v/>
      </c>
      <c r="G62" s="3" t="str">
        <f>IF(G$11&gt;T,"",IF($A62&gt;G$12,"",IF(T=G$11,100,EXP(-IRTree!G63*h)*((H62+H63)/2+cc*h))))</f>
        <v/>
      </c>
      <c r="H62" s="3" t="str">
        <f>IF(H$11&gt;T,"",IF($A62&gt;H$12,"",IF(T=H$11,100,EXP(-IRTree!H63*h)*((I62+I63)/2+cc*h))))</f>
        <v/>
      </c>
      <c r="I62" s="3" t="str">
        <f>IF(I$11&gt;T,"",IF($A62&gt;I$12,"",IF(T=I$11,100,EXP(-IRTree!I63*h)*((J62+J63)/2+cc*h))))</f>
        <v/>
      </c>
      <c r="J62" s="3" t="str">
        <f>IF(J$11&gt;T,"",IF($A62&gt;J$12,"",IF(T=J$11,100,EXP(-IRTree!J63*h)*((K62+K63)/2+cc*h))))</f>
        <v/>
      </c>
      <c r="K62" s="3" t="str">
        <f>IF(K$11&gt;T,"",IF($A62&gt;K$12,"",IF(T=K$11,100,EXP(-IRTree!K63*h)*((L62+L63)/2+cc*h))))</f>
        <v/>
      </c>
      <c r="L62" s="3" t="str">
        <f>IF(L$11&gt;T,"",IF($A62&gt;L$12,"",IF(T=L$11,100,EXP(-IRTree!L63*h)*((M62+M63)/2+cc*h))))</f>
        <v/>
      </c>
      <c r="M62" s="3" t="str">
        <f>IF(M$11&gt;T,"",IF($A62&gt;M$12,"",IF(T=M$11,100,EXP(-IRTree!M63*h)*((N62+N63)/2+cc*h))))</f>
        <v/>
      </c>
      <c r="N62" s="3" t="str">
        <f>IF(N$11&gt;T,"",IF($A62&gt;N$12,"",IF(T=N$11,100,EXP(-IRTree!N63*h)*((O62+O63)/2+cc*h))))</f>
        <v/>
      </c>
      <c r="O62" s="3" t="str">
        <f>IF(O$11&gt;T,"",IF($A62&gt;O$12,"",IF(T=O$11,100,EXP(-IRTree!O63*h)*((P62+P63)/2+cc*h))))</f>
        <v/>
      </c>
      <c r="P62" s="3" t="str">
        <f>IF(P$11&gt;T,"",IF($A62&gt;P$12,"",IF(T=P$11,100,EXP(-IRTree!P63*h)*((Q62+Q63)/2+cc*h))))</f>
        <v/>
      </c>
      <c r="Q62" s="3" t="str">
        <f>IF(Q$11&gt;T,"",IF($A62&gt;Q$12,"",IF(T=Q$11,100,EXP(-IRTree!Q63*h)*((R62+R63)/2+cc*h))))</f>
        <v/>
      </c>
      <c r="R62" s="3" t="str">
        <f>IF(R$11&gt;T,"",IF($A62&gt;R$12,"",IF(T=R$11,100,EXP(-IRTree!R63*h)*((S62+S63)/2+cc*h))))</f>
        <v/>
      </c>
      <c r="S62" s="3" t="str">
        <f>IF(S$11&gt;T,"",IF($A62&gt;S$12,"",IF(T=S$11,100,EXP(-IRTree!S63*h)*((T62+T63)/2+cc*h))))</f>
        <v/>
      </c>
      <c r="T62" s="3" t="str">
        <f>IF(T$11&gt;T,"",IF($A62&gt;T$12,"",IF(T=T$11,100,EXP(-IRTree!T63*h)*((U62+U63)/2+cc*h))))</f>
        <v/>
      </c>
      <c r="U62" s="3" t="str">
        <f>IF(U$11&gt;T,"",IF($A62&gt;U$12,"",IF(T=U$11,100,EXP(-IRTree!U63*h)*((V62+V63)/2+cc*h))))</f>
        <v/>
      </c>
      <c r="V62" s="3" t="str">
        <f>IF(V$11&gt;T,"",IF($A62&gt;V$12,"",IF(T=V$11,100,EXP(-IRTree!V63*h)*((W62+W63)/2+cc*h))))</f>
        <v/>
      </c>
      <c r="W62" s="3" t="str">
        <f>IF(W$11&gt;T,"",IF($A62&gt;W$12,"",IF(T=W$11,100,EXP(-IRTree!W63*h)*((X62+X63)/2+cc*h))))</f>
        <v/>
      </c>
      <c r="X62" s="3" t="str">
        <f>IF(X$11&gt;T,"",IF($A62&gt;X$12,"",IF(T=X$11,100,EXP(-IRTree!X63*h)*((Y62+Y63)/2+cc*h))))</f>
        <v/>
      </c>
      <c r="Y62" s="3" t="str">
        <f>IF(Y$11&gt;T,"",IF($A62&gt;Y$12,"",IF(T=Y$11,100,EXP(-IRTree!Y63*h)*((Z62+Z63)/2+cc*h))))</f>
        <v/>
      </c>
      <c r="Z62" s="3" t="str">
        <f>IF(Z$11&gt;T,"",IF($A62&gt;Z$12,"",IF(T=Z$11,100,EXP(-IRTree!Z63*h)*((AA62+AA63)/2+cc*h))))</f>
        <v/>
      </c>
      <c r="AA62" s="3" t="str">
        <f>IF(AA$11&gt;T,"",IF($A62&gt;AA$12,"",IF(T=AA$11,100,EXP(-IRTree!AA63*h)*((AB62+AB63)/2+cc*h))))</f>
        <v/>
      </c>
      <c r="AB62" s="3" t="str">
        <f>IF(AB$11&gt;T,"",IF($A62&gt;AB$12,"",IF(T=AB$11,100,EXP(-IRTree!AB63*h)*((AC62+AC63)/2+cc*h))))</f>
        <v/>
      </c>
      <c r="AC62" s="3" t="str">
        <f>IF(AC$11&gt;T,"",IF($A62&gt;AC$12,"",IF(T=AC$11,100,EXP(-IRTree!AC63*h)*((AD62+AD63)/2+cc*h))))</f>
        <v/>
      </c>
      <c r="AD62" s="3" t="str">
        <f>IF(AD$11&gt;T,"",IF($A62&gt;AD$12,"",IF(T=AD$11,100,EXP(-IRTree!AD63*h)*((AE62+AE63)/2+cc*h))))</f>
        <v/>
      </c>
      <c r="AE62" s="3" t="str">
        <f>IF(AE$11&gt;T,"",IF($A62&gt;AE$12,"",IF(T=AE$11,100,EXP(-IRTree!AE63*h)*((AF62+AF63)/2+cc*h))))</f>
        <v/>
      </c>
      <c r="AF62" s="3" t="str">
        <f>IF(AF$11&gt;T,"",IF($A62&gt;AF$12,"",IF(T=AF$11,100,EXP(-IRTree!AF63*h)*((AG62+AG63)/2+cc*h))))</f>
        <v/>
      </c>
      <c r="AG62" s="3" t="str">
        <f>IF(AG$11&gt;T,"",IF($A62&gt;AG$12,"",IF(T=AG$11,100,EXP(-IRTree!AG63*h)*((AH62+AH63)/2+cc*h))))</f>
        <v/>
      </c>
      <c r="AH62" s="3" t="str">
        <f>IF(AH$11&gt;T,"",IF($A62&gt;AH$12,"",IF(T=AH$11,100,EXP(-IRTree!AH63*h)*((AI62+AI63)/2+cc*h))))</f>
        <v/>
      </c>
      <c r="AI62" s="3" t="str">
        <f>IF(AI$11&gt;T,"",IF($A62&gt;AI$12,"",IF(T=AI$11,100,EXP(-IRTree!AI63*h)*((AJ62+AJ63)/2+cc*h))))</f>
        <v/>
      </c>
      <c r="AJ62" s="3" t="str">
        <f>IF(AJ$11&gt;T,"",IF($A62&gt;AJ$12,"",IF(T=AJ$11,100,EXP(-IRTree!AJ63*h)*((AK62+AK63)/2+cc*h))))</f>
        <v/>
      </c>
      <c r="AK62" s="3" t="str">
        <f>IF(AK$11&gt;T,"",IF($A62&gt;AK$12,"",IF(T=AK$11,100,EXP(-IRTree!AK63*h)*((AL62+AL63)/2+cc*h))))</f>
        <v/>
      </c>
      <c r="AL62" s="3" t="str">
        <f>IF(AL$11&gt;T,"",IF($A62&gt;AL$12,"",IF(T=AL$11,100,EXP(-IRTree!AL63*h)*((AM62+AM63)/2+cc*h))))</f>
        <v/>
      </c>
      <c r="AM62" s="3" t="str">
        <f>IF(AM$11&gt;T,"",IF($A62&gt;AM$12,"",IF(T=AM$11,100,EXP(-IRTree!AM63*h)*((AN62+AN63)/2+cc*h))))</f>
        <v/>
      </c>
      <c r="AN62" s="3" t="str">
        <f>IF(AN$11&gt;T,"",IF($A62&gt;AN$12,"",IF(T=AN$11,100,EXP(-IRTree!AN63*h)*((AO62+AO63)/2+cc*h))))</f>
        <v/>
      </c>
      <c r="AO62" s="3" t="str">
        <f>IF(AO$11&gt;T,"",IF($A62&gt;AO$12,"",IF(T=AO$11,100,EXP(-IRTree!AO63*h)*((AP62+AP63)/2+cc*h))))</f>
        <v/>
      </c>
      <c r="AP62" s="3" t="str">
        <f>IF(AP$11&gt;T,"",IF($A62&gt;AP$12,"",IF(T=AP$11,100,EXP(-IRTree!AP63*h)*((AQ62+AQ63)/2+cc*h))))</f>
        <v/>
      </c>
      <c r="AQ62" s="3" t="str">
        <f>IF(AQ$11&gt;T,"",IF($A62&gt;AQ$12,"",IF(T=AQ$11,100,EXP(-IRTree!AQ63*h)*((AR62+AR63)/2+cc*h))))</f>
        <v/>
      </c>
      <c r="AR62" s="3" t="str">
        <f>IF(AR$11&gt;T,"",IF($A62&gt;AR$12,"",IF(T=AR$11,100,EXP(-IRTree!AR63*h)*((AS62+AS63)/2+cc*h))))</f>
        <v/>
      </c>
      <c r="AS62" s="3" t="str">
        <f>IF(AS$11&gt;T,"",IF($A62&gt;AS$12,"",IF(T=AS$11,100,EXP(-IRTree!AS63*h)*((AT62+AT63)/2+cc*h))))</f>
        <v/>
      </c>
      <c r="AT62" s="3" t="str">
        <f>IF(AT$11&gt;T,"",IF($A62&gt;AT$12,"",IF(T=AT$11,100,EXP(-IRTree!AT63*h)*((AU62+AU63)/2+cc*h))))</f>
        <v/>
      </c>
      <c r="AU62" s="3" t="str">
        <f>IF(AU$11&gt;T,"",IF($A62&gt;AU$12,"",IF(T=AU$11,100,EXP(-IRTree!AU63*h)*((AV62+AV63)/2+cc*h))))</f>
        <v/>
      </c>
      <c r="AV62" s="3" t="str">
        <f>IF(AV$11&gt;T,"",IF($A62&gt;AV$12,"",IF(T=AV$11,100,EXP(-IRTree!AV63*h)*((AW62+AW63)/2+cc*h))))</f>
        <v/>
      </c>
      <c r="AW62" s="3" t="str">
        <f>IF(AW$11&gt;T,"",IF($A62&gt;AW$12,"",IF(T=AW$11,100,EXP(-IRTree!AW63*h)*((AX62+AX63)/2+cc*h))))</f>
        <v/>
      </c>
      <c r="AX62" s="3" t="str">
        <f>IF(AX$11&gt;T,"",IF($A62&gt;AX$12,"",IF(T=AX$11,100,EXP(-IRTree!AX63*h)*((AY62+AY63)/2+cc*h))))</f>
        <v/>
      </c>
      <c r="AY62" s="3" t="str">
        <f>IF(AY$11&gt;T,"",IF($A62&gt;AY$12,"",IF(T=AY$11,100,EXP(-IRTree!AY63*h)*((AZ62+AZ63)/2+cc*h))))</f>
        <v/>
      </c>
      <c r="AZ62" s="3" t="str">
        <f>IF(AZ$11&gt;T,"",IF($A62&gt;AZ$12,"",IF(T=AZ$11,100,EXP(-IRTree!AZ63*h)*((BA62+BA63)/2+cc*h))))</f>
        <v/>
      </c>
      <c r="BA62" s="3" t="str">
        <f>IF(BA$11&gt;T,"",IF($A62&gt;BA$12,"",IF(T=BA$11,100,EXP(-IRTree!BA63*h)*((BB62+BB63)/2+cc*h))))</f>
        <v/>
      </c>
      <c r="BB62" s="3" t="str">
        <f>IF(BB$11&gt;T,"",IF($A62&gt;BB$12,"",IF(T=BB$11,100,EXP(-IRTree!BB63*h)*((BC62+BC63)/2+cc*h))))</f>
        <v/>
      </c>
      <c r="BC62" s="3" t="str">
        <f>IF(BC$11&gt;T,"",IF($A62&gt;BC$12,"",IF(T=BC$11,100,EXP(-IRTree!BC63*h)*((BD62+BD63)/2+cc*h))))</f>
        <v/>
      </c>
      <c r="BD62" s="3" t="str">
        <f>IF(BD$11&gt;T,"",IF($A62&gt;BD$12,"",IF(T=BD$11,100,EXP(-IRTree!BD63*h)*((BE62+BE63)/2+cc*h))))</f>
        <v/>
      </c>
      <c r="BE62" s="3" t="str">
        <f>IF(BE$11&gt;T,"",IF($A62&gt;BE$12,"",IF(T=BE$11,100,EXP(-IRTree!BE63*h)*((BF62+BF63)/2+cc*h))))</f>
        <v/>
      </c>
      <c r="BF62" s="3" t="str">
        <f>IF(BF$11&gt;T,"",IF($A62&gt;BF$12,"",IF(T=BF$11,100,EXP(-IRTree!BF63*h)*((BG62+BG63)/2+cc*h))))</f>
        <v/>
      </c>
      <c r="BG62" s="3" t="str">
        <f>IF(BG$11&gt;T,"",IF($A62&gt;BG$12,"",IF(T=BG$11,100,EXP(-IRTree!BG63*h)*((BH62+BH63)/2+cc*h))))</f>
        <v/>
      </c>
      <c r="BH62" s="3" t="str">
        <f>IF(BH$11&gt;T,"",IF($A62&gt;BH$12,"",IF(T=BH$11,100,EXP(-IRTree!BH63*h)*((BI62+BI63)/2+cc*h))))</f>
        <v/>
      </c>
      <c r="BI62" s="3" t="str">
        <f>IF(BI$11&gt;T,"",IF($A62&gt;BI$12,"",IF(T=BI$11,100,EXP(-IRTree!BI63*h)*((BJ62+BJ63)/2+cc*h))))</f>
        <v/>
      </c>
      <c r="BJ62" s="3" t="str">
        <f>IF(BJ$11&gt;T,"",IF($A62&gt;BJ$12,"",IF(T=BJ$11,100,EXP(-IRTree!BJ63*h)*((BK62+BK63)/2+cc*h))))</f>
        <v/>
      </c>
    </row>
    <row r="63" spans="1:62">
      <c r="A63" s="12">
        <f t="shared" si="2"/>
        <v>50</v>
      </c>
      <c r="B63" s="3" t="str">
        <f>IF(B$11&gt;T,"",IF($A63&gt;B$12,"",IF(T=B$11,100,EXP(-IRTree!B64*h)*((C63+C64)/2+cc*h))))</f>
        <v/>
      </c>
      <c r="C63" s="3" t="str">
        <f>IF(C$11&gt;T,"",IF($A63&gt;C$12,"",IF(T=C$11,100,EXP(-IRTree!C64*h)*((D63+D64)/2+cc*h))))</f>
        <v/>
      </c>
      <c r="D63" s="3" t="str">
        <f>IF(D$11&gt;T,"",IF($A63&gt;D$12,"",IF(T=D$11,100,EXP(-IRTree!D64*h)*((E63+E64)/2+cc*h))))</f>
        <v/>
      </c>
      <c r="E63" s="3" t="str">
        <f>IF(E$11&gt;T,"",IF($A63&gt;E$12,"",IF(T=E$11,100,EXP(-IRTree!E64*h)*((F63+F64)/2+cc*h))))</f>
        <v/>
      </c>
      <c r="F63" s="3" t="str">
        <f>IF(F$11&gt;T,"",IF($A63&gt;F$12,"",IF(T=F$11,100,EXP(-IRTree!F64*h)*((G63+G64)/2+cc*h))))</f>
        <v/>
      </c>
      <c r="G63" s="3" t="str">
        <f>IF(G$11&gt;T,"",IF($A63&gt;G$12,"",IF(T=G$11,100,EXP(-IRTree!G64*h)*((H63+H64)/2+cc*h))))</f>
        <v/>
      </c>
      <c r="H63" s="3" t="str">
        <f>IF(H$11&gt;T,"",IF($A63&gt;H$12,"",IF(T=H$11,100,EXP(-IRTree!H64*h)*((I63+I64)/2+cc*h))))</f>
        <v/>
      </c>
      <c r="I63" s="3" t="str">
        <f>IF(I$11&gt;T,"",IF($A63&gt;I$12,"",IF(T=I$11,100,EXP(-IRTree!I64*h)*((J63+J64)/2+cc*h))))</f>
        <v/>
      </c>
      <c r="J63" s="3" t="str">
        <f>IF(J$11&gt;T,"",IF($A63&gt;J$12,"",IF(T=J$11,100,EXP(-IRTree!J64*h)*((K63+K64)/2+cc*h))))</f>
        <v/>
      </c>
      <c r="K63" s="3" t="str">
        <f>IF(K$11&gt;T,"",IF($A63&gt;K$12,"",IF(T=K$11,100,EXP(-IRTree!K64*h)*((L63+L64)/2+cc*h))))</f>
        <v/>
      </c>
      <c r="L63" s="3" t="str">
        <f>IF(L$11&gt;T,"",IF($A63&gt;L$12,"",IF(T=L$11,100,EXP(-IRTree!L64*h)*((M63+M64)/2+cc*h))))</f>
        <v/>
      </c>
      <c r="M63" s="3" t="str">
        <f>IF(M$11&gt;T,"",IF($A63&gt;M$12,"",IF(T=M$11,100,EXP(-IRTree!M64*h)*((N63+N64)/2+cc*h))))</f>
        <v/>
      </c>
      <c r="N63" s="3" t="str">
        <f>IF(N$11&gt;T,"",IF($A63&gt;N$12,"",IF(T=N$11,100,EXP(-IRTree!N64*h)*((O63+O64)/2+cc*h))))</f>
        <v/>
      </c>
      <c r="O63" s="3" t="str">
        <f>IF(O$11&gt;T,"",IF($A63&gt;O$12,"",IF(T=O$11,100,EXP(-IRTree!O64*h)*((P63+P64)/2+cc*h))))</f>
        <v/>
      </c>
      <c r="P63" s="3" t="str">
        <f>IF(P$11&gt;T,"",IF($A63&gt;P$12,"",IF(T=P$11,100,EXP(-IRTree!P64*h)*((Q63+Q64)/2+cc*h))))</f>
        <v/>
      </c>
      <c r="Q63" s="3" t="str">
        <f>IF(Q$11&gt;T,"",IF($A63&gt;Q$12,"",IF(T=Q$11,100,EXP(-IRTree!Q64*h)*((R63+R64)/2+cc*h))))</f>
        <v/>
      </c>
      <c r="R63" s="3" t="str">
        <f>IF(R$11&gt;T,"",IF($A63&gt;R$12,"",IF(T=R$11,100,EXP(-IRTree!R64*h)*((S63+S64)/2+cc*h))))</f>
        <v/>
      </c>
      <c r="S63" s="3" t="str">
        <f>IF(S$11&gt;T,"",IF($A63&gt;S$12,"",IF(T=S$11,100,EXP(-IRTree!S64*h)*((T63+T64)/2+cc*h))))</f>
        <v/>
      </c>
      <c r="T63" s="3" t="str">
        <f>IF(T$11&gt;T,"",IF($A63&gt;T$12,"",IF(T=T$11,100,EXP(-IRTree!T64*h)*((U63+U64)/2+cc*h))))</f>
        <v/>
      </c>
      <c r="U63" s="3" t="str">
        <f>IF(U$11&gt;T,"",IF($A63&gt;U$12,"",IF(T=U$11,100,EXP(-IRTree!U64*h)*((V63+V64)/2+cc*h))))</f>
        <v/>
      </c>
      <c r="V63" s="3" t="str">
        <f>IF(V$11&gt;T,"",IF($A63&gt;V$12,"",IF(T=V$11,100,EXP(-IRTree!V64*h)*((W63+W64)/2+cc*h))))</f>
        <v/>
      </c>
      <c r="W63" s="3" t="str">
        <f>IF(W$11&gt;T,"",IF($A63&gt;W$12,"",IF(T=W$11,100,EXP(-IRTree!W64*h)*((X63+X64)/2+cc*h))))</f>
        <v/>
      </c>
      <c r="X63" s="3" t="str">
        <f>IF(X$11&gt;T,"",IF($A63&gt;X$12,"",IF(T=X$11,100,EXP(-IRTree!X64*h)*((Y63+Y64)/2+cc*h))))</f>
        <v/>
      </c>
      <c r="Y63" s="3" t="str">
        <f>IF(Y$11&gt;T,"",IF($A63&gt;Y$12,"",IF(T=Y$11,100,EXP(-IRTree!Y64*h)*((Z63+Z64)/2+cc*h))))</f>
        <v/>
      </c>
      <c r="Z63" s="3" t="str">
        <f>IF(Z$11&gt;T,"",IF($A63&gt;Z$12,"",IF(T=Z$11,100,EXP(-IRTree!Z64*h)*((AA63+AA64)/2+cc*h))))</f>
        <v/>
      </c>
      <c r="AA63" s="3" t="str">
        <f>IF(AA$11&gt;T,"",IF($A63&gt;AA$12,"",IF(T=AA$11,100,EXP(-IRTree!AA64*h)*((AB63+AB64)/2+cc*h))))</f>
        <v/>
      </c>
      <c r="AB63" s="3" t="str">
        <f>IF(AB$11&gt;T,"",IF($A63&gt;AB$12,"",IF(T=AB$11,100,EXP(-IRTree!AB64*h)*((AC63+AC64)/2+cc*h))))</f>
        <v/>
      </c>
      <c r="AC63" s="3" t="str">
        <f>IF(AC$11&gt;T,"",IF($A63&gt;AC$12,"",IF(T=AC$11,100,EXP(-IRTree!AC64*h)*((AD63+AD64)/2+cc*h))))</f>
        <v/>
      </c>
      <c r="AD63" s="3" t="str">
        <f>IF(AD$11&gt;T,"",IF($A63&gt;AD$12,"",IF(T=AD$11,100,EXP(-IRTree!AD64*h)*((AE63+AE64)/2+cc*h))))</f>
        <v/>
      </c>
      <c r="AE63" s="3" t="str">
        <f>IF(AE$11&gt;T,"",IF($A63&gt;AE$12,"",IF(T=AE$11,100,EXP(-IRTree!AE64*h)*((AF63+AF64)/2+cc*h))))</f>
        <v/>
      </c>
      <c r="AF63" s="3" t="str">
        <f>IF(AF$11&gt;T,"",IF($A63&gt;AF$12,"",IF(T=AF$11,100,EXP(-IRTree!AF64*h)*((AG63+AG64)/2+cc*h))))</f>
        <v/>
      </c>
      <c r="AG63" s="3" t="str">
        <f>IF(AG$11&gt;T,"",IF($A63&gt;AG$12,"",IF(T=AG$11,100,EXP(-IRTree!AG64*h)*((AH63+AH64)/2+cc*h))))</f>
        <v/>
      </c>
      <c r="AH63" s="3" t="str">
        <f>IF(AH$11&gt;T,"",IF($A63&gt;AH$12,"",IF(T=AH$11,100,EXP(-IRTree!AH64*h)*((AI63+AI64)/2+cc*h))))</f>
        <v/>
      </c>
      <c r="AI63" s="3" t="str">
        <f>IF(AI$11&gt;T,"",IF($A63&gt;AI$12,"",IF(T=AI$11,100,EXP(-IRTree!AI64*h)*((AJ63+AJ64)/2+cc*h))))</f>
        <v/>
      </c>
      <c r="AJ63" s="3" t="str">
        <f>IF(AJ$11&gt;T,"",IF($A63&gt;AJ$12,"",IF(T=AJ$11,100,EXP(-IRTree!AJ64*h)*((AK63+AK64)/2+cc*h))))</f>
        <v/>
      </c>
      <c r="AK63" s="3" t="str">
        <f>IF(AK$11&gt;T,"",IF($A63&gt;AK$12,"",IF(T=AK$11,100,EXP(-IRTree!AK64*h)*((AL63+AL64)/2+cc*h))))</f>
        <v/>
      </c>
      <c r="AL63" s="3" t="str">
        <f>IF(AL$11&gt;T,"",IF($A63&gt;AL$12,"",IF(T=AL$11,100,EXP(-IRTree!AL64*h)*((AM63+AM64)/2+cc*h))))</f>
        <v/>
      </c>
      <c r="AM63" s="3" t="str">
        <f>IF(AM$11&gt;T,"",IF($A63&gt;AM$12,"",IF(T=AM$11,100,EXP(-IRTree!AM64*h)*((AN63+AN64)/2+cc*h))))</f>
        <v/>
      </c>
      <c r="AN63" s="3" t="str">
        <f>IF(AN$11&gt;T,"",IF($A63&gt;AN$12,"",IF(T=AN$11,100,EXP(-IRTree!AN64*h)*((AO63+AO64)/2+cc*h))))</f>
        <v/>
      </c>
      <c r="AO63" s="3" t="str">
        <f>IF(AO$11&gt;T,"",IF($A63&gt;AO$12,"",IF(T=AO$11,100,EXP(-IRTree!AO64*h)*((AP63+AP64)/2+cc*h))))</f>
        <v/>
      </c>
      <c r="AP63" s="3" t="str">
        <f>IF(AP$11&gt;T,"",IF($A63&gt;AP$12,"",IF(T=AP$11,100,EXP(-IRTree!AP64*h)*((AQ63+AQ64)/2+cc*h))))</f>
        <v/>
      </c>
      <c r="AQ63" s="3" t="str">
        <f>IF(AQ$11&gt;T,"",IF($A63&gt;AQ$12,"",IF(T=AQ$11,100,EXP(-IRTree!AQ64*h)*((AR63+AR64)/2+cc*h))))</f>
        <v/>
      </c>
      <c r="AR63" s="3" t="str">
        <f>IF(AR$11&gt;T,"",IF($A63&gt;AR$12,"",IF(T=AR$11,100,EXP(-IRTree!AR64*h)*((AS63+AS64)/2+cc*h))))</f>
        <v/>
      </c>
      <c r="AS63" s="3" t="str">
        <f>IF(AS$11&gt;T,"",IF($A63&gt;AS$12,"",IF(T=AS$11,100,EXP(-IRTree!AS64*h)*((AT63+AT64)/2+cc*h))))</f>
        <v/>
      </c>
      <c r="AT63" s="3" t="str">
        <f>IF(AT$11&gt;T,"",IF($A63&gt;AT$12,"",IF(T=AT$11,100,EXP(-IRTree!AT64*h)*((AU63+AU64)/2+cc*h))))</f>
        <v/>
      </c>
      <c r="AU63" s="3" t="str">
        <f>IF(AU$11&gt;T,"",IF($A63&gt;AU$12,"",IF(T=AU$11,100,EXP(-IRTree!AU64*h)*((AV63+AV64)/2+cc*h))))</f>
        <v/>
      </c>
      <c r="AV63" s="3" t="str">
        <f>IF(AV$11&gt;T,"",IF($A63&gt;AV$12,"",IF(T=AV$11,100,EXP(-IRTree!AV64*h)*((AW63+AW64)/2+cc*h))))</f>
        <v/>
      </c>
      <c r="AW63" s="3" t="str">
        <f>IF(AW$11&gt;T,"",IF($A63&gt;AW$12,"",IF(T=AW$11,100,EXP(-IRTree!AW64*h)*((AX63+AX64)/2+cc*h))))</f>
        <v/>
      </c>
      <c r="AX63" s="3" t="str">
        <f>IF(AX$11&gt;T,"",IF($A63&gt;AX$12,"",IF(T=AX$11,100,EXP(-IRTree!AX64*h)*((AY63+AY64)/2+cc*h))))</f>
        <v/>
      </c>
      <c r="AY63" s="3" t="str">
        <f>IF(AY$11&gt;T,"",IF($A63&gt;AY$12,"",IF(T=AY$11,100,EXP(-IRTree!AY64*h)*((AZ63+AZ64)/2+cc*h))))</f>
        <v/>
      </c>
      <c r="AZ63" s="3" t="str">
        <f>IF(AZ$11&gt;T,"",IF($A63&gt;AZ$12,"",IF(T=AZ$11,100,EXP(-IRTree!AZ64*h)*((BA63+BA64)/2+cc*h))))</f>
        <v/>
      </c>
      <c r="BA63" s="3" t="str">
        <f>IF(BA$11&gt;T,"",IF($A63&gt;BA$12,"",IF(T=BA$11,100,EXP(-IRTree!BA64*h)*((BB63+BB64)/2+cc*h))))</f>
        <v/>
      </c>
      <c r="BB63" s="3" t="str">
        <f>IF(BB$11&gt;T,"",IF($A63&gt;BB$12,"",IF(T=BB$11,100,EXP(-IRTree!BB64*h)*((BC63+BC64)/2+cc*h))))</f>
        <v/>
      </c>
      <c r="BC63" s="3" t="str">
        <f>IF(BC$11&gt;T,"",IF($A63&gt;BC$12,"",IF(T=BC$11,100,EXP(-IRTree!BC64*h)*((BD63+BD64)/2+cc*h))))</f>
        <v/>
      </c>
      <c r="BD63" s="3" t="str">
        <f>IF(BD$11&gt;T,"",IF($A63&gt;BD$12,"",IF(T=BD$11,100,EXP(-IRTree!BD64*h)*((BE63+BE64)/2+cc*h))))</f>
        <v/>
      </c>
      <c r="BE63" s="3" t="str">
        <f>IF(BE$11&gt;T,"",IF($A63&gt;BE$12,"",IF(T=BE$11,100,EXP(-IRTree!BE64*h)*((BF63+BF64)/2+cc*h))))</f>
        <v/>
      </c>
      <c r="BF63" s="3" t="str">
        <f>IF(BF$11&gt;T,"",IF($A63&gt;BF$12,"",IF(T=BF$11,100,EXP(-IRTree!BF64*h)*((BG63+BG64)/2+cc*h))))</f>
        <v/>
      </c>
      <c r="BG63" s="3" t="str">
        <f>IF(BG$11&gt;T,"",IF($A63&gt;BG$12,"",IF(T=BG$11,100,EXP(-IRTree!BG64*h)*((BH63+BH64)/2+cc*h))))</f>
        <v/>
      </c>
      <c r="BH63" s="3" t="str">
        <f>IF(BH$11&gt;T,"",IF($A63&gt;BH$12,"",IF(T=BH$11,100,EXP(-IRTree!BH64*h)*((BI63+BI64)/2+cc*h))))</f>
        <v/>
      </c>
      <c r="BI63" s="3" t="str">
        <f>IF(BI$11&gt;T,"",IF($A63&gt;BI$12,"",IF(T=BI$11,100,EXP(-IRTree!BI64*h)*((BJ63+BJ64)/2+cc*h))))</f>
        <v/>
      </c>
      <c r="BJ63" s="3" t="str">
        <f>IF(BJ$11&gt;T,"",IF($A63&gt;BJ$12,"",IF(T=BJ$11,100,EXP(-IRTree!BJ64*h)*((BK63+BK64)/2+cc*h))))</f>
        <v/>
      </c>
    </row>
    <row r="64" spans="1:62">
      <c r="A64" s="12">
        <f t="shared" si="2"/>
        <v>51</v>
      </c>
      <c r="B64" s="3" t="str">
        <f>IF(B$11&gt;T,"",IF($A64&gt;B$12,"",IF(T=B$11,100,EXP(-IRTree!B65*h)*((C64+C65)/2+cc*h))))</f>
        <v/>
      </c>
      <c r="C64" s="3" t="str">
        <f>IF(C$11&gt;T,"",IF($A64&gt;C$12,"",IF(T=C$11,100,EXP(-IRTree!C65*h)*((D64+D65)/2+cc*h))))</f>
        <v/>
      </c>
      <c r="D64" s="3" t="str">
        <f>IF(D$11&gt;T,"",IF($A64&gt;D$12,"",IF(T=D$11,100,EXP(-IRTree!D65*h)*((E64+E65)/2+cc*h))))</f>
        <v/>
      </c>
      <c r="E64" s="3" t="str">
        <f>IF(E$11&gt;T,"",IF($A64&gt;E$12,"",IF(T=E$11,100,EXP(-IRTree!E65*h)*((F64+F65)/2+cc*h))))</f>
        <v/>
      </c>
      <c r="F64" s="3" t="str">
        <f>IF(F$11&gt;T,"",IF($A64&gt;F$12,"",IF(T=F$11,100,EXP(-IRTree!F65*h)*((G64+G65)/2+cc*h))))</f>
        <v/>
      </c>
      <c r="G64" s="3" t="str">
        <f>IF(G$11&gt;T,"",IF($A64&gt;G$12,"",IF(T=G$11,100,EXP(-IRTree!G65*h)*((H64+H65)/2+cc*h))))</f>
        <v/>
      </c>
      <c r="H64" s="3" t="str">
        <f>IF(H$11&gt;T,"",IF($A64&gt;H$12,"",IF(T=H$11,100,EXP(-IRTree!H65*h)*((I64+I65)/2+cc*h))))</f>
        <v/>
      </c>
      <c r="I64" s="3" t="str">
        <f>IF(I$11&gt;T,"",IF($A64&gt;I$12,"",IF(T=I$11,100,EXP(-IRTree!I65*h)*((J64+J65)/2+cc*h))))</f>
        <v/>
      </c>
      <c r="J64" s="3" t="str">
        <f>IF(J$11&gt;T,"",IF($A64&gt;J$12,"",IF(T=J$11,100,EXP(-IRTree!J65*h)*((K64+K65)/2+cc*h))))</f>
        <v/>
      </c>
      <c r="K64" s="3" t="str">
        <f>IF(K$11&gt;T,"",IF($A64&gt;K$12,"",IF(T=K$11,100,EXP(-IRTree!K65*h)*((L64+L65)/2+cc*h))))</f>
        <v/>
      </c>
      <c r="L64" s="3" t="str">
        <f>IF(L$11&gt;T,"",IF($A64&gt;L$12,"",IF(T=L$11,100,EXP(-IRTree!L65*h)*((M64+M65)/2+cc*h))))</f>
        <v/>
      </c>
      <c r="M64" s="3" t="str">
        <f>IF(M$11&gt;T,"",IF($A64&gt;M$12,"",IF(T=M$11,100,EXP(-IRTree!M65*h)*((N64+N65)/2+cc*h))))</f>
        <v/>
      </c>
      <c r="N64" s="3" t="str">
        <f>IF(N$11&gt;T,"",IF($A64&gt;N$12,"",IF(T=N$11,100,EXP(-IRTree!N65*h)*((O64+O65)/2+cc*h))))</f>
        <v/>
      </c>
      <c r="O64" s="3" t="str">
        <f>IF(O$11&gt;T,"",IF($A64&gt;O$12,"",IF(T=O$11,100,EXP(-IRTree!O65*h)*((P64+P65)/2+cc*h))))</f>
        <v/>
      </c>
      <c r="P64" s="3" t="str">
        <f>IF(P$11&gt;T,"",IF($A64&gt;P$12,"",IF(T=P$11,100,EXP(-IRTree!P65*h)*((Q64+Q65)/2+cc*h))))</f>
        <v/>
      </c>
      <c r="Q64" s="3" t="str">
        <f>IF(Q$11&gt;T,"",IF($A64&gt;Q$12,"",IF(T=Q$11,100,EXP(-IRTree!Q65*h)*((R64+R65)/2+cc*h))))</f>
        <v/>
      </c>
      <c r="R64" s="3" t="str">
        <f>IF(R$11&gt;T,"",IF($A64&gt;R$12,"",IF(T=R$11,100,EXP(-IRTree!R65*h)*((S64+S65)/2+cc*h))))</f>
        <v/>
      </c>
      <c r="S64" s="3" t="str">
        <f>IF(S$11&gt;T,"",IF($A64&gt;S$12,"",IF(T=S$11,100,EXP(-IRTree!S65*h)*((T64+T65)/2+cc*h))))</f>
        <v/>
      </c>
      <c r="T64" s="3" t="str">
        <f>IF(T$11&gt;T,"",IF($A64&gt;T$12,"",IF(T=T$11,100,EXP(-IRTree!T65*h)*((U64+U65)/2+cc*h))))</f>
        <v/>
      </c>
      <c r="U64" s="3" t="str">
        <f>IF(U$11&gt;T,"",IF($A64&gt;U$12,"",IF(T=U$11,100,EXP(-IRTree!U65*h)*((V64+V65)/2+cc*h))))</f>
        <v/>
      </c>
      <c r="V64" s="3" t="str">
        <f>IF(V$11&gt;T,"",IF($A64&gt;V$12,"",IF(T=V$11,100,EXP(-IRTree!V65*h)*((W64+W65)/2+cc*h))))</f>
        <v/>
      </c>
      <c r="W64" s="3" t="str">
        <f>IF(W$11&gt;T,"",IF($A64&gt;W$12,"",IF(T=W$11,100,EXP(-IRTree!W65*h)*((X64+X65)/2+cc*h))))</f>
        <v/>
      </c>
      <c r="X64" s="3" t="str">
        <f>IF(X$11&gt;T,"",IF($A64&gt;X$12,"",IF(T=X$11,100,EXP(-IRTree!X65*h)*((Y64+Y65)/2+cc*h))))</f>
        <v/>
      </c>
      <c r="Y64" s="3" t="str">
        <f>IF(Y$11&gt;T,"",IF($A64&gt;Y$12,"",IF(T=Y$11,100,EXP(-IRTree!Y65*h)*((Z64+Z65)/2+cc*h))))</f>
        <v/>
      </c>
      <c r="Z64" s="3" t="str">
        <f>IF(Z$11&gt;T,"",IF($A64&gt;Z$12,"",IF(T=Z$11,100,EXP(-IRTree!Z65*h)*((AA64+AA65)/2+cc*h))))</f>
        <v/>
      </c>
      <c r="AA64" s="3" t="str">
        <f>IF(AA$11&gt;T,"",IF($A64&gt;AA$12,"",IF(T=AA$11,100,EXP(-IRTree!AA65*h)*((AB64+AB65)/2+cc*h))))</f>
        <v/>
      </c>
      <c r="AB64" s="3" t="str">
        <f>IF(AB$11&gt;T,"",IF($A64&gt;AB$12,"",IF(T=AB$11,100,EXP(-IRTree!AB65*h)*((AC64+AC65)/2+cc*h))))</f>
        <v/>
      </c>
      <c r="AC64" s="3" t="str">
        <f>IF(AC$11&gt;T,"",IF($A64&gt;AC$12,"",IF(T=AC$11,100,EXP(-IRTree!AC65*h)*((AD64+AD65)/2+cc*h))))</f>
        <v/>
      </c>
      <c r="AD64" s="3" t="str">
        <f>IF(AD$11&gt;T,"",IF($A64&gt;AD$12,"",IF(T=AD$11,100,EXP(-IRTree!AD65*h)*((AE64+AE65)/2+cc*h))))</f>
        <v/>
      </c>
      <c r="AE64" s="3" t="str">
        <f>IF(AE$11&gt;T,"",IF($A64&gt;AE$12,"",IF(T=AE$11,100,EXP(-IRTree!AE65*h)*((AF64+AF65)/2+cc*h))))</f>
        <v/>
      </c>
      <c r="AF64" s="3" t="str">
        <f>IF(AF$11&gt;T,"",IF($A64&gt;AF$12,"",IF(T=AF$11,100,EXP(-IRTree!AF65*h)*((AG64+AG65)/2+cc*h))))</f>
        <v/>
      </c>
      <c r="AG64" s="3" t="str">
        <f>IF(AG$11&gt;T,"",IF($A64&gt;AG$12,"",IF(T=AG$11,100,EXP(-IRTree!AG65*h)*((AH64+AH65)/2+cc*h))))</f>
        <v/>
      </c>
      <c r="AH64" s="3" t="str">
        <f>IF(AH$11&gt;T,"",IF($A64&gt;AH$12,"",IF(T=AH$11,100,EXP(-IRTree!AH65*h)*((AI64+AI65)/2+cc*h))))</f>
        <v/>
      </c>
      <c r="AI64" s="3" t="str">
        <f>IF(AI$11&gt;T,"",IF($A64&gt;AI$12,"",IF(T=AI$11,100,EXP(-IRTree!AI65*h)*((AJ64+AJ65)/2+cc*h))))</f>
        <v/>
      </c>
      <c r="AJ64" s="3" t="str">
        <f>IF(AJ$11&gt;T,"",IF($A64&gt;AJ$12,"",IF(T=AJ$11,100,EXP(-IRTree!AJ65*h)*((AK64+AK65)/2+cc*h))))</f>
        <v/>
      </c>
      <c r="AK64" s="3" t="str">
        <f>IF(AK$11&gt;T,"",IF($A64&gt;AK$12,"",IF(T=AK$11,100,EXP(-IRTree!AK65*h)*((AL64+AL65)/2+cc*h))))</f>
        <v/>
      </c>
      <c r="AL64" s="3" t="str">
        <f>IF(AL$11&gt;T,"",IF($A64&gt;AL$12,"",IF(T=AL$11,100,EXP(-IRTree!AL65*h)*((AM64+AM65)/2+cc*h))))</f>
        <v/>
      </c>
      <c r="AM64" s="3" t="str">
        <f>IF(AM$11&gt;T,"",IF($A64&gt;AM$12,"",IF(T=AM$11,100,EXP(-IRTree!AM65*h)*((AN64+AN65)/2+cc*h))))</f>
        <v/>
      </c>
      <c r="AN64" s="3" t="str">
        <f>IF(AN$11&gt;T,"",IF($A64&gt;AN$12,"",IF(T=AN$11,100,EXP(-IRTree!AN65*h)*((AO64+AO65)/2+cc*h))))</f>
        <v/>
      </c>
      <c r="AO64" s="3" t="str">
        <f>IF(AO$11&gt;T,"",IF($A64&gt;AO$12,"",IF(T=AO$11,100,EXP(-IRTree!AO65*h)*((AP64+AP65)/2+cc*h))))</f>
        <v/>
      </c>
      <c r="AP64" s="3" t="str">
        <f>IF(AP$11&gt;T,"",IF($A64&gt;AP$12,"",IF(T=AP$11,100,EXP(-IRTree!AP65*h)*((AQ64+AQ65)/2+cc*h))))</f>
        <v/>
      </c>
      <c r="AQ64" s="3" t="str">
        <f>IF(AQ$11&gt;T,"",IF($A64&gt;AQ$12,"",IF(T=AQ$11,100,EXP(-IRTree!AQ65*h)*((AR64+AR65)/2+cc*h))))</f>
        <v/>
      </c>
      <c r="AR64" s="3" t="str">
        <f>IF(AR$11&gt;T,"",IF($A64&gt;AR$12,"",IF(T=AR$11,100,EXP(-IRTree!AR65*h)*((AS64+AS65)/2+cc*h))))</f>
        <v/>
      </c>
      <c r="AS64" s="3" t="str">
        <f>IF(AS$11&gt;T,"",IF($A64&gt;AS$12,"",IF(T=AS$11,100,EXP(-IRTree!AS65*h)*((AT64+AT65)/2+cc*h))))</f>
        <v/>
      </c>
      <c r="AT64" s="3" t="str">
        <f>IF(AT$11&gt;T,"",IF($A64&gt;AT$12,"",IF(T=AT$11,100,EXP(-IRTree!AT65*h)*((AU64+AU65)/2+cc*h))))</f>
        <v/>
      </c>
      <c r="AU64" s="3" t="str">
        <f>IF(AU$11&gt;T,"",IF($A64&gt;AU$12,"",IF(T=AU$11,100,EXP(-IRTree!AU65*h)*((AV64+AV65)/2+cc*h))))</f>
        <v/>
      </c>
      <c r="AV64" s="3" t="str">
        <f>IF(AV$11&gt;T,"",IF($A64&gt;AV$12,"",IF(T=AV$11,100,EXP(-IRTree!AV65*h)*((AW64+AW65)/2+cc*h))))</f>
        <v/>
      </c>
      <c r="AW64" s="3" t="str">
        <f>IF(AW$11&gt;T,"",IF($A64&gt;AW$12,"",IF(T=AW$11,100,EXP(-IRTree!AW65*h)*((AX64+AX65)/2+cc*h))))</f>
        <v/>
      </c>
      <c r="AX64" s="3" t="str">
        <f>IF(AX$11&gt;T,"",IF($A64&gt;AX$12,"",IF(T=AX$11,100,EXP(-IRTree!AX65*h)*((AY64+AY65)/2+cc*h))))</f>
        <v/>
      </c>
      <c r="AY64" s="3" t="str">
        <f>IF(AY$11&gt;T,"",IF($A64&gt;AY$12,"",IF(T=AY$11,100,EXP(-IRTree!AY65*h)*((AZ64+AZ65)/2+cc*h))))</f>
        <v/>
      </c>
      <c r="AZ64" s="3" t="str">
        <f>IF(AZ$11&gt;T,"",IF($A64&gt;AZ$12,"",IF(T=AZ$11,100,EXP(-IRTree!AZ65*h)*((BA64+BA65)/2+cc*h))))</f>
        <v/>
      </c>
      <c r="BA64" s="3" t="str">
        <f>IF(BA$11&gt;T,"",IF($A64&gt;BA$12,"",IF(T=BA$11,100,EXP(-IRTree!BA65*h)*((BB64+BB65)/2+cc*h))))</f>
        <v/>
      </c>
      <c r="BB64" s="3" t="str">
        <f>IF(BB$11&gt;T,"",IF($A64&gt;BB$12,"",IF(T=BB$11,100,EXP(-IRTree!BB65*h)*((BC64+BC65)/2+cc*h))))</f>
        <v/>
      </c>
      <c r="BC64" s="3" t="str">
        <f>IF(BC$11&gt;T,"",IF($A64&gt;BC$12,"",IF(T=BC$11,100,EXP(-IRTree!BC65*h)*((BD64+BD65)/2+cc*h))))</f>
        <v/>
      </c>
      <c r="BD64" s="3" t="str">
        <f>IF(BD$11&gt;T,"",IF($A64&gt;BD$12,"",IF(T=BD$11,100,EXP(-IRTree!BD65*h)*((BE64+BE65)/2+cc*h))))</f>
        <v/>
      </c>
      <c r="BE64" s="3" t="str">
        <f>IF(BE$11&gt;T,"",IF($A64&gt;BE$12,"",IF(T=BE$11,100,EXP(-IRTree!BE65*h)*((BF64+BF65)/2+cc*h))))</f>
        <v/>
      </c>
      <c r="BF64" s="3" t="str">
        <f>IF(BF$11&gt;T,"",IF($A64&gt;BF$12,"",IF(T=BF$11,100,EXP(-IRTree!BF65*h)*((BG64+BG65)/2+cc*h))))</f>
        <v/>
      </c>
      <c r="BG64" s="3" t="str">
        <f>IF(BG$11&gt;T,"",IF($A64&gt;BG$12,"",IF(T=BG$11,100,EXP(-IRTree!BG65*h)*((BH64+BH65)/2+cc*h))))</f>
        <v/>
      </c>
      <c r="BH64" s="3" t="str">
        <f>IF(BH$11&gt;T,"",IF($A64&gt;BH$12,"",IF(T=BH$11,100,EXP(-IRTree!BH65*h)*((BI64+BI65)/2+cc*h))))</f>
        <v/>
      </c>
      <c r="BI64" s="3" t="str">
        <f>IF(BI$11&gt;T,"",IF($A64&gt;BI$12,"",IF(T=BI$11,100,EXP(-IRTree!BI65*h)*((BJ64+BJ65)/2+cc*h))))</f>
        <v/>
      </c>
      <c r="BJ64" s="3" t="str">
        <f>IF(BJ$11&gt;T,"",IF($A64&gt;BJ$12,"",IF(T=BJ$11,100,EXP(-IRTree!BJ65*h)*((BK64+BK65)/2+cc*h))))</f>
        <v/>
      </c>
    </row>
    <row r="65" spans="1:62">
      <c r="A65" s="12">
        <f t="shared" si="2"/>
        <v>52</v>
      </c>
      <c r="B65" s="3" t="str">
        <f>IF(B$11&gt;T,"",IF($A65&gt;B$12,"",IF(T=B$11,100,EXP(-IRTree!B66*h)*((C65+C66)/2+cc*h))))</f>
        <v/>
      </c>
      <c r="C65" s="3" t="str">
        <f>IF(C$11&gt;T,"",IF($A65&gt;C$12,"",IF(T=C$11,100,EXP(-IRTree!C66*h)*((D65+D66)/2+cc*h))))</f>
        <v/>
      </c>
      <c r="D65" s="3" t="str">
        <f>IF(D$11&gt;T,"",IF($A65&gt;D$12,"",IF(T=D$11,100,EXP(-IRTree!D66*h)*((E65+E66)/2+cc*h))))</f>
        <v/>
      </c>
      <c r="E65" s="3" t="str">
        <f>IF(E$11&gt;T,"",IF($A65&gt;E$12,"",IF(T=E$11,100,EXP(-IRTree!E66*h)*((F65+F66)/2+cc*h))))</f>
        <v/>
      </c>
      <c r="F65" s="3" t="str">
        <f>IF(F$11&gt;T,"",IF($A65&gt;F$12,"",IF(T=F$11,100,EXP(-IRTree!F66*h)*((G65+G66)/2+cc*h))))</f>
        <v/>
      </c>
      <c r="G65" s="3" t="str">
        <f>IF(G$11&gt;T,"",IF($A65&gt;G$12,"",IF(T=G$11,100,EXP(-IRTree!G66*h)*((H65+H66)/2+cc*h))))</f>
        <v/>
      </c>
      <c r="H65" s="3" t="str">
        <f>IF(H$11&gt;T,"",IF($A65&gt;H$12,"",IF(T=H$11,100,EXP(-IRTree!H66*h)*((I65+I66)/2+cc*h))))</f>
        <v/>
      </c>
      <c r="I65" s="3" t="str">
        <f>IF(I$11&gt;T,"",IF($A65&gt;I$12,"",IF(T=I$11,100,EXP(-IRTree!I66*h)*((J65+J66)/2+cc*h))))</f>
        <v/>
      </c>
      <c r="J65" s="3" t="str">
        <f>IF(J$11&gt;T,"",IF($A65&gt;J$12,"",IF(T=J$11,100,EXP(-IRTree!J66*h)*((K65+K66)/2+cc*h))))</f>
        <v/>
      </c>
      <c r="K65" s="3" t="str">
        <f>IF(K$11&gt;T,"",IF($A65&gt;K$12,"",IF(T=K$11,100,EXP(-IRTree!K66*h)*((L65+L66)/2+cc*h))))</f>
        <v/>
      </c>
      <c r="L65" s="3" t="str">
        <f>IF(L$11&gt;T,"",IF($A65&gt;L$12,"",IF(T=L$11,100,EXP(-IRTree!L66*h)*((M65+M66)/2+cc*h))))</f>
        <v/>
      </c>
      <c r="M65" s="3" t="str">
        <f>IF(M$11&gt;T,"",IF($A65&gt;M$12,"",IF(T=M$11,100,EXP(-IRTree!M66*h)*((N65+N66)/2+cc*h))))</f>
        <v/>
      </c>
      <c r="N65" s="3" t="str">
        <f>IF(N$11&gt;T,"",IF($A65&gt;N$12,"",IF(T=N$11,100,EXP(-IRTree!N66*h)*((O65+O66)/2+cc*h))))</f>
        <v/>
      </c>
      <c r="O65" s="3" t="str">
        <f>IF(O$11&gt;T,"",IF($A65&gt;O$12,"",IF(T=O$11,100,EXP(-IRTree!O66*h)*((P65+P66)/2+cc*h))))</f>
        <v/>
      </c>
      <c r="P65" s="3" t="str">
        <f>IF(P$11&gt;T,"",IF($A65&gt;P$12,"",IF(T=P$11,100,EXP(-IRTree!P66*h)*((Q65+Q66)/2+cc*h))))</f>
        <v/>
      </c>
      <c r="Q65" s="3" t="str">
        <f>IF(Q$11&gt;T,"",IF($A65&gt;Q$12,"",IF(T=Q$11,100,EXP(-IRTree!Q66*h)*((R65+R66)/2+cc*h))))</f>
        <v/>
      </c>
      <c r="R65" s="3" t="str">
        <f>IF(R$11&gt;T,"",IF($A65&gt;R$12,"",IF(T=R$11,100,EXP(-IRTree!R66*h)*((S65+S66)/2+cc*h))))</f>
        <v/>
      </c>
      <c r="S65" s="3" t="str">
        <f>IF(S$11&gt;T,"",IF($A65&gt;S$12,"",IF(T=S$11,100,EXP(-IRTree!S66*h)*((T65+T66)/2+cc*h))))</f>
        <v/>
      </c>
      <c r="T65" s="3" t="str">
        <f>IF(T$11&gt;T,"",IF($A65&gt;T$12,"",IF(T=T$11,100,EXP(-IRTree!T66*h)*((U65+U66)/2+cc*h))))</f>
        <v/>
      </c>
      <c r="U65" s="3" t="str">
        <f>IF(U$11&gt;T,"",IF($A65&gt;U$12,"",IF(T=U$11,100,EXP(-IRTree!U66*h)*((V65+V66)/2+cc*h))))</f>
        <v/>
      </c>
      <c r="V65" s="3" t="str">
        <f>IF(V$11&gt;T,"",IF($A65&gt;V$12,"",IF(T=V$11,100,EXP(-IRTree!V66*h)*((W65+W66)/2+cc*h))))</f>
        <v/>
      </c>
      <c r="W65" s="3" t="str">
        <f>IF(W$11&gt;T,"",IF($A65&gt;W$12,"",IF(T=W$11,100,EXP(-IRTree!W66*h)*((X65+X66)/2+cc*h))))</f>
        <v/>
      </c>
      <c r="X65" s="3" t="str">
        <f>IF(X$11&gt;T,"",IF($A65&gt;X$12,"",IF(T=X$11,100,EXP(-IRTree!X66*h)*((Y65+Y66)/2+cc*h))))</f>
        <v/>
      </c>
      <c r="Y65" s="3" t="str">
        <f>IF(Y$11&gt;T,"",IF($A65&gt;Y$12,"",IF(T=Y$11,100,EXP(-IRTree!Y66*h)*((Z65+Z66)/2+cc*h))))</f>
        <v/>
      </c>
      <c r="Z65" s="3" t="str">
        <f>IF(Z$11&gt;T,"",IF($A65&gt;Z$12,"",IF(T=Z$11,100,EXP(-IRTree!Z66*h)*((AA65+AA66)/2+cc*h))))</f>
        <v/>
      </c>
      <c r="AA65" s="3" t="str">
        <f>IF(AA$11&gt;T,"",IF($A65&gt;AA$12,"",IF(T=AA$11,100,EXP(-IRTree!AA66*h)*((AB65+AB66)/2+cc*h))))</f>
        <v/>
      </c>
      <c r="AB65" s="3" t="str">
        <f>IF(AB$11&gt;T,"",IF($A65&gt;AB$12,"",IF(T=AB$11,100,EXP(-IRTree!AB66*h)*((AC65+AC66)/2+cc*h))))</f>
        <v/>
      </c>
      <c r="AC65" s="3" t="str">
        <f>IF(AC$11&gt;T,"",IF($A65&gt;AC$12,"",IF(T=AC$11,100,EXP(-IRTree!AC66*h)*((AD65+AD66)/2+cc*h))))</f>
        <v/>
      </c>
      <c r="AD65" s="3" t="str">
        <f>IF(AD$11&gt;T,"",IF($A65&gt;AD$12,"",IF(T=AD$11,100,EXP(-IRTree!AD66*h)*((AE65+AE66)/2+cc*h))))</f>
        <v/>
      </c>
      <c r="AE65" s="3" t="str">
        <f>IF(AE$11&gt;T,"",IF($A65&gt;AE$12,"",IF(T=AE$11,100,EXP(-IRTree!AE66*h)*((AF65+AF66)/2+cc*h))))</f>
        <v/>
      </c>
      <c r="AF65" s="3" t="str">
        <f>IF(AF$11&gt;T,"",IF($A65&gt;AF$12,"",IF(T=AF$11,100,EXP(-IRTree!AF66*h)*((AG65+AG66)/2+cc*h))))</f>
        <v/>
      </c>
      <c r="AG65" s="3" t="str">
        <f>IF(AG$11&gt;T,"",IF($A65&gt;AG$12,"",IF(T=AG$11,100,EXP(-IRTree!AG66*h)*((AH65+AH66)/2+cc*h))))</f>
        <v/>
      </c>
      <c r="AH65" s="3" t="str">
        <f>IF(AH$11&gt;T,"",IF($A65&gt;AH$12,"",IF(T=AH$11,100,EXP(-IRTree!AH66*h)*((AI65+AI66)/2+cc*h))))</f>
        <v/>
      </c>
      <c r="AI65" s="3" t="str">
        <f>IF(AI$11&gt;T,"",IF($A65&gt;AI$12,"",IF(T=AI$11,100,EXP(-IRTree!AI66*h)*((AJ65+AJ66)/2+cc*h))))</f>
        <v/>
      </c>
      <c r="AJ65" s="3" t="str">
        <f>IF(AJ$11&gt;T,"",IF($A65&gt;AJ$12,"",IF(T=AJ$11,100,EXP(-IRTree!AJ66*h)*((AK65+AK66)/2+cc*h))))</f>
        <v/>
      </c>
      <c r="AK65" s="3" t="str">
        <f>IF(AK$11&gt;T,"",IF($A65&gt;AK$12,"",IF(T=AK$11,100,EXP(-IRTree!AK66*h)*((AL65+AL66)/2+cc*h))))</f>
        <v/>
      </c>
      <c r="AL65" s="3" t="str">
        <f>IF(AL$11&gt;T,"",IF($A65&gt;AL$12,"",IF(T=AL$11,100,EXP(-IRTree!AL66*h)*((AM65+AM66)/2+cc*h))))</f>
        <v/>
      </c>
      <c r="AM65" s="3" t="str">
        <f>IF(AM$11&gt;T,"",IF($A65&gt;AM$12,"",IF(T=AM$11,100,EXP(-IRTree!AM66*h)*((AN65+AN66)/2+cc*h))))</f>
        <v/>
      </c>
      <c r="AN65" s="3" t="str">
        <f>IF(AN$11&gt;T,"",IF($A65&gt;AN$12,"",IF(T=AN$11,100,EXP(-IRTree!AN66*h)*((AO65+AO66)/2+cc*h))))</f>
        <v/>
      </c>
      <c r="AO65" s="3" t="str">
        <f>IF(AO$11&gt;T,"",IF($A65&gt;AO$12,"",IF(T=AO$11,100,EXP(-IRTree!AO66*h)*((AP65+AP66)/2+cc*h))))</f>
        <v/>
      </c>
      <c r="AP65" s="3" t="str">
        <f>IF(AP$11&gt;T,"",IF($A65&gt;AP$12,"",IF(T=AP$11,100,EXP(-IRTree!AP66*h)*((AQ65+AQ66)/2+cc*h))))</f>
        <v/>
      </c>
      <c r="AQ65" s="3" t="str">
        <f>IF(AQ$11&gt;T,"",IF($A65&gt;AQ$12,"",IF(T=AQ$11,100,EXP(-IRTree!AQ66*h)*((AR65+AR66)/2+cc*h))))</f>
        <v/>
      </c>
      <c r="AR65" s="3" t="str">
        <f>IF(AR$11&gt;T,"",IF($A65&gt;AR$12,"",IF(T=AR$11,100,EXP(-IRTree!AR66*h)*((AS65+AS66)/2+cc*h))))</f>
        <v/>
      </c>
      <c r="AS65" s="3" t="str">
        <f>IF(AS$11&gt;T,"",IF($A65&gt;AS$12,"",IF(T=AS$11,100,EXP(-IRTree!AS66*h)*((AT65+AT66)/2+cc*h))))</f>
        <v/>
      </c>
      <c r="AT65" s="3" t="str">
        <f>IF(AT$11&gt;T,"",IF($A65&gt;AT$12,"",IF(T=AT$11,100,EXP(-IRTree!AT66*h)*((AU65+AU66)/2+cc*h))))</f>
        <v/>
      </c>
      <c r="AU65" s="3" t="str">
        <f>IF(AU$11&gt;T,"",IF($A65&gt;AU$12,"",IF(T=AU$11,100,EXP(-IRTree!AU66*h)*((AV65+AV66)/2+cc*h))))</f>
        <v/>
      </c>
      <c r="AV65" s="3" t="str">
        <f>IF(AV$11&gt;T,"",IF($A65&gt;AV$12,"",IF(T=AV$11,100,EXP(-IRTree!AV66*h)*((AW65+AW66)/2+cc*h))))</f>
        <v/>
      </c>
      <c r="AW65" s="3" t="str">
        <f>IF(AW$11&gt;T,"",IF($A65&gt;AW$12,"",IF(T=AW$11,100,EXP(-IRTree!AW66*h)*((AX65+AX66)/2+cc*h))))</f>
        <v/>
      </c>
      <c r="AX65" s="3" t="str">
        <f>IF(AX$11&gt;T,"",IF($A65&gt;AX$12,"",IF(T=AX$11,100,EXP(-IRTree!AX66*h)*((AY65+AY66)/2+cc*h))))</f>
        <v/>
      </c>
      <c r="AY65" s="3" t="str">
        <f>IF(AY$11&gt;T,"",IF($A65&gt;AY$12,"",IF(T=AY$11,100,EXP(-IRTree!AY66*h)*((AZ65+AZ66)/2+cc*h))))</f>
        <v/>
      </c>
      <c r="AZ65" s="3" t="str">
        <f>IF(AZ$11&gt;T,"",IF($A65&gt;AZ$12,"",IF(T=AZ$11,100,EXP(-IRTree!AZ66*h)*((BA65+BA66)/2+cc*h))))</f>
        <v/>
      </c>
      <c r="BA65" s="3" t="str">
        <f>IF(BA$11&gt;T,"",IF($A65&gt;BA$12,"",IF(T=BA$11,100,EXP(-IRTree!BA66*h)*((BB65+BB66)/2+cc*h))))</f>
        <v/>
      </c>
      <c r="BB65" s="3" t="str">
        <f>IF(BB$11&gt;T,"",IF($A65&gt;BB$12,"",IF(T=BB$11,100,EXP(-IRTree!BB66*h)*((BC65+BC66)/2+cc*h))))</f>
        <v/>
      </c>
      <c r="BC65" s="3" t="str">
        <f>IF(BC$11&gt;T,"",IF($A65&gt;BC$12,"",IF(T=BC$11,100,EXP(-IRTree!BC66*h)*((BD65+BD66)/2+cc*h))))</f>
        <v/>
      </c>
      <c r="BD65" s="3" t="str">
        <f>IF(BD$11&gt;T,"",IF($A65&gt;BD$12,"",IF(T=BD$11,100,EXP(-IRTree!BD66*h)*((BE65+BE66)/2+cc*h))))</f>
        <v/>
      </c>
      <c r="BE65" s="3" t="str">
        <f>IF(BE$11&gt;T,"",IF($A65&gt;BE$12,"",IF(T=BE$11,100,EXP(-IRTree!BE66*h)*((BF65+BF66)/2+cc*h))))</f>
        <v/>
      </c>
      <c r="BF65" s="3" t="str">
        <f>IF(BF$11&gt;T,"",IF($A65&gt;BF$12,"",IF(T=BF$11,100,EXP(-IRTree!BF66*h)*((BG65+BG66)/2+cc*h))))</f>
        <v/>
      </c>
      <c r="BG65" s="3" t="str">
        <f>IF(BG$11&gt;T,"",IF($A65&gt;BG$12,"",IF(T=BG$11,100,EXP(-IRTree!BG66*h)*((BH65+BH66)/2+cc*h))))</f>
        <v/>
      </c>
      <c r="BH65" s="3" t="str">
        <f>IF(BH$11&gt;T,"",IF($A65&gt;BH$12,"",IF(T=BH$11,100,EXP(-IRTree!BH66*h)*((BI65+BI66)/2+cc*h))))</f>
        <v/>
      </c>
      <c r="BI65" s="3" t="str">
        <f>IF(BI$11&gt;T,"",IF($A65&gt;BI$12,"",IF(T=BI$11,100,EXP(-IRTree!BI66*h)*((BJ65+BJ66)/2+cc*h))))</f>
        <v/>
      </c>
      <c r="BJ65" s="3" t="str">
        <f>IF(BJ$11&gt;T,"",IF($A65&gt;BJ$12,"",IF(T=BJ$11,100,EXP(-IRTree!BJ66*h)*((BK65+BK66)/2+cc*h))))</f>
        <v/>
      </c>
    </row>
    <row r="66" spans="1:62">
      <c r="A66" s="12">
        <f t="shared" si="2"/>
        <v>53</v>
      </c>
      <c r="B66" s="3" t="str">
        <f>IF(B$11&gt;T,"",IF($A66&gt;B$12,"",IF(T=B$11,100,EXP(-IRTree!B67*h)*((C66+C67)/2+cc*h))))</f>
        <v/>
      </c>
      <c r="C66" s="3" t="str">
        <f>IF(C$11&gt;T,"",IF($A66&gt;C$12,"",IF(T=C$11,100,EXP(-IRTree!C67*h)*((D66+D67)/2+cc*h))))</f>
        <v/>
      </c>
      <c r="D66" s="3" t="str">
        <f>IF(D$11&gt;T,"",IF($A66&gt;D$12,"",IF(T=D$11,100,EXP(-IRTree!D67*h)*((E66+E67)/2+cc*h))))</f>
        <v/>
      </c>
      <c r="E66" s="3" t="str">
        <f>IF(E$11&gt;T,"",IF($A66&gt;E$12,"",IF(T=E$11,100,EXP(-IRTree!E67*h)*((F66+F67)/2+cc*h))))</f>
        <v/>
      </c>
      <c r="F66" s="3" t="str">
        <f>IF(F$11&gt;T,"",IF($A66&gt;F$12,"",IF(T=F$11,100,EXP(-IRTree!F67*h)*((G66+G67)/2+cc*h))))</f>
        <v/>
      </c>
      <c r="G66" s="3" t="str">
        <f>IF(G$11&gt;T,"",IF($A66&gt;G$12,"",IF(T=G$11,100,EXP(-IRTree!G67*h)*((H66+H67)/2+cc*h))))</f>
        <v/>
      </c>
      <c r="H66" s="3" t="str">
        <f>IF(H$11&gt;T,"",IF($A66&gt;H$12,"",IF(T=H$11,100,EXP(-IRTree!H67*h)*((I66+I67)/2+cc*h))))</f>
        <v/>
      </c>
      <c r="I66" s="3" t="str">
        <f>IF(I$11&gt;T,"",IF($A66&gt;I$12,"",IF(T=I$11,100,EXP(-IRTree!I67*h)*((J66+J67)/2+cc*h))))</f>
        <v/>
      </c>
      <c r="J66" s="3" t="str">
        <f>IF(J$11&gt;T,"",IF($A66&gt;J$12,"",IF(T=J$11,100,EXP(-IRTree!J67*h)*((K66+K67)/2+cc*h))))</f>
        <v/>
      </c>
      <c r="K66" s="3" t="str">
        <f>IF(K$11&gt;T,"",IF($A66&gt;K$12,"",IF(T=K$11,100,EXP(-IRTree!K67*h)*((L66+L67)/2+cc*h))))</f>
        <v/>
      </c>
      <c r="L66" s="3" t="str">
        <f>IF(L$11&gt;T,"",IF($A66&gt;L$12,"",IF(T=L$11,100,EXP(-IRTree!L67*h)*((M66+M67)/2+cc*h))))</f>
        <v/>
      </c>
      <c r="M66" s="3" t="str">
        <f>IF(M$11&gt;T,"",IF($A66&gt;M$12,"",IF(T=M$11,100,EXP(-IRTree!M67*h)*((N66+N67)/2+cc*h))))</f>
        <v/>
      </c>
      <c r="N66" s="3" t="str">
        <f>IF(N$11&gt;T,"",IF($A66&gt;N$12,"",IF(T=N$11,100,EXP(-IRTree!N67*h)*((O66+O67)/2+cc*h))))</f>
        <v/>
      </c>
      <c r="O66" s="3" t="str">
        <f>IF(O$11&gt;T,"",IF($A66&gt;O$12,"",IF(T=O$11,100,EXP(-IRTree!O67*h)*((P66+P67)/2+cc*h))))</f>
        <v/>
      </c>
      <c r="P66" s="3" t="str">
        <f>IF(P$11&gt;T,"",IF($A66&gt;P$12,"",IF(T=P$11,100,EXP(-IRTree!P67*h)*((Q66+Q67)/2+cc*h))))</f>
        <v/>
      </c>
      <c r="Q66" s="3" t="str">
        <f>IF(Q$11&gt;T,"",IF($A66&gt;Q$12,"",IF(T=Q$11,100,EXP(-IRTree!Q67*h)*((R66+R67)/2+cc*h))))</f>
        <v/>
      </c>
      <c r="R66" s="3" t="str">
        <f>IF(R$11&gt;T,"",IF($A66&gt;R$12,"",IF(T=R$11,100,EXP(-IRTree!R67*h)*((S66+S67)/2+cc*h))))</f>
        <v/>
      </c>
      <c r="S66" s="3" t="str">
        <f>IF(S$11&gt;T,"",IF($A66&gt;S$12,"",IF(T=S$11,100,EXP(-IRTree!S67*h)*((T66+T67)/2+cc*h))))</f>
        <v/>
      </c>
      <c r="T66" s="3" t="str">
        <f>IF(T$11&gt;T,"",IF($A66&gt;T$12,"",IF(T=T$11,100,EXP(-IRTree!T67*h)*((U66+U67)/2+cc*h))))</f>
        <v/>
      </c>
      <c r="U66" s="3" t="str">
        <f>IF(U$11&gt;T,"",IF($A66&gt;U$12,"",IF(T=U$11,100,EXP(-IRTree!U67*h)*((V66+V67)/2+cc*h))))</f>
        <v/>
      </c>
      <c r="V66" s="3" t="str">
        <f>IF(V$11&gt;T,"",IF($A66&gt;V$12,"",IF(T=V$11,100,EXP(-IRTree!V67*h)*((W66+W67)/2+cc*h))))</f>
        <v/>
      </c>
      <c r="W66" s="3" t="str">
        <f>IF(W$11&gt;T,"",IF($A66&gt;W$12,"",IF(T=W$11,100,EXP(-IRTree!W67*h)*((X66+X67)/2+cc*h))))</f>
        <v/>
      </c>
      <c r="X66" s="3" t="str">
        <f>IF(X$11&gt;T,"",IF($A66&gt;X$12,"",IF(T=X$11,100,EXP(-IRTree!X67*h)*((Y66+Y67)/2+cc*h))))</f>
        <v/>
      </c>
      <c r="Y66" s="3" t="str">
        <f>IF(Y$11&gt;T,"",IF($A66&gt;Y$12,"",IF(T=Y$11,100,EXP(-IRTree!Y67*h)*((Z66+Z67)/2+cc*h))))</f>
        <v/>
      </c>
      <c r="Z66" s="3" t="str">
        <f>IF(Z$11&gt;T,"",IF($A66&gt;Z$12,"",IF(T=Z$11,100,EXP(-IRTree!Z67*h)*((AA66+AA67)/2+cc*h))))</f>
        <v/>
      </c>
      <c r="AA66" s="3" t="str">
        <f>IF(AA$11&gt;T,"",IF($A66&gt;AA$12,"",IF(T=AA$11,100,EXP(-IRTree!AA67*h)*((AB66+AB67)/2+cc*h))))</f>
        <v/>
      </c>
      <c r="AB66" s="3" t="str">
        <f>IF(AB$11&gt;T,"",IF($A66&gt;AB$12,"",IF(T=AB$11,100,EXP(-IRTree!AB67*h)*((AC66+AC67)/2+cc*h))))</f>
        <v/>
      </c>
      <c r="AC66" s="3" t="str">
        <f>IF(AC$11&gt;T,"",IF($A66&gt;AC$12,"",IF(T=AC$11,100,EXP(-IRTree!AC67*h)*((AD66+AD67)/2+cc*h))))</f>
        <v/>
      </c>
      <c r="AD66" s="3" t="str">
        <f>IF(AD$11&gt;T,"",IF($A66&gt;AD$12,"",IF(T=AD$11,100,EXP(-IRTree!AD67*h)*((AE66+AE67)/2+cc*h))))</f>
        <v/>
      </c>
      <c r="AE66" s="3" t="str">
        <f>IF(AE$11&gt;T,"",IF($A66&gt;AE$12,"",IF(T=AE$11,100,EXP(-IRTree!AE67*h)*((AF66+AF67)/2+cc*h))))</f>
        <v/>
      </c>
      <c r="AF66" s="3" t="str">
        <f>IF(AF$11&gt;T,"",IF($A66&gt;AF$12,"",IF(T=AF$11,100,EXP(-IRTree!AF67*h)*((AG66+AG67)/2+cc*h))))</f>
        <v/>
      </c>
      <c r="AG66" s="3" t="str">
        <f>IF(AG$11&gt;T,"",IF($A66&gt;AG$12,"",IF(T=AG$11,100,EXP(-IRTree!AG67*h)*((AH66+AH67)/2+cc*h))))</f>
        <v/>
      </c>
      <c r="AH66" s="3" t="str">
        <f>IF(AH$11&gt;T,"",IF($A66&gt;AH$12,"",IF(T=AH$11,100,EXP(-IRTree!AH67*h)*((AI66+AI67)/2+cc*h))))</f>
        <v/>
      </c>
      <c r="AI66" s="3" t="str">
        <f>IF(AI$11&gt;T,"",IF($A66&gt;AI$12,"",IF(T=AI$11,100,EXP(-IRTree!AI67*h)*((AJ66+AJ67)/2+cc*h))))</f>
        <v/>
      </c>
      <c r="AJ66" s="3" t="str">
        <f>IF(AJ$11&gt;T,"",IF($A66&gt;AJ$12,"",IF(T=AJ$11,100,EXP(-IRTree!AJ67*h)*((AK66+AK67)/2+cc*h))))</f>
        <v/>
      </c>
      <c r="AK66" s="3" t="str">
        <f>IF(AK$11&gt;T,"",IF($A66&gt;AK$12,"",IF(T=AK$11,100,EXP(-IRTree!AK67*h)*((AL66+AL67)/2+cc*h))))</f>
        <v/>
      </c>
      <c r="AL66" s="3" t="str">
        <f>IF(AL$11&gt;T,"",IF($A66&gt;AL$12,"",IF(T=AL$11,100,EXP(-IRTree!AL67*h)*((AM66+AM67)/2+cc*h))))</f>
        <v/>
      </c>
      <c r="AM66" s="3" t="str">
        <f>IF(AM$11&gt;T,"",IF($A66&gt;AM$12,"",IF(T=AM$11,100,EXP(-IRTree!AM67*h)*((AN66+AN67)/2+cc*h))))</f>
        <v/>
      </c>
      <c r="AN66" s="3" t="str">
        <f>IF(AN$11&gt;T,"",IF($A66&gt;AN$12,"",IF(T=AN$11,100,EXP(-IRTree!AN67*h)*((AO66+AO67)/2+cc*h))))</f>
        <v/>
      </c>
      <c r="AO66" s="3" t="str">
        <f>IF(AO$11&gt;T,"",IF($A66&gt;AO$12,"",IF(T=AO$11,100,EXP(-IRTree!AO67*h)*((AP66+AP67)/2+cc*h))))</f>
        <v/>
      </c>
      <c r="AP66" s="3" t="str">
        <f>IF(AP$11&gt;T,"",IF($A66&gt;AP$12,"",IF(T=AP$11,100,EXP(-IRTree!AP67*h)*((AQ66+AQ67)/2+cc*h))))</f>
        <v/>
      </c>
      <c r="AQ66" s="3" t="str">
        <f>IF(AQ$11&gt;T,"",IF($A66&gt;AQ$12,"",IF(T=AQ$11,100,EXP(-IRTree!AQ67*h)*((AR66+AR67)/2+cc*h))))</f>
        <v/>
      </c>
      <c r="AR66" s="3" t="str">
        <f>IF(AR$11&gt;T,"",IF($A66&gt;AR$12,"",IF(T=AR$11,100,EXP(-IRTree!AR67*h)*((AS66+AS67)/2+cc*h))))</f>
        <v/>
      </c>
      <c r="AS66" s="3" t="str">
        <f>IF(AS$11&gt;T,"",IF($A66&gt;AS$12,"",IF(T=AS$11,100,EXP(-IRTree!AS67*h)*((AT66+AT67)/2+cc*h))))</f>
        <v/>
      </c>
      <c r="AT66" s="3" t="str">
        <f>IF(AT$11&gt;T,"",IF($A66&gt;AT$12,"",IF(T=AT$11,100,EXP(-IRTree!AT67*h)*((AU66+AU67)/2+cc*h))))</f>
        <v/>
      </c>
      <c r="AU66" s="3" t="str">
        <f>IF(AU$11&gt;T,"",IF($A66&gt;AU$12,"",IF(T=AU$11,100,EXP(-IRTree!AU67*h)*((AV66+AV67)/2+cc*h))))</f>
        <v/>
      </c>
      <c r="AV66" s="3" t="str">
        <f>IF(AV$11&gt;T,"",IF($A66&gt;AV$12,"",IF(T=AV$11,100,EXP(-IRTree!AV67*h)*((AW66+AW67)/2+cc*h))))</f>
        <v/>
      </c>
      <c r="AW66" s="3" t="str">
        <f>IF(AW$11&gt;T,"",IF($A66&gt;AW$12,"",IF(T=AW$11,100,EXP(-IRTree!AW67*h)*((AX66+AX67)/2+cc*h))))</f>
        <v/>
      </c>
      <c r="AX66" s="3" t="str">
        <f>IF(AX$11&gt;T,"",IF($A66&gt;AX$12,"",IF(T=AX$11,100,EXP(-IRTree!AX67*h)*((AY66+AY67)/2+cc*h))))</f>
        <v/>
      </c>
      <c r="AY66" s="3" t="str">
        <f>IF(AY$11&gt;T,"",IF($A66&gt;AY$12,"",IF(T=AY$11,100,EXP(-IRTree!AY67*h)*((AZ66+AZ67)/2+cc*h))))</f>
        <v/>
      </c>
      <c r="AZ66" s="3" t="str">
        <f>IF(AZ$11&gt;T,"",IF($A66&gt;AZ$12,"",IF(T=AZ$11,100,EXP(-IRTree!AZ67*h)*((BA66+BA67)/2+cc*h))))</f>
        <v/>
      </c>
      <c r="BA66" s="3" t="str">
        <f>IF(BA$11&gt;T,"",IF($A66&gt;BA$12,"",IF(T=BA$11,100,EXP(-IRTree!BA67*h)*((BB66+BB67)/2+cc*h))))</f>
        <v/>
      </c>
      <c r="BB66" s="3" t="str">
        <f>IF(BB$11&gt;T,"",IF($A66&gt;BB$12,"",IF(T=BB$11,100,EXP(-IRTree!BB67*h)*((BC66+BC67)/2+cc*h))))</f>
        <v/>
      </c>
      <c r="BC66" s="3" t="str">
        <f>IF(BC$11&gt;T,"",IF($A66&gt;BC$12,"",IF(T=BC$11,100,EXP(-IRTree!BC67*h)*((BD66+BD67)/2+cc*h))))</f>
        <v/>
      </c>
      <c r="BD66" s="3" t="str">
        <f>IF(BD$11&gt;T,"",IF($A66&gt;BD$12,"",IF(T=BD$11,100,EXP(-IRTree!BD67*h)*((BE66+BE67)/2+cc*h))))</f>
        <v/>
      </c>
      <c r="BE66" s="3" t="str">
        <f>IF(BE$11&gt;T,"",IF($A66&gt;BE$12,"",IF(T=BE$11,100,EXP(-IRTree!BE67*h)*((BF66+BF67)/2+cc*h))))</f>
        <v/>
      </c>
      <c r="BF66" s="3" t="str">
        <f>IF(BF$11&gt;T,"",IF($A66&gt;BF$12,"",IF(T=BF$11,100,EXP(-IRTree!BF67*h)*((BG66+BG67)/2+cc*h))))</f>
        <v/>
      </c>
      <c r="BG66" s="3" t="str">
        <f>IF(BG$11&gt;T,"",IF($A66&gt;BG$12,"",IF(T=BG$11,100,EXP(-IRTree!BG67*h)*((BH66+BH67)/2+cc*h))))</f>
        <v/>
      </c>
      <c r="BH66" s="3" t="str">
        <f>IF(BH$11&gt;T,"",IF($A66&gt;BH$12,"",IF(T=BH$11,100,EXP(-IRTree!BH67*h)*((BI66+BI67)/2+cc*h))))</f>
        <v/>
      </c>
      <c r="BI66" s="3" t="str">
        <f>IF(BI$11&gt;T,"",IF($A66&gt;BI$12,"",IF(T=BI$11,100,EXP(-IRTree!BI67*h)*((BJ66+BJ67)/2+cc*h))))</f>
        <v/>
      </c>
      <c r="BJ66" s="3" t="str">
        <f>IF(BJ$11&gt;T,"",IF($A66&gt;BJ$12,"",IF(T=BJ$11,100,EXP(-IRTree!BJ67*h)*((BK66+BK67)/2+cc*h))))</f>
        <v/>
      </c>
    </row>
    <row r="67" spans="1:62">
      <c r="A67" s="12">
        <f t="shared" si="2"/>
        <v>54</v>
      </c>
      <c r="B67" s="3" t="str">
        <f>IF(B$11&gt;T,"",IF($A67&gt;B$12,"",IF(T=B$11,100,EXP(-IRTree!B68*h)*((C67+C68)/2+cc*h))))</f>
        <v/>
      </c>
      <c r="C67" s="3" t="str">
        <f>IF(C$11&gt;T,"",IF($A67&gt;C$12,"",IF(T=C$11,100,EXP(-IRTree!C68*h)*((D67+D68)/2+cc*h))))</f>
        <v/>
      </c>
      <c r="D67" s="3" t="str">
        <f>IF(D$11&gt;T,"",IF($A67&gt;D$12,"",IF(T=D$11,100,EXP(-IRTree!D68*h)*((E67+E68)/2+cc*h))))</f>
        <v/>
      </c>
      <c r="E67" s="3" t="str">
        <f>IF(E$11&gt;T,"",IF($A67&gt;E$12,"",IF(T=E$11,100,EXP(-IRTree!E68*h)*((F67+F68)/2+cc*h))))</f>
        <v/>
      </c>
      <c r="F67" s="3" t="str">
        <f>IF(F$11&gt;T,"",IF($A67&gt;F$12,"",IF(T=F$11,100,EXP(-IRTree!F68*h)*((G67+G68)/2+cc*h))))</f>
        <v/>
      </c>
      <c r="G67" s="3" t="str">
        <f>IF(G$11&gt;T,"",IF($A67&gt;G$12,"",IF(T=G$11,100,EXP(-IRTree!G68*h)*((H67+H68)/2+cc*h))))</f>
        <v/>
      </c>
      <c r="H67" s="3" t="str">
        <f>IF(H$11&gt;T,"",IF($A67&gt;H$12,"",IF(T=H$11,100,EXP(-IRTree!H68*h)*((I67+I68)/2+cc*h))))</f>
        <v/>
      </c>
      <c r="I67" s="3" t="str">
        <f>IF(I$11&gt;T,"",IF($A67&gt;I$12,"",IF(T=I$11,100,EXP(-IRTree!I68*h)*((J67+J68)/2+cc*h))))</f>
        <v/>
      </c>
      <c r="J67" s="3" t="str">
        <f>IF(J$11&gt;T,"",IF($A67&gt;J$12,"",IF(T=J$11,100,EXP(-IRTree!J68*h)*((K67+K68)/2+cc*h))))</f>
        <v/>
      </c>
      <c r="K67" s="3" t="str">
        <f>IF(K$11&gt;T,"",IF($A67&gt;K$12,"",IF(T=K$11,100,EXP(-IRTree!K68*h)*((L67+L68)/2+cc*h))))</f>
        <v/>
      </c>
      <c r="L67" s="3" t="str">
        <f>IF(L$11&gt;T,"",IF($A67&gt;L$12,"",IF(T=L$11,100,EXP(-IRTree!L68*h)*((M67+M68)/2+cc*h))))</f>
        <v/>
      </c>
      <c r="M67" s="3" t="str">
        <f>IF(M$11&gt;T,"",IF($A67&gt;M$12,"",IF(T=M$11,100,EXP(-IRTree!M68*h)*((N67+N68)/2+cc*h))))</f>
        <v/>
      </c>
      <c r="N67" s="3" t="str">
        <f>IF(N$11&gt;T,"",IF($A67&gt;N$12,"",IF(T=N$11,100,EXP(-IRTree!N68*h)*((O67+O68)/2+cc*h))))</f>
        <v/>
      </c>
      <c r="O67" s="3" t="str">
        <f>IF(O$11&gt;T,"",IF($A67&gt;O$12,"",IF(T=O$11,100,EXP(-IRTree!O68*h)*((P67+P68)/2+cc*h))))</f>
        <v/>
      </c>
      <c r="P67" s="3" t="str">
        <f>IF(P$11&gt;T,"",IF($A67&gt;P$12,"",IF(T=P$11,100,EXP(-IRTree!P68*h)*((Q67+Q68)/2+cc*h))))</f>
        <v/>
      </c>
      <c r="Q67" s="3" t="str">
        <f>IF(Q$11&gt;T,"",IF($A67&gt;Q$12,"",IF(T=Q$11,100,EXP(-IRTree!Q68*h)*((R67+R68)/2+cc*h))))</f>
        <v/>
      </c>
      <c r="R67" s="3" t="str">
        <f>IF(R$11&gt;T,"",IF($A67&gt;R$12,"",IF(T=R$11,100,EXP(-IRTree!R68*h)*((S67+S68)/2+cc*h))))</f>
        <v/>
      </c>
      <c r="S67" s="3" t="str">
        <f>IF(S$11&gt;T,"",IF($A67&gt;S$12,"",IF(T=S$11,100,EXP(-IRTree!S68*h)*((T67+T68)/2+cc*h))))</f>
        <v/>
      </c>
      <c r="T67" s="3" t="str">
        <f>IF(T$11&gt;T,"",IF($A67&gt;T$12,"",IF(T=T$11,100,EXP(-IRTree!T68*h)*((U67+U68)/2+cc*h))))</f>
        <v/>
      </c>
      <c r="U67" s="3" t="str">
        <f>IF(U$11&gt;T,"",IF($A67&gt;U$12,"",IF(T=U$11,100,EXP(-IRTree!U68*h)*((V67+V68)/2+cc*h))))</f>
        <v/>
      </c>
      <c r="V67" s="3" t="str">
        <f>IF(V$11&gt;T,"",IF($A67&gt;V$12,"",IF(T=V$11,100,EXP(-IRTree!V68*h)*((W67+W68)/2+cc*h))))</f>
        <v/>
      </c>
      <c r="W67" s="3" t="str">
        <f>IF(W$11&gt;T,"",IF($A67&gt;W$12,"",IF(T=W$11,100,EXP(-IRTree!W68*h)*((X67+X68)/2+cc*h))))</f>
        <v/>
      </c>
      <c r="X67" s="3" t="str">
        <f>IF(X$11&gt;T,"",IF($A67&gt;X$12,"",IF(T=X$11,100,EXP(-IRTree!X68*h)*((Y67+Y68)/2+cc*h))))</f>
        <v/>
      </c>
      <c r="Y67" s="3" t="str">
        <f>IF(Y$11&gt;T,"",IF($A67&gt;Y$12,"",IF(T=Y$11,100,EXP(-IRTree!Y68*h)*((Z67+Z68)/2+cc*h))))</f>
        <v/>
      </c>
      <c r="Z67" s="3" t="str">
        <f>IF(Z$11&gt;T,"",IF($A67&gt;Z$12,"",IF(T=Z$11,100,EXP(-IRTree!Z68*h)*((AA67+AA68)/2+cc*h))))</f>
        <v/>
      </c>
      <c r="AA67" s="3" t="str">
        <f>IF(AA$11&gt;T,"",IF($A67&gt;AA$12,"",IF(T=AA$11,100,EXP(-IRTree!AA68*h)*((AB67+AB68)/2+cc*h))))</f>
        <v/>
      </c>
      <c r="AB67" s="3" t="str">
        <f>IF(AB$11&gt;T,"",IF($A67&gt;AB$12,"",IF(T=AB$11,100,EXP(-IRTree!AB68*h)*((AC67+AC68)/2+cc*h))))</f>
        <v/>
      </c>
      <c r="AC67" s="3" t="str">
        <f>IF(AC$11&gt;T,"",IF($A67&gt;AC$12,"",IF(T=AC$11,100,EXP(-IRTree!AC68*h)*((AD67+AD68)/2+cc*h))))</f>
        <v/>
      </c>
      <c r="AD67" s="3" t="str">
        <f>IF(AD$11&gt;T,"",IF($A67&gt;AD$12,"",IF(T=AD$11,100,EXP(-IRTree!AD68*h)*((AE67+AE68)/2+cc*h))))</f>
        <v/>
      </c>
      <c r="AE67" s="3" t="str">
        <f>IF(AE$11&gt;T,"",IF($A67&gt;AE$12,"",IF(T=AE$11,100,EXP(-IRTree!AE68*h)*((AF67+AF68)/2+cc*h))))</f>
        <v/>
      </c>
      <c r="AF67" s="3" t="str">
        <f>IF(AF$11&gt;T,"",IF($A67&gt;AF$12,"",IF(T=AF$11,100,EXP(-IRTree!AF68*h)*((AG67+AG68)/2+cc*h))))</f>
        <v/>
      </c>
      <c r="AG67" s="3" t="str">
        <f>IF(AG$11&gt;T,"",IF($A67&gt;AG$12,"",IF(T=AG$11,100,EXP(-IRTree!AG68*h)*((AH67+AH68)/2+cc*h))))</f>
        <v/>
      </c>
      <c r="AH67" s="3" t="str">
        <f>IF(AH$11&gt;T,"",IF($A67&gt;AH$12,"",IF(T=AH$11,100,EXP(-IRTree!AH68*h)*((AI67+AI68)/2+cc*h))))</f>
        <v/>
      </c>
      <c r="AI67" s="3" t="str">
        <f>IF(AI$11&gt;T,"",IF($A67&gt;AI$12,"",IF(T=AI$11,100,EXP(-IRTree!AI68*h)*((AJ67+AJ68)/2+cc*h))))</f>
        <v/>
      </c>
      <c r="AJ67" s="3" t="str">
        <f>IF(AJ$11&gt;T,"",IF($A67&gt;AJ$12,"",IF(T=AJ$11,100,EXP(-IRTree!AJ68*h)*((AK67+AK68)/2+cc*h))))</f>
        <v/>
      </c>
      <c r="AK67" s="3" t="str">
        <f>IF(AK$11&gt;T,"",IF($A67&gt;AK$12,"",IF(T=AK$11,100,EXP(-IRTree!AK68*h)*((AL67+AL68)/2+cc*h))))</f>
        <v/>
      </c>
      <c r="AL67" s="3" t="str">
        <f>IF(AL$11&gt;T,"",IF($A67&gt;AL$12,"",IF(T=AL$11,100,EXP(-IRTree!AL68*h)*((AM67+AM68)/2+cc*h))))</f>
        <v/>
      </c>
      <c r="AM67" s="3" t="str">
        <f>IF(AM$11&gt;T,"",IF($A67&gt;AM$12,"",IF(T=AM$11,100,EXP(-IRTree!AM68*h)*((AN67+AN68)/2+cc*h))))</f>
        <v/>
      </c>
      <c r="AN67" s="3" t="str">
        <f>IF(AN$11&gt;T,"",IF($A67&gt;AN$12,"",IF(T=AN$11,100,EXP(-IRTree!AN68*h)*((AO67+AO68)/2+cc*h))))</f>
        <v/>
      </c>
      <c r="AO67" s="3" t="str">
        <f>IF(AO$11&gt;T,"",IF($A67&gt;AO$12,"",IF(T=AO$11,100,EXP(-IRTree!AO68*h)*((AP67+AP68)/2+cc*h))))</f>
        <v/>
      </c>
      <c r="AP67" s="3" t="str">
        <f>IF(AP$11&gt;T,"",IF($A67&gt;AP$12,"",IF(T=AP$11,100,EXP(-IRTree!AP68*h)*((AQ67+AQ68)/2+cc*h))))</f>
        <v/>
      </c>
      <c r="AQ67" s="3" t="str">
        <f>IF(AQ$11&gt;T,"",IF($A67&gt;AQ$12,"",IF(T=AQ$11,100,EXP(-IRTree!AQ68*h)*((AR67+AR68)/2+cc*h))))</f>
        <v/>
      </c>
      <c r="AR67" s="3" t="str">
        <f>IF(AR$11&gt;T,"",IF($A67&gt;AR$12,"",IF(T=AR$11,100,EXP(-IRTree!AR68*h)*((AS67+AS68)/2+cc*h))))</f>
        <v/>
      </c>
      <c r="AS67" s="3" t="str">
        <f>IF(AS$11&gt;T,"",IF($A67&gt;AS$12,"",IF(T=AS$11,100,EXP(-IRTree!AS68*h)*((AT67+AT68)/2+cc*h))))</f>
        <v/>
      </c>
      <c r="AT67" s="3" t="str">
        <f>IF(AT$11&gt;T,"",IF($A67&gt;AT$12,"",IF(T=AT$11,100,EXP(-IRTree!AT68*h)*((AU67+AU68)/2+cc*h))))</f>
        <v/>
      </c>
      <c r="AU67" s="3" t="str">
        <f>IF(AU$11&gt;T,"",IF($A67&gt;AU$12,"",IF(T=AU$11,100,EXP(-IRTree!AU68*h)*((AV67+AV68)/2+cc*h))))</f>
        <v/>
      </c>
      <c r="AV67" s="3" t="str">
        <f>IF(AV$11&gt;T,"",IF($A67&gt;AV$12,"",IF(T=AV$11,100,EXP(-IRTree!AV68*h)*((AW67+AW68)/2+cc*h))))</f>
        <v/>
      </c>
      <c r="AW67" s="3" t="str">
        <f>IF(AW$11&gt;T,"",IF($A67&gt;AW$12,"",IF(T=AW$11,100,EXP(-IRTree!AW68*h)*((AX67+AX68)/2+cc*h))))</f>
        <v/>
      </c>
      <c r="AX67" s="3" t="str">
        <f>IF(AX$11&gt;T,"",IF($A67&gt;AX$12,"",IF(T=AX$11,100,EXP(-IRTree!AX68*h)*((AY67+AY68)/2+cc*h))))</f>
        <v/>
      </c>
      <c r="AY67" s="3" t="str">
        <f>IF(AY$11&gt;T,"",IF($A67&gt;AY$12,"",IF(T=AY$11,100,EXP(-IRTree!AY68*h)*((AZ67+AZ68)/2+cc*h))))</f>
        <v/>
      </c>
      <c r="AZ67" s="3" t="str">
        <f>IF(AZ$11&gt;T,"",IF($A67&gt;AZ$12,"",IF(T=AZ$11,100,EXP(-IRTree!AZ68*h)*((BA67+BA68)/2+cc*h))))</f>
        <v/>
      </c>
      <c r="BA67" s="3" t="str">
        <f>IF(BA$11&gt;T,"",IF($A67&gt;BA$12,"",IF(T=BA$11,100,EXP(-IRTree!BA68*h)*((BB67+BB68)/2+cc*h))))</f>
        <v/>
      </c>
      <c r="BB67" s="3" t="str">
        <f>IF(BB$11&gt;T,"",IF($A67&gt;BB$12,"",IF(T=BB$11,100,EXP(-IRTree!BB68*h)*((BC67+BC68)/2+cc*h))))</f>
        <v/>
      </c>
      <c r="BC67" s="3" t="str">
        <f>IF(BC$11&gt;T,"",IF($A67&gt;BC$12,"",IF(T=BC$11,100,EXP(-IRTree!BC68*h)*((BD67+BD68)/2+cc*h))))</f>
        <v/>
      </c>
      <c r="BD67" s="3" t="str">
        <f>IF(BD$11&gt;T,"",IF($A67&gt;BD$12,"",IF(T=BD$11,100,EXP(-IRTree!BD68*h)*((BE67+BE68)/2+cc*h))))</f>
        <v/>
      </c>
      <c r="BE67" s="3" t="str">
        <f>IF(BE$11&gt;T,"",IF($A67&gt;BE$12,"",IF(T=BE$11,100,EXP(-IRTree!BE68*h)*((BF67+BF68)/2+cc*h))))</f>
        <v/>
      </c>
      <c r="BF67" s="3" t="str">
        <f>IF(BF$11&gt;T,"",IF($A67&gt;BF$12,"",IF(T=BF$11,100,EXP(-IRTree!BF68*h)*((BG67+BG68)/2+cc*h))))</f>
        <v/>
      </c>
      <c r="BG67" s="3" t="str">
        <f>IF(BG$11&gt;T,"",IF($A67&gt;BG$12,"",IF(T=BG$11,100,EXP(-IRTree!BG68*h)*((BH67+BH68)/2+cc*h))))</f>
        <v/>
      </c>
      <c r="BH67" s="3" t="str">
        <f>IF(BH$11&gt;T,"",IF($A67&gt;BH$12,"",IF(T=BH$11,100,EXP(-IRTree!BH68*h)*((BI67+BI68)/2+cc*h))))</f>
        <v/>
      </c>
      <c r="BI67" s="3" t="str">
        <f>IF(BI$11&gt;T,"",IF($A67&gt;BI$12,"",IF(T=BI$11,100,EXP(-IRTree!BI68*h)*((BJ67+BJ68)/2+cc*h))))</f>
        <v/>
      </c>
      <c r="BJ67" s="3" t="str">
        <f>IF(BJ$11&gt;T,"",IF($A67&gt;BJ$12,"",IF(T=BJ$11,100,EXP(-IRTree!BJ68*h)*((BK67+BK68)/2+cc*h))))</f>
        <v/>
      </c>
    </row>
    <row r="68" spans="1:62">
      <c r="A68" s="12">
        <f t="shared" si="2"/>
        <v>55</v>
      </c>
      <c r="B68" s="3" t="str">
        <f>IF(B$11&gt;T,"",IF($A68&gt;B$12,"",IF(T=B$11,100,EXP(-IRTree!B69*h)*((C68+C69)/2+cc*h))))</f>
        <v/>
      </c>
      <c r="C68" s="3" t="str">
        <f>IF(C$11&gt;T,"",IF($A68&gt;C$12,"",IF(T=C$11,100,EXP(-IRTree!C69*h)*((D68+D69)/2+cc*h))))</f>
        <v/>
      </c>
      <c r="D68" s="3" t="str">
        <f>IF(D$11&gt;T,"",IF($A68&gt;D$12,"",IF(T=D$11,100,EXP(-IRTree!D69*h)*((E68+E69)/2+cc*h))))</f>
        <v/>
      </c>
      <c r="E68" s="3" t="str">
        <f>IF(E$11&gt;T,"",IF($A68&gt;E$12,"",IF(T=E$11,100,EXP(-IRTree!E69*h)*((F68+F69)/2+cc*h))))</f>
        <v/>
      </c>
      <c r="F68" s="3" t="str">
        <f>IF(F$11&gt;T,"",IF($A68&gt;F$12,"",IF(T=F$11,100,EXP(-IRTree!F69*h)*((G68+G69)/2+cc*h))))</f>
        <v/>
      </c>
      <c r="G68" s="3" t="str">
        <f>IF(G$11&gt;T,"",IF($A68&gt;G$12,"",IF(T=G$11,100,EXP(-IRTree!G69*h)*((H68+H69)/2+cc*h))))</f>
        <v/>
      </c>
      <c r="H68" s="3" t="str">
        <f>IF(H$11&gt;T,"",IF($A68&gt;H$12,"",IF(T=H$11,100,EXP(-IRTree!H69*h)*((I68+I69)/2+cc*h))))</f>
        <v/>
      </c>
      <c r="I68" s="3" t="str">
        <f>IF(I$11&gt;T,"",IF($A68&gt;I$12,"",IF(T=I$11,100,EXP(-IRTree!I69*h)*((J68+J69)/2+cc*h))))</f>
        <v/>
      </c>
      <c r="J68" s="3" t="str">
        <f>IF(J$11&gt;T,"",IF($A68&gt;J$12,"",IF(T=J$11,100,EXP(-IRTree!J69*h)*((K68+K69)/2+cc*h))))</f>
        <v/>
      </c>
      <c r="K68" s="3" t="str">
        <f>IF(K$11&gt;T,"",IF($A68&gt;K$12,"",IF(T=K$11,100,EXP(-IRTree!K69*h)*((L68+L69)/2+cc*h))))</f>
        <v/>
      </c>
      <c r="L68" s="3" t="str">
        <f>IF(L$11&gt;T,"",IF($A68&gt;L$12,"",IF(T=L$11,100,EXP(-IRTree!L69*h)*((M68+M69)/2+cc*h))))</f>
        <v/>
      </c>
      <c r="M68" s="3" t="str">
        <f>IF(M$11&gt;T,"",IF($A68&gt;M$12,"",IF(T=M$11,100,EXP(-IRTree!M69*h)*((N68+N69)/2+cc*h))))</f>
        <v/>
      </c>
      <c r="N68" s="3" t="str">
        <f>IF(N$11&gt;T,"",IF($A68&gt;N$12,"",IF(T=N$11,100,EXP(-IRTree!N69*h)*((O68+O69)/2+cc*h))))</f>
        <v/>
      </c>
      <c r="O68" s="3" t="str">
        <f>IF(O$11&gt;T,"",IF($A68&gt;O$12,"",IF(T=O$11,100,EXP(-IRTree!O69*h)*((P68+P69)/2+cc*h))))</f>
        <v/>
      </c>
      <c r="P68" s="3" t="str">
        <f>IF(P$11&gt;T,"",IF($A68&gt;P$12,"",IF(T=P$11,100,EXP(-IRTree!P69*h)*((Q68+Q69)/2+cc*h))))</f>
        <v/>
      </c>
      <c r="Q68" s="3" t="str">
        <f>IF(Q$11&gt;T,"",IF($A68&gt;Q$12,"",IF(T=Q$11,100,EXP(-IRTree!Q69*h)*((R68+R69)/2+cc*h))))</f>
        <v/>
      </c>
      <c r="R68" s="3" t="str">
        <f>IF(R$11&gt;T,"",IF($A68&gt;R$12,"",IF(T=R$11,100,EXP(-IRTree!R69*h)*((S68+S69)/2+cc*h))))</f>
        <v/>
      </c>
      <c r="S68" s="3" t="str">
        <f>IF(S$11&gt;T,"",IF($A68&gt;S$12,"",IF(T=S$11,100,EXP(-IRTree!S69*h)*((T68+T69)/2+cc*h))))</f>
        <v/>
      </c>
      <c r="T68" s="3" t="str">
        <f>IF(T$11&gt;T,"",IF($A68&gt;T$12,"",IF(T=T$11,100,EXP(-IRTree!T69*h)*((U68+U69)/2+cc*h))))</f>
        <v/>
      </c>
      <c r="U68" s="3" t="str">
        <f>IF(U$11&gt;T,"",IF($A68&gt;U$12,"",IF(T=U$11,100,EXP(-IRTree!U69*h)*((V68+V69)/2+cc*h))))</f>
        <v/>
      </c>
      <c r="V68" s="3" t="str">
        <f>IF(V$11&gt;T,"",IF($A68&gt;V$12,"",IF(T=V$11,100,EXP(-IRTree!V69*h)*((W68+W69)/2+cc*h))))</f>
        <v/>
      </c>
      <c r="W68" s="3" t="str">
        <f>IF(W$11&gt;T,"",IF($A68&gt;W$12,"",IF(T=W$11,100,EXP(-IRTree!W69*h)*((X68+X69)/2+cc*h))))</f>
        <v/>
      </c>
      <c r="X68" s="3" t="str">
        <f>IF(X$11&gt;T,"",IF($A68&gt;X$12,"",IF(T=X$11,100,EXP(-IRTree!X69*h)*((Y68+Y69)/2+cc*h))))</f>
        <v/>
      </c>
      <c r="Y68" s="3" t="str">
        <f>IF(Y$11&gt;T,"",IF($A68&gt;Y$12,"",IF(T=Y$11,100,EXP(-IRTree!Y69*h)*((Z68+Z69)/2+cc*h))))</f>
        <v/>
      </c>
      <c r="Z68" s="3" t="str">
        <f>IF(Z$11&gt;T,"",IF($A68&gt;Z$12,"",IF(T=Z$11,100,EXP(-IRTree!Z69*h)*((AA68+AA69)/2+cc*h))))</f>
        <v/>
      </c>
      <c r="AA68" s="3" t="str">
        <f>IF(AA$11&gt;T,"",IF($A68&gt;AA$12,"",IF(T=AA$11,100,EXP(-IRTree!AA69*h)*((AB68+AB69)/2+cc*h))))</f>
        <v/>
      </c>
      <c r="AB68" s="3" t="str">
        <f>IF(AB$11&gt;T,"",IF($A68&gt;AB$12,"",IF(T=AB$11,100,EXP(-IRTree!AB69*h)*((AC68+AC69)/2+cc*h))))</f>
        <v/>
      </c>
      <c r="AC68" s="3" t="str">
        <f>IF(AC$11&gt;T,"",IF($A68&gt;AC$12,"",IF(T=AC$11,100,EXP(-IRTree!AC69*h)*((AD68+AD69)/2+cc*h))))</f>
        <v/>
      </c>
      <c r="AD68" s="3" t="str">
        <f>IF(AD$11&gt;T,"",IF($A68&gt;AD$12,"",IF(T=AD$11,100,EXP(-IRTree!AD69*h)*((AE68+AE69)/2+cc*h))))</f>
        <v/>
      </c>
      <c r="AE68" s="3" t="str">
        <f>IF(AE$11&gt;T,"",IF($A68&gt;AE$12,"",IF(T=AE$11,100,EXP(-IRTree!AE69*h)*((AF68+AF69)/2+cc*h))))</f>
        <v/>
      </c>
      <c r="AF68" s="3" t="str">
        <f>IF(AF$11&gt;T,"",IF($A68&gt;AF$12,"",IF(T=AF$11,100,EXP(-IRTree!AF69*h)*((AG68+AG69)/2+cc*h))))</f>
        <v/>
      </c>
      <c r="AG68" s="3" t="str">
        <f>IF(AG$11&gt;T,"",IF($A68&gt;AG$12,"",IF(T=AG$11,100,EXP(-IRTree!AG69*h)*((AH68+AH69)/2+cc*h))))</f>
        <v/>
      </c>
      <c r="AH68" s="3" t="str">
        <f>IF(AH$11&gt;T,"",IF($A68&gt;AH$12,"",IF(T=AH$11,100,EXP(-IRTree!AH69*h)*((AI68+AI69)/2+cc*h))))</f>
        <v/>
      </c>
      <c r="AI68" s="3" t="str">
        <f>IF(AI$11&gt;T,"",IF($A68&gt;AI$12,"",IF(T=AI$11,100,EXP(-IRTree!AI69*h)*((AJ68+AJ69)/2+cc*h))))</f>
        <v/>
      </c>
      <c r="AJ68" s="3" t="str">
        <f>IF(AJ$11&gt;T,"",IF($A68&gt;AJ$12,"",IF(T=AJ$11,100,EXP(-IRTree!AJ69*h)*((AK68+AK69)/2+cc*h))))</f>
        <v/>
      </c>
      <c r="AK68" s="3" t="str">
        <f>IF(AK$11&gt;T,"",IF($A68&gt;AK$12,"",IF(T=AK$11,100,EXP(-IRTree!AK69*h)*((AL68+AL69)/2+cc*h))))</f>
        <v/>
      </c>
      <c r="AL68" s="3" t="str">
        <f>IF(AL$11&gt;T,"",IF($A68&gt;AL$12,"",IF(T=AL$11,100,EXP(-IRTree!AL69*h)*((AM68+AM69)/2+cc*h))))</f>
        <v/>
      </c>
      <c r="AM68" s="3" t="str">
        <f>IF(AM$11&gt;T,"",IF($A68&gt;AM$12,"",IF(T=AM$11,100,EXP(-IRTree!AM69*h)*((AN68+AN69)/2+cc*h))))</f>
        <v/>
      </c>
      <c r="AN68" s="3" t="str">
        <f>IF(AN$11&gt;T,"",IF($A68&gt;AN$12,"",IF(T=AN$11,100,EXP(-IRTree!AN69*h)*((AO68+AO69)/2+cc*h))))</f>
        <v/>
      </c>
      <c r="AO68" s="3" t="str">
        <f>IF(AO$11&gt;T,"",IF($A68&gt;AO$12,"",IF(T=AO$11,100,EXP(-IRTree!AO69*h)*((AP68+AP69)/2+cc*h))))</f>
        <v/>
      </c>
      <c r="AP68" s="3" t="str">
        <f>IF(AP$11&gt;T,"",IF($A68&gt;AP$12,"",IF(T=AP$11,100,EXP(-IRTree!AP69*h)*((AQ68+AQ69)/2+cc*h))))</f>
        <v/>
      </c>
      <c r="AQ68" s="3" t="str">
        <f>IF(AQ$11&gt;T,"",IF($A68&gt;AQ$12,"",IF(T=AQ$11,100,EXP(-IRTree!AQ69*h)*((AR68+AR69)/2+cc*h))))</f>
        <v/>
      </c>
      <c r="AR68" s="3" t="str">
        <f>IF(AR$11&gt;T,"",IF($A68&gt;AR$12,"",IF(T=AR$11,100,EXP(-IRTree!AR69*h)*((AS68+AS69)/2+cc*h))))</f>
        <v/>
      </c>
      <c r="AS68" s="3" t="str">
        <f>IF(AS$11&gt;T,"",IF($A68&gt;AS$12,"",IF(T=AS$11,100,EXP(-IRTree!AS69*h)*((AT68+AT69)/2+cc*h))))</f>
        <v/>
      </c>
      <c r="AT68" s="3" t="str">
        <f>IF(AT$11&gt;T,"",IF($A68&gt;AT$12,"",IF(T=AT$11,100,EXP(-IRTree!AT69*h)*((AU68+AU69)/2+cc*h))))</f>
        <v/>
      </c>
      <c r="AU68" s="3" t="str">
        <f>IF(AU$11&gt;T,"",IF($A68&gt;AU$12,"",IF(T=AU$11,100,EXP(-IRTree!AU69*h)*((AV68+AV69)/2+cc*h))))</f>
        <v/>
      </c>
      <c r="AV68" s="3" t="str">
        <f>IF(AV$11&gt;T,"",IF($A68&gt;AV$12,"",IF(T=AV$11,100,EXP(-IRTree!AV69*h)*((AW68+AW69)/2+cc*h))))</f>
        <v/>
      </c>
      <c r="AW68" s="3" t="str">
        <f>IF(AW$11&gt;T,"",IF($A68&gt;AW$12,"",IF(T=AW$11,100,EXP(-IRTree!AW69*h)*((AX68+AX69)/2+cc*h))))</f>
        <v/>
      </c>
      <c r="AX68" s="3" t="str">
        <f>IF(AX$11&gt;T,"",IF($A68&gt;AX$12,"",IF(T=AX$11,100,EXP(-IRTree!AX69*h)*((AY68+AY69)/2+cc*h))))</f>
        <v/>
      </c>
      <c r="AY68" s="3" t="str">
        <f>IF(AY$11&gt;T,"",IF($A68&gt;AY$12,"",IF(T=AY$11,100,EXP(-IRTree!AY69*h)*((AZ68+AZ69)/2+cc*h))))</f>
        <v/>
      </c>
      <c r="AZ68" s="3" t="str">
        <f>IF(AZ$11&gt;T,"",IF($A68&gt;AZ$12,"",IF(T=AZ$11,100,EXP(-IRTree!AZ69*h)*((BA68+BA69)/2+cc*h))))</f>
        <v/>
      </c>
      <c r="BA68" s="3" t="str">
        <f>IF(BA$11&gt;T,"",IF($A68&gt;BA$12,"",IF(T=BA$11,100,EXP(-IRTree!BA69*h)*((BB68+BB69)/2+cc*h))))</f>
        <v/>
      </c>
      <c r="BB68" s="3" t="str">
        <f>IF(BB$11&gt;T,"",IF($A68&gt;BB$12,"",IF(T=BB$11,100,EXP(-IRTree!BB69*h)*((BC68+BC69)/2+cc*h))))</f>
        <v/>
      </c>
      <c r="BC68" s="3" t="str">
        <f>IF(BC$11&gt;T,"",IF($A68&gt;BC$12,"",IF(T=BC$11,100,EXP(-IRTree!BC69*h)*((BD68+BD69)/2+cc*h))))</f>
        <v/>
      </c>
      <c r="BD68" s="3" t="str">
        <f>IF(BD$11&gt;T,"",IF($A68&gt;BD$12,"",IF(T=BD$11,100,EXP(-IRTree!BD69*h)*((BE68+BE69)/2+cc*h))))</f>
        <v/>
      </c>
      <c r="BE68" s="3" t="str">
        <f>IF(BE$11&gt;T,"",IF($A68&gt;BE$12,"",IF(T=BE$11,100,EXP(-IRTree!BE69*h)*((BF68+BF69)/2+cc*h))))</f>
        <v/>
      </c>
      <c r="BF68" s="3" t="str">
        <f>IF(BF$11&gt;T,"",IF($A68&gt;BF$12,"",IF(T=BF$11,100,EXP(-IRTree!BF69*h)*((BG68+BG69)/2+cc*h))))</f>
        <v/>
      </c>
      <c r="BG68" s="3" t="str">
        <f>IF(BG$11&gt;T,"",IF($A68&gt;BG$12,"",IF(T=BG$11,100,EXP(-IRTree!BG69*h)*((BH68+BH69)/2+cc*h))))</f>
        <v/>
      </c>
      <c r="BH68" s="3" t="str">
        <f>IF(BH$11&gt;T,"",IF($A68&gt;BH$12,"",IF(T=BH$11,100,EXP(-IRTree!BH69*h)*((BI68+BI69)/2+cc*h))))</f>
        <v/>
      </c>
      <c r="BI68" s="3" t="str">
        <f>IF(BI$11&gt;T,"",IF($A68&gt;BI$12,"",IF(T=BI$11,100,EXP(-IRTree!BI69*h)*((BJ68+BJ69)/2+cc*h))))</f>
        <v/>
      </c>
      <c r="BJ68" s="3" t="str">
        <f>IF(BJ$11&gt;T,"",IF($A68&gt;BJ$12,"",IF(T=BJ$11,100,EXP(-IRTree!BJ69*h)*((BK68+BK69)/2+cc*h))))</f>
        <v/>
      </c>
    </row>
    <row r="69" spans="1:62">
      <c r="A69" s="12">
        <f t="shared" si="2"/>
        <v>56</v>
      </c>
      <c r="B69" s="3" t="str">
        <f>IF(B$11&gt;T,"",IF($A69&gt;B$12,"",IF(T=B$11,100,EXP(-IRTree!B70*h)*((C69+C70)/2+cc*h))))</f>
        <v/>
      </c>
      <c r="C69" s="3" t="str">
        <f>IF(C$11&gt;T,"",IF($A69&gt;C$12,"",IF(T=C$11,100,EXP(-IRTree!C70*h)*((D69+D70)/2+cc*h))))</f>
        <v/>
      </c>
      <c r="D69" s="3" t="str">
        <f>IF(D$11&gt;T,"",IF($A69&gt;D$12,"",IF(T=D$11,100,EXP(-IRTree!D70*h)*((E69+E70)/2+cc*h))))</f>
        <v/>
      </c>
      <c r="E69" s="3" t="str">
        <f>IF(E$11&gt;T,"",IF($A69&gt;E$12,"",IF(T=E$11,100,EXP(-IRTree!E70*h)*((F69+F70)/2+cc*h))))</f>
        <v/>
      </c>
      <c r="F69" s="3" t="str">
        <f>IF(F$11&gt;T,"",IF($A69&gt;F$12,"",IF(T=F$11,100,EXP(-IRTree!F70*h)*((G69+G70)/2+cc*h))))</f>
        <v/>
      </c>
      <c r="G69" s="3" t="str">
        <f>IF(G$11&gt;T,"",IF($A69&gt;G$12,"",IF(T=G$11,100,EXP(-IRTree!G70*h)*((H69+H70)/2+cc*h))))</f>
        <v/>
      </c>
      <c r="H69" s="3" t="str">
        <f>IF(H$11&gt;T,"",IF($A69&gt;H$12,"",IF(T=H$11,100,EXP(-IRTree!H70*h)*((I69+I70)/2+cc*h))))</f>
        <v/>
      </c>
      <c r="I69" s="3" t="str">
        <f>IF(I$11&gt;T,"",IF($A69&gt;I$12,"",IF(T=I$11,100,EXP(-IRTree!I70*h)*((J69+J70)/2+cc*h))))</f>
        <v/>
      </c>
      <c r="J69" s="3" t="str">
        <f>IF(J$11&gt;T,"",IF($A69&gt;J$12,"",IF(T=J$11,100,EXP(-IRTree!J70*h)*((K69+K70)/2+cc*h))))</f>
        <v/>
      </c>
      <c r="K69" s="3" t="str">
        <f>IF(K$11&gt;T,"",IF($A69&gt;K$12,"",IF(T=K$11,100,EXP(-IRTree!K70*h)*((L69+L70)/2+cc*h))))</f>
        <v/>
      </c>
      <c r="L69" s="3" t="str">
        <f>IF(L$11&gt;T,"",IF($A69&gt;L$12,"",IF(T=L$11,100,EXP(-IRTree!L70*h)*((M69+M70)/2+cc*h))))</f>
        <v/>
      </c>
      <c r="M69" s="3" t="str">
        <f>IF(M$11&gt;T,"",IF($A69&gt;M$12,"",IF(T=M$11,100,EXP(-IRTree!M70*h)*((N69+N70)/2+cc*h))))</f>
        <v/>
      </c>
      <c r="N69" s="3" t="str">
        <f>IF(N$11&gt;T,"",IF($A69&gt;N$12,"",IF(T=N$11,100,EXP(-IRTree!N70*h)*((O69+O70)/2+cc*h))))</f>
        <v/>
      </c>
      <c r="O69" s="3" t="str">
        <f>IF(O$11&gt;T,"",IF($A69&gt;O$12,"",IF(T=O$11,100,EXP(-IRTree!O70*h)*((P69+P70)/2+cc*h))))</f>
        <v/>
      </c>
      <c r="P69" s="3" t="str">
        <f>IF(P$11&gt;T,"",IF($A69&gt;P$12,"",IF(T=P$11,100,EXP(-IRTree!P70*h)*((Q69+Q70)/2+cc*h))))</f>
        <v/>
      </c>
      <c r="Q69" s="3" t="str">
        <f>IF(Q$11&gt;T,"",IF($A69&gt;Q$12,"",IF(T=Q$11,100,EXP(-IRTree!Q70*h)*((R69+R70)/2+cc*h))))</f>
        <v/>
      </c>
      <c r="R69" s="3" t="str">
        <f>IF(R$11&gt;T,"",IF($A69&gt;R$12,"",IF(T=R$11,100,EXP(-IRTree!R70*h)*((S69+S70)/2+cc*h))))</f>
        <v/>
      </c>
      <c r="S69" s="3" t="str">
        <f>IF(S$11&gt;T,"",IF($A69&gt;S$12,"",IF(T=S$11,100,EXP(-IRTree!S70*h)*((T69+T70)/2+cc*h))))</f>
        <v/>
      </c>
      <c r="T69" s="3" t="str">
        <f>IF(T$11&gt;T,"",IF($A69&gt;T$12,"",IF(T=T$11,100,EXP(-IRTree!T70*h)*((U69+U70)/2+cc*h))))</f>
        <v/>
      </c>
      <c r="U69" s="3" t="str">
        <f>IF(U$11&gt;T,"",IF($A69&gt;U$12,"",IF(T=U$11,100,EXP(-IRTree!U70*h)*((V69+V70)/2+cc*h))))</f>
        <v/>
      </c>
      <c r="V69" s="3" t="str">
        <f>IF(V$11&gt;T,"",IF($A69&gt;V$12,"",IF(T=V$11,100,EXP(-IRTree!V70*h)*((W69+W70)/2+cc*h))))</f>
        <v/>
      </c>
      <c r="W69" s="3" t="str">
        <f>IF(W$11&gt;T,"",IF($A69&gt;W$12,"",IF(T=W$11,100,EXP(-IRTree!W70*h)*((X69+X70)/2+cc*h))))</f>
        <v/>
      </c>
      <c r="X69" s="3" t="str">
        <f>IF(X$11&gt;T,"",IF($A69&gt;X$12,"",IF(T=X$11,100,EXP(-IRTree!X70*h)*((Y69+Y70)/2+cc*h))))</f>
        <v/>
      </c>
      <c r="Y69" s="3" t="str">
        <f>IF(Y$11&gt;T,"",IF($A69&gt;Y$12,"",IF(T=Y$11,100,EXP(-IRTree!Y70*h)*((Z69+Z70)/2+cc*h))))</f>
        <v/>
      </c>
      <c r="Z69" s="3" t="str">
        <f>IF(Z$11&gt;T,"",IF($A69&gt;Z$12,"",IF(T=Z$11,100,EXP(-IRTree!Z70*h)*((AA69+AA70)/2+cc*h))))</f>
        <v/>
      </c>
      <c r="AA69" s="3" t="str">
        <f>IF(AA$11&gt;T,"",IF($A69&gt;AA$12,"",IF(T=AA$11,100,EXP(-IRTree!AA70*h)*((AB69+AB70)/2+cc*h))))</f>
        <v/>
      </c>
      <c r="AB69" s="3" t="str">
        <f>IF(AB$11&gt;T,"",IF($A69&gt;AB$12,"",IF(T=AB$11,100,EXP(-IRTree!AB70*h)*((AC69+AC70)/2+cc*h))))</f>
        <v/>
      </c>
      <c r="AC69" s="3" t="str">
        <f>IF(AC$11&gt;T,"",IF($A69&gt;AC$12,"",IF(T=AC$11,100,EXP(-IRTree!AC70*h)*((AD69+AD70)/2+cc*h))))</f>
        <v/>
      </c>
      <c r="AD69" s="3" t="str">
        <f>IF(AD$11&gt;T,"",IF($A69&gt;AD$12,"",IF(T=AD$11,100,EXP(-IRTree!AD70*h)*((AE69+AE70)/2+cc*h))))</f>
        <v/>
      </c>
      <c r="AE69" s="3" t="str">
        <f>IF(AE$11&gt;T,"",IF($A69&gt;AE$12,"",IF(T=AE$11,100,EXP(-IRTree!AE70*h)*((AF69+AF70)/2+cc*h))))</f>
        <v/>
      </c>
      <c r="AF69" s="3" t="str">
        <f>IF(AF$11&gt;T,"",IF($A69&gt;AF$12,"",IF(T=AF$11,100,EXP(-IRTree!AF70*h)*((AG69+AG70)/2+cc*h))))</f>
        <v/>
      </c>
      <c r="AG69" s="3" t="str">
        <f>IF(AG$11&gt;T,"",IF($A69&gt;AG$12,"",IF(T=AG$11,100,EXP(-IRTree!AG70*h)*((AH69+AH70)/2+cc*h))))</f>
        <v/>
      </c>
      <c r="AH69" s="3" t="str">
        <f>IF(AH$11&gt;T,"",IF($A69&gt;AH$12,"",IF(T=AH$11,100,EXP(-IRTree!AH70*h)*((AI69+AI70)/2+cc*h))))</f>
        <v/>
      </c>
      <c r="AI69" s="3" t="str">
        <f>IF(AI$11&gt;T,"",IF($A69&gt;AI$12,"",IF(T=AI$11,100,EXP(-IRTree!AI70*h)*((AJ69+AJ70)/2+cc*h))))</f>
        <v/>
      </c>
      <c r="AJ69" s="3" t="str">
        <f>IF(AJ$11&gt;T,"",IF($A69&gt;AJ$12,"",IF(T=AJ$11,100,EXP(-IRTree!AJ70*h)*((AK69+AK70)/2+cc*h))))</f>
        <v/>
      </c>
      <c r="AK69" s="3" t="str">
        <f>IF(AK$11&gt;T,"",IF($A69&gt;AK$12,"",IF(T=AK$11,100,EXP(-IRTree!AK70*h)*((AL69+AL70)/2+cc*h))))</f>
        <v/>
      </c>
      <c r="AL69" s="3" t="str">
        <f>IF(AL$11&gt;T,"",IF($A69&gt;AL$12,"",IF(T=AL$11,100,EXP(-IRTree!AL70*h)*((AM69+AM70)/2+cc*h))))</f>
        <v/>
      </c>
      <c r="AM69" s="3" t="str">
        <f>IF(AM$11&gt;T,"",IF($A69&gt;AM$12,"",IF(T=AM$11,100,EXP(-IRTree!AM70*h)*((AN69+AN70)/2+cc*h))))</f>
        <v/>
      </c>
      <c r="AN69" s="3" t="str">
        <f>IF(AN$11&gt;T,"",IF($A69&gt;AN$12,"",IF(T=AN$11,100,EXP(-IRTree!AN70*h)*((AO69+AO70)/2+cc*h))))</f>
        <v/>
      </c>
      <c r="AO69" s="3" t="str">
        <f>IF(AO$11&gt;T,"",IF($A69&gt;AO$12,"",IF(T=AO$11,100,EXP(-IRTree!AO70*h)*((AP69+AP70)/2+cc*h))))</f>
        <v/>
      </c>
      <c r="AP69" s="3" t="str">
        <f>IF(AP$11&gt;T,"",IF($A69&gt;AP$12,"",IF(T=AP$11,100,EXP(-IRTree!AP70*h)*((AQ69+AQ70)/2+cc*h))))</f>
        <v/>
      </c>
      <c r="AQ69" s="3" t="str">
        <f>IF(AQ$11&gt;T,"",IF($A69&gt;AQ$12,"",IF(T=AQ$11,100,EXP(-IRTree!AQ70*h)*((AR69+AR70)/2+cc*h))))</f>
        <v/>
      </c>
      <c r="AR69" s="3" t="str">
        <f>IF(AR$11&gt;T,"",IF($A69&gt;AR$12,"",IF(T=AR$11,100,EXP(-IRTree!AR70*h)*((AS69+AS70)/2+cc*h))))</f>
        <v/>
      </c>
      <c r="AS69" s="3" t="str">
        <f>IF(AS$11&gt;T,"",IF($A69&gt;AS$12,"",IF(T=AS$11,100,EXP(-IRTree!AS70*h)*((AT69+AT70)/2+cc*h))))</f>
        <v/>
      </c>
      <c r="AT69" s="3" t="str">
        <f>IF(AT$11&gt;T,"",IF($A69&gt;AT$12,"",IF(T=AT$11,100,EXP(-IRTree!AT70*h)*((AU69+AU70)/2+cc*h))))</f>
        <v/>
      </c>
      <c r="AU69" s="3" t="str">
        <f>IF(AU$11&gt;T,"",IF($A69&gt;AU$12,"",IF(T=AU$11,100,EXP(-IRTree!AU70*h)*((AV69+AV70)/2+cc*h))))</f>
        <v/>
      </c>
      <c r="AV69" s="3" t="str">
        <f>IF(AV$11&gt;T,"",IF($A69&gt;AV$12,"",IF(T=AV$11,100,EXP(-IRTree!AV70*h)*((AW69+AW70)/2+cc*h))))</f>
        <v/>
      </c>
      <c r="AW69" s="3" t="str">
        <f>IF(AW$11&gt;T,"",IF($A69&gt;AW$12,"",IF(T=AW$11,100,EXP(-IRTree!AW70*h)*((AX69+AX70)/2+cc*h))))</f>
        <v/>
      </c>
      <c r="AX69" s="3" t="str">
        <f>IF(AX$11&gt;T,"",IF($A69&gt;AX$12,"",IF(T=AX$11,100,EXP(-IRTree!AX70*h)*((AY69+AY70)/2+cc*h))))</f>
        <v/>
      </c>
      <c r="AY69" s="3" t="str">
        <f>IF(AY$11&gt;T,"",IF($A69&gt;AY$12,"",IF(T=AY$11,100,EXP(-IRTree!AY70*h)*((AZ69+AZ70)/2+cc*h))))</f>
        <v/>
      </c>
      <c r="AZ69" s="3" t="str">
        <f>IF(AZ$11&gt;T,"",IF($A69&gt;AZ$12,"",IF(T=AZ$11,100,EXP(-IRTree!AZ70*h)*((BA69+BA70)/2+cc*h))))</f>
        <v/>
      </c>
      <c r="BA69" s="3" t="str">
        <f>IF(BA$11&gt;T,"",IF($A69&gt;BA$12,"",IF(T=BA$11,100,EXP(-IRTree!BA70*h)*((BB69+BB70)/2+cc*h))))</f>
        <v/>
      </c>
      <c r="BB69" s="3" t="str">
        <f>IF(BB$11&gt;T,"",IF($A69&gt;BB$12,"",IF(T=BB$11,100,EXP(-IRTree!BB70*h)*((BC69+BC70)/2+cc*h))))</f>
        <v/>
      </c>
      <c r="BC69" s="3" t="str">
        <f>IF(BC$11&gt;T,"",IF($A69&gt;BC$12,"",IF(T=BC$11,100,EXP(-IRTree!BC70*h)*((BD69+BD70)/2+cc*h))))</f>
        <v/>
      </c>
      <c r="BD69" s="3" t="str">
        <f>IF(BD$11&gt;T,"",IF($A69&gt;BD$12,"",IF(T=BD$11,100,EXP(-IRTree!BD70*h)*((BE69+BE70)/2+cc*h))))</f>
        <v/>
      </c>
      <c r="BE69" s="3" t="str">
        <f>IF(BE$11&gt;T,"",IF($A69&gt;BE$12,"",IF(T=BE$11,100,EXP(-IRTree!BE70*h)*((BF69+BF70)/2+cc*h))))</f>
        <v/>
      </c>
      <c r="BF69" s="3" t="str">
        <f>IF(BF$11&gt;T,"",IF($A69&gt;BF$12,"",IF(T=BF$11,100,EXP(-IRTree!BF70*h)*((BG69+BG70)/2+cc*h))))</f>
        <v/>
      </c>
      <c r="BG69" s="3" t="str">
        <f>IF(BG$11&gt;T,"",IF($A69&gt;BG$12,"",IF(T=BG$11,100,EXP(-IRTree!BG70*h)*((BH69+BH70)/2+cc*h))))</f>
        <v/>
      </c>
      <c r="BH69" s="3" t="str">
        <f>IF(BH$11&gt;T,"",IF($A69&gt;BH$12,"",IF(T=BH$11,100,EXP(-IRTree!BH70*h)*((BI69+BI70)/2+cc*h))))</f>
        <v/>
      </c>
      <c r="BI69" s="3" t="str">
        <f>IF(BI$11&gt;T,"",IF($A69&gt;BI$12,"",IF(T=BI$11,100,EXP(-IRTree!BI70*h)*((BJ69+BJ70)/2+cc*h))))</f>
        <v/>
      </c>
      <c r="BJ69" s="3" t="str">
        <f>IF(BJ$11&gt;T,"",IF($A69&gt;BJ$12,"",IF(T=BJ$11,100,EXP(-IRTree!BJ70*h)*((BK69+BK70)/2+cc*h))))</f>
        <v/>
      </c>
    </row>
    <row r="70" spans="1:62">
      <c r="A70" s="12">
        <f t="shared" si="2"/>
        <v>57</v>
      </c>
      <c r="B70" s="3" t="str">
        <f>IF(B$11&gt;T,"",IF($A70&gt;B$12,"",IF(T=B$11,100,EXP(-IRTree!B71*h)*((C70+C71)/2+cc*h))))</f>
        <v/>
      </c>
      <c r="C70" s="3" t="str">
        <f>IF(C$11&gt;T,"",IF($A70&gt;C$12,"",IF(T=C$11,100,EXP(-IRTree!C71*h)*((D70+D71)/2+cc*h))))</f>
        <v/>
      </c>
      <c r="D70" s="3" t="str">
        <f>IF(D$11&gt;T,"",IF($A70&gt;D$12,"",IF(T=D$11,100,EXP(-IRTree!D71*h)*((E70+E71)/2+cc*h))))</f>
        <v/>
      </c>
      <c r="E70" s="3" t="str">
        <f>IF(E$11&gt;T,"",IF($A70&gt;E$12,"",IF(T=E$11,100,EXP(-IRTree!E71*h)*((F70+F71)/2+cc*h))))</f>
        <v/>
      </c>
      <c r="F70" s="3" t="str">
        <f>IF(F$11&gt;T,"",IF($A70&gt;F$12,"",IF(T=F$11,100,EXP(-IRTree!F71*h)*((G70+G71)/2+cc*h))))</f>
        <v/>
      </c>
      <c r="G70" s="3" t="str">
        <f>IF(G$11&gt;T,"",IF($A70&gt;G$12,"",IF(T=G$11,100,EXP(-IRTree!G71*h)*((H70+H71)/2+cc*h))))</f>
        <v/>
      </c>
      <c r="H70" s="3" t="str">
        <f>IF(H$11&gt;T,"",IF($A70&gt;H$12,"",IF(T=H$11,100,EXP(-IRTree!H71*h)*((I70+I71)/2+cc*h))))</f>
        <v/>
      </c>
      <c r="I70" s="3" t="str">
        <f>IF(I$11&gt;T,"",IF($A70&gt;I$12,"",IF(T=I$11,100,EXP(-IRTree!I71*h)*((J70+J71)/2+cc*h))))</f>
        <v/>
      </c>
      <c r="J70" s="3" t="str">
        <f>IF(J$11&gt;T,"",IF($A70&gt;J$12,"",IF(T=J$11,100,EXP(-IRTree!J71*h)*((K70+K71)/2+cc*h))))</f>
        <v/>
      </c>
      <c r="K70" s="3" t="str">
        <f>IF(K$11&gt;T,"",IF($A70&gt;K$12,"",IF(T=K$11,100,EXP(-IRTree!K71*h)*((L70+L71)/2+cc*h))))</f>
        <v/>
      </c>
      <c r="L70" s="3" t="str">
        <f>IF(L$11&gt;T,"",IF($A70&gt;L$12,"",IF(T=L$11,100,EXP(-IRTree!L71*h)*((M70+M71)/2+cc*h))))</f>
        <v/>
      </c>
      <c r="M70" s="3" t="str">
        <f>IF(M$11&gt;T,"",IF($A70&gt;M$12,"",IF(T=M$11,100,EXP(-IRTree!M71*h)*((N70+N71)/2+cc*h))))</f>
        <v/>
      </c>
      <c r="N70" s="3" t="str">
        <f>IF(N$11&gt;T,"",IF($A70&gt;N$12,"",IF(T=N$11,100,EXP(-IRTree!N71*h)*((O70+O71)/2+cc*h))))</f>
        <v/>
      </c>
      <c r="O70" s="3" t="str">
        <f>IF(O$11&gt;T,"",IF($A70&gt;O$12,"",IF(T=O$11,100,EXP(-IRTree!O71*h)*((P70+P71)/2+cc*h))))</f>
        <v/>
      </c>
      <c r="P70" s="3" t="str">
        <f>IF(P$11&gt;T,"",IF($A70&gt;P$12,"",IF(T=P$11,100,EXP(-IRTree!P71*h)*((Q70+Q71)/2+cc*h))))</f>
        <v/>
      </c>
      <c r="Q70" s="3" t="str">
        <f>IF(Q$11&gt;T,"",IF($A70&gt;Q$12,"",IF(T=Q$11,100,EXP(-IRTree!Q71*h)*((R70+R71)/2+cc*h))))</f>
        <v/>
      </c>
      <c r="R70" s="3" t="str">
        <f>IF(R$11&gt;T,"",IF($A70&gt;R$12,"",IF(T=R$11,100,EXP(-IRTree!R71*h)*((S70+S71)/2+cc*h))))</f>
        <v/>
      </c>
      <c r="S70" s="3" t="str">
        <f>IF(S$11&gt;T,"",IF($A70&gt;S$12,"",IF(T=S$11,100,EXP(-IRTree!S71*h)*((T70+T71)/2+cc*h))))</f>
        <v/>
      </c>
      <c r="T70" s="3" t="str">
        <f>IF(T$11&gt;T,"",IF($A70&gt;T$12,"",IF(T=T$11,100,EXP(-IRTree!T71*h)*((U70+U71)/2+cc*h))))</f>
        <v/>
      </c>
      <c r="U70" s="3" t="str">
        <f>IF(U$11&gt;T,"",IF($A70&gt;U$12,"",IF(T=U$11,100,EXP(-IRTree!U71*h)*((V70+V71)/2+cc*h))))</f>
        <v/>
      </c>
      <c r="V70" s="3" t="str">
        <f>IF(V$11&gt;T,"",IF($A70&gt;V$12,"",IF(T=V$11,100,EXP(-IRTree!V71*h)*((W70+W71)/2+cc*h))))</f>
        <v/>
      </c>
      <c r="W70" s="3" t="str">
        <f>IF(W$11&gt;T,"",IF($A70&gt;W$12,"",IF(T=W$11,100,EXP(-IRTree!W71*h)*((X70+X71)/2+cc*h))))</f>
        <v/>
      </c>
      <c r="X70" s="3" t="str">
        <f>IF(X$11&gt;T,"",IF($A70&gt;X$12,"",IF(T=X$11,100,EXP(-IRTree!X71*h)*((Y70+Y71)/2+cc*h))))</f>
        <v/>
      </c>
      <c r="Y70" s="3" t="str">
        <f>IF(Y$11&gt;T,"",IF($A70&gt;Y$12,"",IF(T=Y$11,100,EXP(-IRTree!Y71*h)*((Z70+Z71)/2+cc*h))))</f>
        <v/>
      </c>
      <c r="Z70" s="3" t="str">
        <f>IF(Z$11&gt;T,"",IF($A70&gt;Z$12,"",IF(T=Z$11,100,EXP(-IRTree!Z71*h)*((AA70+AA71)/2+cc*h))))</f>
        <v/>
      </c>
      <c r="AA70" s="3" t="str">
        <f>IF(AA$11&gt;T,"",IF($A70&gt;AA$12,"",IF(T=AA$11,100,EXP(-IRTree!AA71*h)*((AB70+AB71)/2+cc*h))))</f>
        <v/>
      </c>
      <c r="AB70" s="3" t="str">
        <f>IF(AB$11&gt;T,"",IF($A70&gt;AB$12,"",IF(T=AB$11,100,EXP(-IRTree!AB71*h)*((AC70+AC71)/2+cc*h))))</f>
        <v/>
      </c>
      <c r="AC70" s="3" t="str">
        <f>IF(AC$11&gt;T,"",IF($A70&gt;AC$12,"",IF(T=AC$11,100,EXP(-IRTree!AC71*h)*((AD70+AD71)/2+cc*h))))</f>
        <v/>
      </c>
      <c r="AD70" s="3" t="str">
        <f>IF(AD$11&gt;T,"",IF($A70&gt;AD$12,"",IF(T=AD$11,100,EXP(-IRTree!AD71*h)*((AE70+AE71)/2+cc*h))))</f>
        <v/>
      </c>
      <c r="AE70" s="3" t="str">
        <f>IF(AE$11&gt;T,"",IF($A70&gt;AE$12,"",IF(T=AE$11,100,EXP(-IRTree!AE71*h)*((AF70+AF71)/2+cc*h))))</f>
        <v/>
      </c>
      <c r="AF70" s="3" t="str">
        <f>IF(AF$11&gt;T,"",IF($A70&gt;AF$12,"",IF(T=AF$11,100,EXP(-IRTree!AF71*h)*((AG70+AG71)/2+cc*h))))</f>
        <v/>
      </c>
      <c r="AG70" s="3" t="str">
        <f>IF(AG$11&gt;T,"",IF($A70&gt;AG$12,"",IF(T=AG$11,100,EXP(-IRTree!AG71*h)*((AH70+AH71)/2+cc*h))))</f>
        <v/>
      </c>
      <c r="AH70" s="3" t="str">
        <f>IF(AH$11&gt;T,"",IF($A70&gt;AH$12,"",IF(T=AH$11,100,EXP(-IRTree!AH71*h)*((AI70+AI71)/2+cc*h))))</f>
        <v/>
      </c>
      <c r="AI70" s="3" t="str">
        <f>IF(AI$11&gt;T,"",IF($A70&gt;AI$12,"",IF(T=AI$11,100,EXP(-IRTree!AI71*h)*((AJ70+AJ71)/2+cc*h))))</f>
        <v/>
      </c>
      <c r="AJ70" s="3" t="str">
        <f>IF(AJ$11&gt;T,"",IF($A70&gt;AJ$12,"",IF(T=AJ$11,100,EXP(-IRTree!AJ71*h)*((AK70+AK71)/2+cc*h))))</f>
        <v/>
      </c>
      <c r="AK70" s="3" t="str">
        <f>IF(AK$11&gt;T,"",IF($A70&gt;AK$12,"",IF(T=AK$11,100,EXP(-IRTree!AK71*h)*((AL70+AL71)/2+cc*h))))</f>
        <v/>
      </c>
      <c r="AL70" s="3" t="str">
        <f>IF(AL$11&gt;T,"",IF($A70&gt;AL$12,"",IF(T=AL$11,100,EXP(-IRTree!AL71*h)*((AM70+AM71)/2+cc*h))))</f>
        <v/>
      </c>
      <c r="AM70" s="3" t="str">
        <f>IF(AM$11&gt;T,"",IF($A70&gt;AM$12,"",IF(T=AM$11,100,EXP(-IRTree!AM71*h)*((AN70+AN71)/2+cc*h))))</f>
        <v/>
      </c>
      <c r="AN70" s="3" t="str">
        <f>IF(AN$11&gt;T,"",IF($A70&gt;AN$12,"",IF(T=AN$11,100,EXP(-IRTree!AN71*h)*((AO70+AO71)/2+cc*h))))</f>
        <v/>
      </c>
      <c r="AO70" s="3" t="str">
        <f>IF(AO$11&gt;T,"",IF($A70&gt;AO$12,"",IF(T=AO$11,100,EXP(-IRTree!AO71*h)*((AP70+AP71)/2+cc*h))))</f>
        <v/>
      </c>
      <c r="AP70" s="3" t="str">
        <f>IF(AP$11&gt;T,"",IF($A70&gt;AP$12,"",IF(T=AP$11,100,EXP(-IRTree!AP71*h)*((AQ70+AQ71)/2+cc*h))))</f>
        <v/>
      </c>
      <c r="AQ70" s="3" t="str">
        <f>IF(AQ$11&gt;T,"",IF($A70&gt;AQ$12,"",IF(T=AQ$11,100,EXP(-IRTree!AQ71*h)*((AR70+AR71)/2+cc*h))))</f>
        <v/>
      </c>
      <c r="AR70" s="3" t="str">
        <f>IF(AR$11&gt;T,"",IF($A70&gt;AR$12,"",IF(T=AR$11,100,EXP(-IRTree!AR71*h)*((AS70+AS71)/2+cc*h))))</f>
        <v/>
      </c>
      <c r="AS70" s="3" t="str">
        <f>IF(AS$11&gt;T,"",IF($A70&gt;AS$12,"",IF(T=AS$11,100,EXP(-IRTree!AS71*h)*((AT70+AT71)/2+cc*h))))</f>
        <v/>
      </c>
      <c r="AT70" s="3" t="str">
        <f>IF(AT$11&gt;T,"",IF($A70&gt;AT$12,"",IF(T=AT$11,100,EXP(-IRTree!AT71*h)*((AU70+AU71)/2+cc*h))))</f>
        <v/>
      </c>
      <c r="AU70" s="3" t="str">
        <f>IF(AU$11&gt;T,"",IF($A70&gt;AU$12,"",IF(T=AU$11,100,EXP(-IRTree!AU71*h)*((AV70+AV71)/2+cc*h))))</f>
        <v/>
      </c>
      <c r="AV70" s="3" t="str">
        <f>IF(AV$11&gt;T,"",IF($A70&gt;AV$12,"",IF(T=AV$11,100,EXP(-IRTree!AV71*h)*((AW70+AW71)/2+cc*h))))</f>
        <v/>
      </c>
      <c r="AW70" s="3" t="str">
        <f>IF(AW$11&gt;T,"",IF($A70&gt;AW$12,"",IF(T=AW$11,100,EXP(-IRTree!AW71*h)*((AX70+AX71)/2+cc*h))))</f>
        <v/>
      </c>
      <c r="AX70" s="3" t="str">
        <f>IF(AX$11&gt;T,"",IF($A70&gt;AX$12,"",IF(T=AX$11,100,EXP(-IRTree!AX71*h)*((AY70+AY71)/2+cc*h))))</f>
        <v/>
      </c>
      <c r="AY70" s="3" t="str">
        <f>IF(AY$11&gt;T,"",IF($A70&gt;AY$12,"",IF(T=AY$11,100,EXP(-IRTree!AY71*h)*((AZ70+AZ71)/2+cc*h))))</f>
        <v/>
      </c>
      <c r="AZ70" s="3" t="str">
        <f>IF(AZ$11&gt;T,"",IF($A70&gt;AZ$12,"",IF(T=AZ$11,100,EXP(-IRTree!AZ71*h)*((BA70+BA71)/2+cc*h))))</f>
        <v/>
      </c>
      <c r="BA70" s="3" t="str">
        <f>IF(BA$11&gt;T,"",IF($A70&gt;BA$12,"",IF(T=BA$11,100,EXP(-IRTree!BA71*h)*((BB70+BB71)/2+cc*h))))</f>
        <v/>
      </c>
      <c r="BB70" s="3" t="str">
        <f>IF(BB$11&gt;T,"",IF($A70&gt;BB$12,"",IF(T=BB$11,100,EXP(-IRTree!BB71*h)*((BC70+BC71)/2+cc*h))))</f>
        <v/>
      </c>
      <c r="BC70" s="3" t="str">
        <f>IF(BC$11&gt;T,"",IF($A70&gt;BC$12,"",IF(T=BC$11,100,EXP(-IRTree!BC71*h)*((BD70+BD71)/2+cc*h))))</f>
        <v/>
      </c>
      <c r="BD70" s="3" t="str">
        <f>IF(BD$11&gt;T,"",IF($A70&gt;BD$12,"",IF(T=BD$11,100,EXP(-IRTree!BD71*h)*((BE70+BE71)/2+cc*h))))</f>
        <v/>
      </c>
      <c r="BE70" s="3" t="str">
        <f>IF(BE$11&gt;T,"",IF($A70&gt;BE$12,"",IF(T=BE$11,100,EXP(-IRTree!BE71*h)*((BF70+BF71)/2+cc*h))))</f>
        <v/>
      </c>
      <c r="BF70" s="3" t="str">
        <f>IF(BF$11&gt;T,"",IF($A70&gt;BF$12,"",IF(T=BF$11,100,EXP(-IRTree!BF71*h)*((BG70+BG71)/2+cc*h))))</f>
        <v/>
      </c>
      <c r="BG70" s="3" t="str">
        <f>IF(BG$11&gt;T,"",IF($A70&gt;BG$12,"",IF(T=BG$11,100,EXP(-IRTree!BG71*h)*((BH70+BH71)/2+cc*h))))</f>
        <v/>
      </c>
      <c r="BH70" s="3" t="str">
        <f>IF(BH$11&gt;T,"",IF($A70&gt;BH$12,"",IF(T=BH$11,100,EXP(-IRTree!BH71*h)*((BI70+BI71)/2+cc*h))))</f>
        <v/>
      </c>
      <c r="BI70" s="3" t="str">
        <f>IF(BI$11&gt;T,"",IF($A70&gt;BI$12,"",IF(T=BI$11,100,EXP(-IRTree!BI71*h)*((BJ70+BJ71)/2+cc*h))))</f>
        <v/>
      </c>
      <c r="BJ70" s="3" t="str">
        <f>IF(BJ$11&gt;T,"",IF($A70&gt;BJ$12,"",IF(T=BJ$11,100,EXP(-IRTree!BJ71*h)*((BK70+BK71)/2+cc*h))))</f>
        <v/>
      </c>
    </row>
    <row r="71" spans="1:62">
      <c r="A71" s="12">
        <f t="shared" si="2"/>
        <v>58</v>
      </c>
      <c r="B71" s="3" t="str">
        <f>IF(B$11&gt;T,"",IF($A71&gt;B$12,"",IF(T=B$11,100,EXP(-IRTree!B72*h)*((C71+C72)/2+cc*h))))</f>
        <v/>
      </c>
      <c r="C71" s="3" t="str">
        <f>IF(C$11&gt;T,"",IF($A71&gt;C$12,"",IF(T=C$11,100,EXP(-IRTree!C72*h)*((D71+D72)/2+cc*h))))</f>
        <v/>
      </c>
      <c r="D71" s="3" t="str">
        <f>IF(D$11&gt;T,"",IF($A71&gt;D$12,"",IF(T=D$11,100,EXP(-IRTree!D72*h)*((E71+E72)/2+cc*h))))</f>
        <v/>
      </c>
      <c r="E71" s="3" t="str">
        <f>IF(E$11&gt;T,"",IF($A71&gt;E$12,"",IF(T=E$11,100,EXP(-IRTree!E72*h)*((F71+F72)/2+cc*h))))</f>
        <v/>
      </c>
      <c r="F71" s="3" t="str">
        <f>IF(F$11&gt;T,"",IF($A71&gt;F$12,"",IF(T=F$11,100,EXP(-IRTree!F72*h)*((G71+G72)/2+cc*h))))</f>
        <v/>
      </c>
      <c r="G71" s="3" t="str">
        <f>IF(G$11&gt;T,"",IF($A71&gt;G$12,"",IF(T=G$11,100,EXP(-IRTree!G72*h)*((H71+H72)/2+cc*h))))</f>
        <v/>
      </c>
      <c r="H71" s="3" t="str">
        <f>IF(H$11&gt;T,"",IF($A71&gt;H$12,"",IF(T=H$11,100,EXP(-IRTree!H72*h)*((I71+I72)/2+cc*h))))</f>
        <v/>
      </c>
      <c r="I71" s="3" t="str">
        <f>IF(I$11&gt;T,"",IF($A71&gt;I$12,"",IF(T=I$11,100,EXP(-IRTree!I72*h)*((J71+J72)/2+cc*h))))</f>
        <v/>
      </c>
      <c r="J71" s="3" t="str">
        <f>IF(J$11&gt;T,"",IF($A71&gt;J$12,"",IF(T=J$11,100,EXP(-IRTree!J72*h)*((K71+K72)/2+cc*h))))</f>
        <v/>
      </c>
      <c r="K71" s="3" t="str">
        <f>IF(K$11&gt;T,"",IF($A71&gt;K$12,"",IF(T=K$11,100,EXP(-IRTree!K72*h)*((L71+L72)/2+cc*h))))</f>
        <v/>
      </c>
      <c r="L71" s="3" t="str">
        <f>IF(L$11&gt;T,"",IF($A71&gt;L$12,"",IF(T=L$11,100,EXP(-IRTree!L72*h)*((M71+M72)/2+cc*h))))</f>
        <v/>
      </c>
      <c r="M71" s="3" t="str">
        <f>IF(M$11&gt;T,"",IF($A71&gt;M$12,"",IF(T=M$11,100,EXP(-IRTree!M72*h)*((N71+N72)/2+cc*h))))</f>
        <v/>
      </c>
      <c r="N71" s="3" t="str">
        <f>IF(N$11&gt;T,"",IF($A71&gt;N$12,"",IF(T=N$11,100,EXP(-IRTree!N72*h)*((O71+O72)/2+cc*h))))</f>
        <v/>
      </c>
      <c r="O71" s="3" t="str">
        <f>IF(O$11&gt;T,"",IF($A71&gt;O$12,"",IF(T=O$11,100,EXP(-IRTree!O72*h)*((P71+P72)/2+cc*h))))</f>
        <v/>
      </c>
      <c r="P71" s="3" t="str">
        <f>IF(P$11&gt;T,"",IF($A71&gt;P$12,"",IF(T=P$11,100,EXP(-IRTree!P72*h)*((Q71+Q72)/2+cc*h))))</f>
        <v/>
      </c>
      <c r="Q71" s="3" t="str">
        <f>IF(Q$11&gt;T,"",IF($A71&gt;Q$12,"",IF(T=Q$11,100,EXP(-IRTree!Q72*h)*((R71+R72)/2+cc*h))))</f>
        <v/>
      </c>
      <c r="R71" s="3" t="str">
        <f>IF(R$11&gt;T,"",IF($A71&gt;R$12,"",IF(T=R$11,100,EXP(-IRTree!R72*h)*((S71+S72)/2+cc*h))))</f>
        <v/>
      </c>
      <c r="S71" s="3" t="str">
        <f>IF(S$11&gt;T,"",IF($A71&gt;S$12,"",IF(T=S$11,100,EXP(-IRTree!S72*h)*((T71+T72)/2+cc*h))))</f>
        <v/>
      </c>
      <c r="T71" s="3" t="str">
        <f>IF(T$11&gt;T,"",IF($A71&gt;T$12,"",IF(T=T$11,100,EXP(-IRTree!T72*h)*((U71+U72)/2+cc*h))))</f>
        <v/>
      </c>
      <c r="U71" s="3" t="str">
        <f>IF(U$11&gt;T,"",IF($A71&gt;U$12,"",IF(T=U$11,100,EXP(-IRTree!U72*h)*((V71+V72)/2+cc*h))))</f>
        <v/>
      </c>
      <c r="V71" s="3" t="str">
        <f>IF(V$11&gt;T,"",IF($A71&gt;V$12,"",IF(T=V$11,100,EXP(-IRTree!V72*h)*((W71+W72)/2+cc*h))))</f>
        <v/>
      </c>
      <c r="W71" s="3" t="str">
        <f>IF(W$11&gt;T,"",IF($A71&gt;W$12,"",IF(T=W$11,100,EXP(-IRTree!W72*h)*((X71+X72)/2+cc*h))))</f>
        <v/>
      </c>
      <c r="X71" s="3" t="str">
        <f>IF(X$11&gt;T,"",IF($A71&gt;X$12,"",IF(T=X$11,100,EXP(-IRTree!X72*h)*((Y71+Y72)/2+cc*h))))</f>
        <v/>
      </c>
      <c r="Y71" s="3" t="str">
        <f>IF(Y$11&gt;T,"",IF($A71&gt;Y$12,"",IF(T=Y$11,100,EXP(-IRTree!Y72*h)*((Z71+Z72)/2+cc*h))))</f>
        <v/>
      </c>
      <c r="Z71" s="3" t="str">
        <f>IF(Z$11&gt;T,"",IF($A71&gt;Z$12,"",IF(T=Z$11,100,EXP(-IRTree!Z72*h)*((AA71+AA72)/2+cc*h))))</f>
        <v/>
      </c>
      <c r="AA71" s="3" t="str">
        <f>IF(AA$11&gt;T,"",IF($A71&gt;AA$12,"",IF(T=AA$11,100,EXP(-IRTree!AA72*h)*((AB71+AB72)/2+cc*h))))</f>
        <v/>
      </c>
      <c r="AB71" s="3" t="str">
        <f>IF(AB$11&gt;T,"",IF($A71&gt;AB$12,"",IF(T=AB$11,100,EXP(-IRTree!AB72*h)*((AC71+AC72)/2+cc*h))))</f>
        <v/>
      </c>
      <c r="AC71" s="3" t="str">
        <f>IF(AC$11&gt;T,"",IF($A71&gt;AC$12,"",IF(T=AC$11,100,EXP(-IRTree!AC72*h)*((AD71+AD72)/2+cc*h))))</f>
        <v/>
      </c>
      <c r="AD71" s="3" t="str">
        <f>IF(AD$11&gt;T,"",IF($A71&gt;AD$12,"",IF(T=AD$11,100,EXP(-IRTree!AD72*h)*((AE71+AE72)/2+cc*h))))</f>
        <v/>
      </c>
      <c r="AE71" s="3" t="str">
        <f>IF(AE$11&gt;T,"",IF($A71&gt;AE$12,"",IF(T=AE$11,100,EXP(-IRTree!AE72*h)*((AF71+AF72)/2+cc*h))))</f>
        <v/>
      </c>
      <c r="AF71" s="3" t="str">
        <f>IF(AF$11&gt;T,"",IF($A71&gt;AF$12,"",IF(T=AF$11,100,EXP(-IRTree!AF72*h)*((AG71+AG72)/2+cc*h))))</f>
        <v/>
      </c>
      <c r="AG71" s="3" t="str">
        <f>IF(AG$11&gt;T,"",IF($A71&gt;AG$12,"",IF(T=AG$11,100,EXP(-IRTree!AG72*h)*((AH71+AH72)/2+cc*h))))</f>
        <v/>
      </c>
      <c r="AH71" s="3" t="str">
        <f>IF(AH$11&gt;T,"",IF($A71&gt;AH$12,"",IF(T=AH$11,100,EXP(-IRTree!AH72*h)*((AI71+AI72)/2+cc*h))))</f>
        <v/>
      </c>
      <c r="AI71" s="3" t="str">
        <f>IF(AI$11&gt;T,"",IF($A71&gt;AI$12,"",IF(T=AI$11,100,EXP(-IRTree!AI72*h)*((AJ71+AJ72)/2+cc*h))))</f>
        <v/>
      </c>
      <c r="AJ71" s="3" t="str">
        <f>IF(AJ$11&gt;T,"",IF($A71&gt;AJ$12,"",IF(T=AJ$11,100,EXP(-IRTree!AJ72*h)*((AK71+AK72)/2+cc*h))))</f>
        <v/>
      </c>
      <c r="AK71" s="3" t="str">
        <f>IF(AK$11&gt;T,"",IF($A71&gt;AK$12,"",IF(T=AK$11,100,EXP(-IRTree!AK72*h)*((AL71+AL72)/2+cc*h))))</f>
        <v/>
      </c>
      <c r="AL71" s="3" t="str">
        <f>IF(AL$11&gt;T,"",IF($A71&gt;AL$12,"",IF(T=AL$11,100,EXP(-IRTree!AL72*h)*((AM71+AM72)/2+cc*h))))</f>
        <v/>
      </c>
      <c r="AM71" s="3" t="str">
        <f>IF(AM$11&gt;T,"",IF($A71&gt;AM$12,"",IF(T=AM$11,100,EXP(-IRTree!AM72*h)*((AN71+AN72)/2+cc*h))))</f>
        <v/>
      </c>
      <c r="AN71" s="3" t="str">
        <f>IF(AN$11&gt;T,"",IF($A71&gt;AN$12,"",IF(T=AN$11,100,EXP(-IRTree!AN72*h)*((AO71+AO72)/2+cc*h))))</f>
        <v/>
      </c>
      <c r="AO71" s="3" t="str">
        <f>IF(AO$11&gt;T,"",IF($A71&gt;AO$12,"",IF(T=AO$11,100,EXP(-IRTree!AO72*h)*((AP71+AP72)/2+cc*h))))</f>
        <v/>
      </c>
      <c r="AP71" s="3" t="str">
        <f>IF(AP$11&gt;T,"",IF($A71&gt;AP$12,"",IF(T=AP$11,100,EXP(-IRTree!AP72*h)*((AQ71+AQ72)/2+cc*h))))</f>
        <v/>
      </c>
      <c r="AQ71" s="3" t="str">
        <f>IF(AQ$11&gt;T,"",IF($A71&gt;AQ$12,"",IF(T=AQ$11,100,EXP(-IRTree!AQ72*h)*((AR71+AR72)/2+cc*h))))</f>
        <v/>
      </c>
      <c r="AR71" s="3" t="str">
        <f>IF(AR$11&gt;T,"",IF($A71&gt;AR$12,"",IF(T=AR$11,100,EXP(-IRTree!AR72*h)*((AS71+AS72)/2+cc*h))))</f>
        <v/>
      </c>
      <c r="AS71" s="3" t="str">
        <f>IF(AS$11&gt;T,"",IF($A71&gt;AS$12,"",IF(T=AS$11,100,EXP(-IRTree!AS72*h)*((AT71+AT72)/2+cc*h))))</f>
        <v/>
      </c>
      <c r="AT71" s="3" t="str">
        <f>IF(AT$11&gt;T,"",IF($A71&gt;AT$12,"",IF(T=AT$11,100,EXP(-IRTree!AT72*h)*((AU71+AU72)/2+cc*h))))</f>
        <v/>
      </c>
      <c r="AU71" s="3" t="str">
        <f>IF(AU$11&gt;T,"",IF($A71&gt;AU$12,"",IF(T=AU$11,100,EXP(-IRTree!AU72*h)*((AV71+AV72)/2+cc*h))))</f>
        <v/>
      </c>
      <c r="AV71" s="3" t="str">
        <f>IF(AV$11&gt;T,"",IF($A71&gt;AV$12,"",IF(T=AV$11,100,EXP(-IRTree!AV72*h)*((AW71+AW72)/2+cc*h))))</f>
        <v/>
      </c>
      <c r="AW71" s="3" t="str">
        <f>IF(AW$11&gt;T,"",IF($A71&gt;AW$12,"",IF(T=AW$11,100,EXP(-IRTree!AW72*h)*((AX71+AX72)/2+cc*h))))</f>
        <v/>
      </c>
      <c r="AX71" s="3" t="str">
        <f>IF(AX$11&gt;T,"",IF($A71&gt;AX$12,"",IF(T=AX$11,100,EXP(-IRTree!AX72*h)*((AY71+AY72)/2+cc*h))))</f>
        <v/>
      </c>
      <c r="AY71" s="3" t="str">
        <f>IF(AY$11&gt;T,"",IF($A71&gt;AY$12,"",IF(T=AY$11,100,EXP(-IRTree!AY72*h)*((AZ71+AZ72)/2+cc*h))))</f>
        <v/>
      </c>
      <c r="AZ71" s="3" t="str">
        <f>IF(AZ$11&gt;T,"",IF($A71&gt;AZ$12,"",IF(T=AZ$11,100,EXP(-IRTree!AZ72*h)*((BA71+BA72)/2+cc*h))))</f>
        <v/>
      </c>
      <c r="BA71" s="3" t="str">
        <f>IF(BA$11&gt;T,"",IF($A71&gt;BA$12,"",IF(T=BA$11,100,EXP(-IRTree!BA72*h)*((BB71+BB72)/2+cc*h))))</f>
        <v/>
      </c>
      <c r="BB71" s="3" t="str">
        <f>IF(BB$11&gt;T,"",IF($A71&gt;BB$12,"",IF(T=BB$11,100,EXP(-IRTree!BB72*h)*((BC71+BC72)/2+cc*h))))</f>
        <v/>
      </c>
      <c r="BC71" s="3" t="str">
        <f>IF(BC$11&gt;T,"",IF($A71&gt;BC$12,"",IF(T=BC$11,100,EXP(-IRTree!BC72*h)*((BD71+BD72)/2+cc*h))))</f>
        <v/>
      </c>
      <c r="BD71" s="3" t="str">
        <f>IF(BD$11&gt;T,"",IF($A71&gt;BD$12,"",IF(T=BD$11,100,EXP(-IRTree!BD72*h)*((BE71+BE72)/2+cc*h))))</f>
        <v/>
      </c>
      <c r="BE71" s="3" t="str">
        <f>IF(BE$11&gt;T,"",IF($A71&gt;BE$12,"",IF(T=BE$11,100,EXP(-IRTree!BE72*h)*((BF71+BF72)/2+cc*h))))</f>
        <v/>
      </c>
      <c r="BF71" s="3" t="str">
        <f>IF(BF$11&gt;T,"",IF($A71&gt;BF$12,"",IF(T=BF$11,100,EXP(-IRTree!BF72*h)*((BG71+BG72)/2+cc*h))))</f>
        <v/>
      </c>
      <c r="BG71" s="3" t="str">
        <f>IF(BG$11&gt;T,"",IF($A71&gt;BG$12,"",IF(T=BG$11,100,EXP(-IRTree!BG72*h)*((BH71+BH72)/2+cc*h))))</f>
        <v/>
      </c>
      <c r="BH71" s="3" t="str">
        <f>IF(BH$11&gt;T,"",IF($A71&gt;BH$12,"",IF(T=BH$11,100,EXP(-IRTree!BH72*h)*((BI71+BI72)/2+cc*h))))</f>
        <v/>
      </c>
      <c r="BI71" s="3" t="str">
        <f>IF(BI$11&gt;T,"",IF($A71&gt;BI$12,"",IF(T=BI$11,100,EXP(-IRTree!BI72*h)*((BJ71+BJ72)/2+cc*h))))</f>
        <v/>
      </c>
      <c r="BJ71" s="3" t="str">
        <f>IF(BJ$11&gt;T,"",IF($A71&gt;BJ$12,"",IF(T=BJ$11,100,EXP(-IRTree!BJ72*h)*((BK71+BK72)/2+cc*h))))</f>
        <v/>
      </c>
    </row>
    <row r="72" spans="1:62">
      <c r="A72" s="12">
        <f t="shared" si="2"/>
        <v>59</v>
      </c>
      <c r="B72" s="3" t="str">
        <f>IF(B$11&gt;T,"",IF($A72&gt;B$12,"",IF(T=B$11,100,EXP(-IRTree!B73*h)*((C72+C73)/2+cc*h))))</f>
        <v/>
      </c>
      <c r="C72" s="3" t="str">
        <f>IF(C$11&gt;T,"",IF($A72&gt;C$12,"",IF(T=C$11,100,EXP(-IRTree!C73*h)*((D72+D73)/2+cc*h))))</f>
        <v/>
      </c>
      <c r="D72" s="3" t="str">
        <f>IF(D$11&gt;T,"",IF($A72&gt;D$12,"",IF(T=D$11,100,EXP(-IRTree!D73*h)*((E72+E73)/2+cc*h))))</f>
        <v/>
      </c>
      <c r="E72" s="3" t="str">
        <f>IF(E$11&gt;T,"",IF($A72&gt;E$12,"",IF(T=E$11,100,EXP(-IRTree!E73*h)*((F72+F73)/2+cc*h))))</f>
        <v/>
      </c>
      <c r="F72" s="3" t="str">
        <f>IF(F$11&gt;T,"",IF($A72&gt;F$12,"",IF(T=F$11,100,EXP(-IRTree!F73*h)*((G72+G73)/2+cc*h))))</f>
        <v/>
      </c>
      <c r="G72" s="3" t="str">
        <f>IF(G$11&gt;T,"",IF($A72&gt;G$12,"",IF(T=G$11,100,EXP(-IRTree!G73*h)*((H72+H73)/2+cc*h))))</f>
        <v/>
      </c>
      <c r="H72" s="3" t="str">
        <f>IF(H$11&gt;T,"",IF($A72&gt;H$12,"",IF(T=H$11,100,EXP(-IRTree!H73*h)*((I72+I73)/2+cc*h))))</f>
        <v/>
      </c>
      <c r="I72" s="3" t="str">
        <f>IF(I$11&gt;T,"",IF($A72&gt;I$12,"",IF(T=I$11,100,EXP(-IRTree!I73*h)*((J72+J73)/2+cc*h))))</f>
        <v/>
      </c>
      <c r="J72" s="3" t="str">
        <f>IF(J$11&gt;T,"",IF($A72&gt;J$12,"",IF(T=J$11,100,EXP(-IRTree!J73*h)*((K72+K73)/2+cc*h))))</f>
        <v/>
      </c>
      <c r="K72" s="3" t="str">
        <f>IF(K$11&gt;T,"",IF($A72&gt;K$12,"",IF(T=K$11,100,EXP(-IRTree!K73*h)*((L72+L73)/2+cc*h))))</f>
        <v/>
      </c>
      <c r="L72" s="3" t="str">
        <f>IF(L$11&gt;T,"",IF($A72&gt;L$12,"",IF(T=L$11,100,EXP(-IRTree!L73*h)*((M72+M73)/2+cc*h))))</f>
        <v/>
      </c>
      <c r="M72" s="3" t="str">
        <f>IF(M$11&gt;T,"",IF($A72&gt;M$12,"",IF(T=M$11,100,EXP(-IRTree!M73*h)*((N72+N73)/2+cc*h))))</f>
        <v/>
      </c>
      <c r="N72" s="3" t="str">
        <f>IF(N$11&gt;T,"",IF($A72&gt;N$12,"",IF(T=N$11,100,EXP(-IRTree!N73*h)*((O72+O73)/2+cc*h))))</f>
        <v/>
      </c>
      <c r="O72" s="3" t="str">
        <f>IF(O$11&gt;T,"",IF($A72&gt;O$12,"",IF(T=O$11,100,EXP(-IRTree!O73*h)*((P72+P73)/2+cc*h))))</f>
        <v/>
      </c>
      <c r="P72" s="3" t="str">
        <f>IF(P$11&gt;T,"",IF($A72&gt;P$12,"",IF(T=P$11,100,EXP(-IRTree!P73*h)*((Q72+Q73)/2+cc*h))))</f>
        <v/>
      </c>
      <c r="Q72" s="3" t="str">
        <f>IF(Q$11&gt;T,"",IF($A72&gt;Q$12,"",IF(T=Q$11,100,EXP(-IRTree!Q73*h)*((R72+R73)/2+cc*h))))</f>
        <v/>
      </c>
      <c r="R72" s="3" t="str">
        <f>IF(R$11&gt;T,"",IF($A72&gt;R$12,"",IF(T=R$11,100,EXP(-IRTree!R73*h)*((S72+S73)/2+cc*h))))</f>
        <v/>
      </c>
      <c r="S72" s="3" t="str">
        <f>IF(S$11&gt;T,"",IF($A72&gt;S$12,"",IF(T=S$11,100,EXP(-IRTree!S73*h)*((T72+T73)/2+cc*h))))</f>
        <v/>
      </c>
      <c r="T72" s="3" t="str">
        <f>IF(T$11&gt;T,"",IF($A72&gt;T$12,"",IF(T=T$11,100,EXP(-IRTree!T73*h)*((U72+U73)/2+cc*h))))</f>
        <v/>
      </c>
      <c r="U72" s="3" t="str">
        <f>IF(U$11&gt;T,"",IF($A72&gt;U$12,"",IF(T=U$11,100,EXP(-IRTree!U73*h)*((V72+V73)/2+cc*h))))</f>
        <v/>
      </c>
      <c r="V72" s="3" t="str">
        <f>IF(V$11&gt;T,"",IF($A72&gt;V$12,"",IF(T=V$11,100,EXP(-IRTree!V73*h)*((W72+W73)/2+cc*h))))</f>
        <v/>
      </c>
      <c r="W72" s="3" t="str">
        <f>IF(W$11&gt;T,"",IF($A72&gt;W$12,"",IF(T=W$11,100,EXP(-IRTree!W73*h)*((X72+X73)/2+cc*h))))</f>
        <v/>
      </c>
      <c r="X72" s="3" t="str">
        <f>IF(X$11&gt;T,"",IF($A72&gt;X$12,"",IF(T=X$11,100,EXP(-IRTree!X73*h)*((Y72+Y73)/2+cc*h))))</f>
        <v/>
      </c>
      <c r="Y72" s="3" t="str">
        <f>IF(Y$11&gt;T,"",IF($A72&gt;Y$12,"",IF(T=Y$11,100,EXP(-IRTree!Y73*h)*((Z72+Z73)/2+cc*h))))</f>
        <v/>
      </c>
      <c r="Z72" s="3" t="str">
        <f>IF(Z$11&gt;T,"",IF($A72&gt;Z$12,"",IF(T=Z$11,100,EXP(-IRTree!Z73*h)*((AA72+AA73)/2+cc*h))))</f>
        <v/>
      </c>
      <c r="AA72" s="3" t="str">
        <f>IF(AA$11&gt;T,"",IF($A72&gt;AA$12,"",IF(T=AA$11,100,EXP(-IRTree!AA73*h)*((AB72+AB73)/2+cc*h))))</f>
        <v/>
      </c>
      <c r="AB72" s="3" t="str">
        <f>IF(AB$11&gt;T,"",IF($A72&gt;AB$12,"",IF(T=AB$11,100,EXP(-IRTree!AB73*h)*((AC72+AC73)/2+cc*h))))</f>
        <v/>
      </c>
      <c r="AC72" s="3" t="str">
        <f>IF(AC$11&gt;T,"",IF($A72&gt;AC$12,"",IF(T=AC$11,100,EXP(-IRTree!AC73*h)*((AD72+AD73)/2+cc*h))))</f>
        <v/>
      </c>
      <c r="AD72" s="3" t="str">
        <f>IF(AD$11&gt;T,"",IF($A72&gt;AD$12,"",IF(T=AD$11,100,EXP(-IRTree!AD73*h)*((AE72+AE73)/2+cc*h))))</f>
        <v/>
      </c>
      <c r="AE72" s="3" t="str">
        <f>IF(AE$11&gt;T,"",IF($A72&gt;AE$12,"",IF(T=AE$11,100,EXP(-IRTree!AE73*h)*((AF72+AF73)/2+cc*h))))</f>
        <v/>
      </c>
      <c r="AF72" s="3" t="str">
        <f>IF(AF$11&gt;T,"",IF($A72&gt;AF$12,"",IF(T=AF$11,100,EXP(-IRTree!AF73*h)*((AG72+AG73)/2+cc*h))))</f>
        <v/>
      </c>
      <c r="AG72" s="3" t="str">
        <f>IF(AG$11&gt;T,"",IF($A72&gt;AG$12,"",IF(T=AG$11,100,EXP(-IRTree!AG73*h)*((AH72+AH73)/2+cc*h))))</f>
        <v/>
      </c>
      <c r="AH72" s="3" t="str">
        <f>IF(AH$11&gt;T,"",IF($A72&gt;AH$12,"",IF(T=AH$11,100,EXP(-IRTree!AH73*h)*((AI72+AI73)/2+cc*h))))</f>
        <v/>
      </c>
      <c r="AI72" s="3" t="str">
        <f>IF(AI$11&gt;T,"",IF($A72&gt;AI$12,"",IF(T=AI$11,100,EXP(-IRTree!AI73*h)*((AJ72+AJ73)/2+cc*h))))</f>
        <v/>
      </c>
      <c r="AJ72" s="3" t="str">
        <f>IF(AJ$11&gt;T,"",IF($A72&gt;AJ$12,"",IF(T=AJ$11,100,EXP(-IRTree!AJ73*h)*((AK72+AK73)/2+cc*h))))</f>
        <v/>
      </c>
      <c r="AK72" s="3" t="str">
        <f>IF(AK$11&gt;T,"",IF($A72&gt;AK$12,"",IF(T=AK$11,100,EXP(-IRTree!AK73*h)*((AL72+AL73)/2+cc*h))))</f>
        <v/>
      </c>
      <c r="AL72" s="3" t="str">
        <f>IF(AL$11&gt;T,"",IF($A72&gt;AL$12,"",IF(T=AL$11,100,EXP(-IRTree!AL73*h)*((AM72+AM73)/2+cc*h))))</f>
        <v/>
      </c>
      <c r="AM72" s="3" t="str">
        <f>IF(AM$11&gt;T,"",IF($A72&gt;AM$12,"",IF(T=AM$11,100,EXP(-IRTree!AM73*h)*((AN72+AN73)/2+cc*h))))</f>
        <v/>
      </c>
      <c r="AN72" s="3" t="str">
        <f>IF(AN$11&gt;T,"",IF($A72&gt;AN$12,"",IF(T=AN$11,100,EXP(-IRTree!AN73*h)*((AO72+AO73)/2+cc*h))))</f>
        <v/>
      </c>
      <c r="AO72" s="3" t="str">
        <f>IF(AO$11&gt;T,"",IF($A72&gt;AO$12,"",IF(T=AO$11,100,EXP(-IRTree!AO73*h)*((AP72+AP73)/2+cc*h))))</f>
        <v/>
      </c>
      <c r="AP72" s="3" t="str">
        <f>IF(AP$11&gt;T,"",IF($A72&gt;AP$12,"",IF(T=AP$11,100,EXP(-IRTree!AP73*h)*((AQ72+AQ73)/2+cc*h))))</f>
        <v/>
      </c>
      <c r="AQ72" s="3" t="str">
        <f>IF(AQ$11&gt;T,"",IF($A72&gt;AQ$12,"",IF(T=AQ$11,100,EXP(-IRTree!AQ73*h)*((AR72+AR73)/2+cc*h))))</f>
        <v/>
      </c>
      <c r="AR72" s="3" t="str">
        <f>IF(AR$11&gt;T,"",IF($A72&gt;AR$12,"",IF(T=AR$11,100,EXP(-IRTree!AR73*h)*((AS72+AS73)/2+cc*h))))</f>
        <v/>
      </c>
      <c r="AS72" s="3" t="str">
        <f>IF(AS$11&gt;T,"",IF($A72&gt;AS$12,"",IF(T=AS$11,100,EXP(-IRTree!AS73*h)*((AT72+AT73)/2+cc*h))))</f>
        <v/>
      </c>
      <c r="AT72" s="3" t="str">
        <f>IF(AT$11&gt;T,"",IF($A72&gt;AT$12,"",IF(T=AT$11,100,EXP(-IRTree!AT73*h)*((AU72+AU73)/2+cc*h))))</f>
        <v/>
      </c>
      <c r="AU72" s="3" t="str">
        <f>IF(AU$11&gt;T,"",IF($A72&gt;AU$12,"",IF(T=AU$11,100,EXP(-IRTree!AU73*h)*((AV72+AV73)/2+cc*h))))</f>
        <v/>
      </c>
      <c r="AV72" s="3" t="str">
        <f>IF(AV$11&gt;T,"",IF($A72&gt;AV$12,"",IF(T=AV$11,100,EXP(-IRTree!AV73*h)*((AW72+AW73)/2+cc*h))))</f>
        <v/>
      </c>
      <c r="AW72" s="3" t="str">
        <f>IF(AW$11&gt;T,"",IF($A72&gt;AW$12,"",IF(T=AW$11,100,EXP(-IRTree!AW73*h)*((AX72+AX73)/2+cc*h))))</f>
        <v/>
      </c>
      <c r="AX72" s="3" t="str">
        <f>IF(AX$11&gt;T,"",IF($A72&gt;AX$12,"",IF(T=AX$11,100,EXP(-IRTree!AX73*h)*((AY72+AY73)/2+cc*h))))</f>
        <v/>
      </c>
      <c r="AY72" s="3" t="str">
        <f>IF(AY$11&gt;T,"",IF($A72&gt;AY$12,"",IF(T=AY$11,100,EXP(-IRTree!AY73*h)*((AZ72+AZ73)/2+cc*h))))</f>
        <v/>
      </c>
      <c r="AZ72" s="3" t="str">
        <f>IF(AZ$11&gt;T,"",IF($A72&gt;AZ$12,"",IF(T=AZ$11,100,EXP(-IRTree!AZ73*h)*((BA72+BA73)/2+cc*h))))</f>
        <v/>
      </c>
      <c r="BA72" s="3" t="str">
        <f>IF(BA$11&gt;T,"",IF($A72&gt;BA$12,"",IF(T=BA$11,100,EXP(-IRTree!BA73*h)*((BB72+BB73)/2+cc*h))))</f>
        <v/>
      </c>
      <c r="BB72" s="3" t="str">
        <f>IF(BB$11&gt;T,"",IF($A72&gt;BB$12,"",IF(T=BB$11,100,EXP(-IRTree!BB73*h)*((BC72+BC73)/2+cc*h))))</f>
        <v/>
      </c>
      <c r="BC72" s="3" t="str">
        <f>IF(BC$11&gt;T,"",IF($A72&gt;BC$12,"",IF(T=BC$11,100,EXP(-IRTree!BC73*h)*((BD72+BD73)/2+cc*h))))</f>
        <v/>
      </c>
      <c r="BD72" s="3" t="str">
        <f>IF(BD$11&gt;T,"",IF($A72&gt;BD$12,"",IF(T=BD$11,100,EXP(-IRTree!BD73*h)*((BE72+BE73)/2+cc*h))))</f>
        <v/>
      </c>
      <c r="BE72" s="3" t="str">
        <f>IF(BE$11&gt;T,"",IF($A72&gt;BE$12,"",IF(T=BE$11,100,EXP(-IRTree!BE73*h)*((BF72+BF73)/2+cc*h))))</f>
        <v/>
      </c>
      <c r="BF72" s="3" t="str">
        <f>IF(BF$11&gt;T,"",IF($A72&gt;BF$12,"",IF(T=BF$11,100,EXP(-IRTree!BF73*h)*((BG72+BG73)/2+cc*h))))</f>
        <v/>
      </c>
      <c r="BG72" s="3" t="str">
        <f>IF(BG$11&gt;T,"",IF($A72&gt;BG$12,"",IF(T=BG$11,100,EXP(-IRTree!BG73*h)*((BH72+BH73)/2+cc*h))))</f>
        <v/>
      </c>
      <c r="BH72" s="3" t="str">
        <f>IF(BH$11&gt;T,"",IF($A72&gt;BH$12,"",IF(T=BH$11,100,EXP(-IRTree!BH73*h)*((BI72+BI73)/2+cc*h))))</f>
        <v/>
      </c>
      <c r="BI72" s="3" t="str">
        <f>IF(BI$11&gt;T,"",IF($A72&gt;BI$12,"",IF(T=BI$11,100,EXP(-IRTree!BI73*h)*((BJ72+BJ73)/2+cc*h))))</f>
        <v/>
      </c>
      <c r="BJ72" s="3" t="str">
        <f>IF(BJ$11&gt;T,"",IF($A72&gt;BJ$12,"",IF(T=BJ$11,100,EXP(-IRTree!BJ73*h)*((BK72+BK73)/2+cc*h))))</f>
        <v/>
      </c>
    </row>
    <row r="73" spans="1:62">
      <c r="A73" s="12">
        <f t="shared" si="2"/>
        <v>60</v>
      </c>
      <c r="B73" s="3" t="str">
        <f>IF(B$11&gt;T,"",IF($A73&gt;B$12,"",IF(T=B$11,100,EXP(-IRTree!B74*h)*((C73+C74)/2+cc*h))))</f>
        <v/>
      </c>
      <c r="C73" s="3" t="str">
        <f>IF(C$11&gt;T,"",IF($A73&gt;C$12,"",IF(T=C$11,100,EXP(-IRTree!C74*h)*((D73+D74)/2+cc*h))))</f>
        <v/>
      </c>
      <c r="D73" s="3" t="str">
        <f>IF(D$11&gt;T,"",IF($A73&gt;D$12,"",IF(T=D$11,100,EXP(-IRTree!D74*h)*((E73+E74)/2+cc*h))))</f>
        <v/>
      </c>
      <c r="E73" s="3" t="str">
        <f>IF(E$11&gt;T,"",IF($A73&gt;E$12,"",IF(T=E$11,100,EXP(-IRTree!E74*h)*((F73+F74)/2+cc*h))))</f>
        <v/>
      </c>
      <c r="F73" s="3" t="str">
        <f>IF(F$11&gt;T,"",IF($A73&gt;F$12,"",IF(T=F$11,100,EXP(-IRTree!F74*h)*((G73+G74)/2+cc*h))))</f>
        <v/>
      </c>
      <c r="G73" s="3" t="str">
        <f>IF(G$11&gt;T,"",IF($A73&gt;G$12,"",IF(T=G$11,100,EXP(-IRTree!G74*h)*((H73+H74)/2+cc*h))))</f>
        <v/>
      </c>
      <c r="H73" s="3" t="str">
        <f>IF(H$11&gt;T,"",IF($A73&gt;H$12,"",IF(T=H$11,100,EXP(-IRTree!H74*h)*((I73+I74)/2+cc*h))))</f>
        <v/>
      </c>
      <c r="I73" s="3" t="str">
        <f>IF(I$11&gt;T,"",IF($A73&gt;I$12,"",IF(T=I$11,100,EXP(-IRTree!I74*h)*((J73+J74)/2+cc*h))))</f>
        <v/>
      </c>
      <c r="J73" s="3" t="str">
        <f>IF(J$11&gt;T,"",IF($A73&gt;J$12,"",IF(T=J$11,100,EXP(-IRTree!J74*h)*((K73+K74)/2+cc*h))))</f>
        <v/>
      </c>
      <c r="K73" s="3" t="str">
        <f>IF(K$11&gt;T,"",IF($A73&gt;K$12,"",IF(T=K$11,100,EXP(-IRTree!K74*h)*((L73+L74)/2+cc*h))))</f>
        <v/>
      </c>
      <c r="L73" s="3" t="str">
        <f>IF(L$11&gt;T,"",IF($A73&gt;L$12,"",IF(T=L$11,100,EXP(-IRTree!L74*h)*((M73+M74)/2+cc*h))))</f>
        <v/>
      </c>
      <c r="M73" s="3" t="str">
        <f>IF(M$11&gt;T,"",IF($A73&gt;M$12,"",IF(T=M$11,100,EXP(-IRTree!M74*h)*((N73+N74)/2+cc*h))))</f>
        <v/>
      </c>
      <c r="N73" s="3" t="str">
        <f>IF(N$11&gt;T,"",IF($A73&gt;N$12,"",IF(T=N$11,100,EXP(-IRTree!N74*h)*((O73+O74)/2+cc*h))))</f>
        <v/>
      </c>
      <c r="O73" s="3" t="str">
        <f>IF(O$11&gt;T,"",IF($A73&gt;O$12,"",IF(T=O$11,100,EXP(-IRTree!O74*h)*((P73+P74)/2+cc*h))))</f>
        <v/>
      </c>
      <c r="P73" s="3" t="str">
        <f>IF(P$11&gt;T,"",IF($A73&gt;P$12,"",IF(T=P$11,100,EXP(-IRTree!P74*h)*((Q73+Q74)/2+cc*h))))</f>
        <v/>
      </c>
      <c r="Q73" s="3" t="str">
        <f>IF(Q$11&gt;T,"",IF($A73&gt;Q$12,"",IF(T=Q$11,100,EXP(-IRTree!Q74*h)*((R73+R74)/2+cc*h))))</f>
        <v/>
      </c>
      <c r="R73" s="3" t="str">
        <f>IF(R$11&gt;T,"",IF($A73&gt;R$12,"",IF(T=R$11,100,EXP(-IRTree!R74*h)*((S73+S74)/2+cc*h))))</f>
        <v/>
      </c>
      <c r="S73" s="3" t="str">
        <f>IF(S$11&gt;T,"",IF($A73&gt;S$12,"",IF(T=S$11,100,EXP(-IRTree!S74*h)*((T73+T74)/2+cc*h))))</f>
        <v/>
      </c>
      <c r="T73" s="3" t="str">
        <f>IF(T$11&gt;T,"",IF($A73&gt;T$12,"",IF(T=T$11,100,EXP(-IRTree!T74*h)*((U73+U74)/2+cc*h))))</f>
        <v/>
      </c>
      <c r="U73" s="3" t="str">
        <f>IF(U$11&gt;T,"",IF($A73&gt;U$12,"",IF(T=U$11,100,EXP(-IRTree!U74*h)*((V73+V74)/2+cc*h))))</f>
        <v/>
      </c>
      <c r="V73" s="3" t="str">
        <f>IF(V$11&gt;T,"",IF($A73&gt;V$12,"",IF(T=V$11,100,EXP(-IRTree!V74*h)*((W73+W74)/2+cc*h))))</f>
        <v/>
      </c>
      <c r="W73" s="3" t="str">
        <f>IF(W$11&gt;T,"",IF($A73&gt;W$12,"",IF(T=W$11,100,EXP(-IRTree!W74*h)*((X73+X74)/2+cc*h))))</f>
        <v/>
      </c>
      <c r="X73" s="3" t="str">
        <f>IF(X$11&gt;T,"",IF($A73&gt;X$12,"",IF(T=X$11,100,EXP(-IRTree!X74*h)*((Y73+Y74)/2+cc*h))))</f>
        <v/>
      </c>
      <c r="Y73" s="3" t="str">
        <f>IF(Y$11&gt;T,"",IF($A73&gt;Y$12,"",IF(T=Y$11,100,EXP(-IRTree!Y74*h)*((Z73+Z74)/2+cc*h))))</f>
        <v/>
      </c>
      <c r="Z73" s="3" t="str">
        <f>IF(Z$11&gt;T,"",IF($A73&gt;Z$12,"",IF(T=Z$11,100,EXP(-IRTree!Z74*h)*((AA73+AA74)/2+cc*h))))</f>
        <v/>
      </c>
      <c r="AA73" s="3" t="str">
        <f>IF(AA$11&gt;T,"",IF($A73&gt;AA$12,"",IF(T=AA$11,100,EXP(-IRTree!AA74*h)*((AB73+AB74)/2+cc*h))))</f>
        <v/>
      </c>
      <c r="AB73" s="3" t="str">
        <f>IF(AB$11&gt;T,"",IF($A73&gt;AB$12,"",IF(T=AB$11,100,EXP(-IRTree!AB74*h)*((AC73+AC74)/2+cc*h))))</f>
        <v/>
      </c>
      <c r="AC73" s="3" t="str">
        <f>IF(AC$11&gt;T,"",IF($A73&gt;AC$12,"",IF(T=AC$11,100,EXP(-IRTree!AC74*h)*((AD73+AD74)/2+cc*h))))</f>
        <v/>
      </c>
      <c r="AD73" s="3" t="str">
        <f>IF(AD$11&gt;T,"",IF($A73&gt;AD$12,"",IF(T=AD$11,100,EXP(-IRTree!AD74*h)*((AE73+AE74)/2+cc*h))))</f>
        <v/>
      </c>
      <c r="AE73" s="3" t="str">
        <f>IF(AE$11&gt;T,"",IF($A73&gt;AE$12,"",IF(T=AE$11,100,EXP(-IRTree!AE74*h)*((AF73+AF74)/2+cc*h))))</f>
        <v/>
      </c>
      <c r="AF73" s="3" t="str">
        <f>IF(AF$11&gt;T,"",IF($A73&gt;AF$12,"",IF(T=AF$11,100,EXP(-IRTree!AF74*h)*((AG73+AG74)/2+cc*h))))</f>
        <v/>
      </c>
      <c r="AG73" s="3" t="str">
        <f>IF(AG$11&gt;T,"",IF($A73&gt;AG$12,"",IF(T=AG$11,100,EXP(-IRTree!AG74*h)*((AH73+AH74)/2+cc*h))))</f>
        <v/>
      </c>
      <c r="AH73" s="3" t="str">
        <f>IF(AH$11&gt;T,"",IF($A73&gt;AH$12,"",IF(T=AH$11,100,EXP(-IRTree!AH74*h)*((AI73+AI74)/2+cc*h))))</f>
        <v/>
      </c>
      <c r="AI73" s="3" t="str">
        <f>IF(AI$11&gt;T,"",IF($A73&gt;AI$12,"",IF(T=AI$11,100,EXP(-IRTree!AI74*h)*((AJ73+AJ74)/2+cc*h))))</f>
        <v/>
      </c>
      <c r="AJ73" s="3" t="str">
        <f>IF(AJ$11&gt;T,"",IF($A73&gt;AJ$12,"",IF(T=AJ$11,100,EXP(-IRTree!AJ74*h)*((AK73+AK74)/2+cc*h))))</f>
        <v/>
      </c>
      <c r="AK73" s="3" t="str">
        <f>IF(AK$11&gt;T,"",IF($A73&gt;AK$12,"",IF(T=AK$11,100,EXP(-IRTree!AK74*h)*((AL73+AL74)/2+cc*h))))</f>
        <v/>
      </c>
      <c r="AL73" s="3" t="str">
        <f>IF(AL$11&gt;T,"",IF($A73&gt;AL$12,"",IF(T=AL$11,100,EXP(-IRTree!AL74*h)*((AM73+AM74)/2+cc*h))))</f>
        <v/>
      </c>
      <c r="AM73" s="3" t="str">
        <f>IF(AM$11&gt;T,"",IF($A73&gt;AM$12,"",IF(T=AM$11,100,EXP(-IRTree!AM74*h)*((AN73+AN74)/2+cc*h))))</f>
        <v/>
      </c>
      <c r="AN73" s="3" t="str">
        <f>IF(AN$11&gt;T,"",IF($A73&gt;AN$12,"",IF(T=AN$11,100,EXP(-IRTree!AN74*h)*((AO73+AO74)/2+cc*h))))</f>
        <v/>
      </c>
      <c r="AO73" s="3" t="str">
        <f>IF(AO$11&gt;T,"",IF($A73&gt;AO$12,"",IF(T=AO$11,100,EXP(-IRTree!AO74*h)*((AP73+AP74)/2+cc*h))))</f>
        <v/>
      </c>
      <c r="AP73" s="3" t="str">
        <f>IF(AP$11&gt;T,"",IF($A73&gt;AP$12,"",IF(T=AP$11,100,EXP(-IRTree!AP74*h)*((AQ73+AQ74)/2+cc*h))))</f>
        <v/>
      </c>
      <c r="AQ73" s="3" t="str">
        <f>IF(AQ$11&gt;T,"",IF($A73&gt;AQ$12,"",IF(T=AQ$11,100,EXP(-IRTree!AQ74*h)*((AR73+AR74)/2+cc*h))))</f>
        <v/>
      </c>
      <c r="AR73" s="3" t="str">
        <f>IF(AR$11&gt;T,"",IF($A73&gt;AR$12,"",IF(T=AR$11,100,EXP(-IRTree!AR74*h)*((AS73+AS74)/2+cc*h))))</f>
        <v/>
      </c>
      <c r="AS73" s="3" t="str">
        <f>IF(AS$11&gt;T,"",IF($A73&gt;AS$12,"",IF(T=AS$11,100,EXP(-IRTree!AS74*h)*((AT73+AT74)/2+cc*h))))</f>
        <v/>
      </c>
      <c r="AT73" s="3" t="str">
        <f>IF(AT$11&gt;T,"",IF($A73&gt;AT$12,"",IF(T=AT$11,100,EXP(-IRTree!AT74*h)*((AU73+AU74)/2+cc*h))))</f>
        <v/>
      </c>
      <c r="AU73" s="3" t="str">
        <f>IF(AU$11&gt;T,"",IF($A73&gt;AU$12,"",IF(T=AU$11,100,EXP(-IRTree!AU74*h)*((AV73+AV74)/2+cc*h))))</f>
        <v/>
      </c>
      <c r="AV73" s="3" t="str">
        <f>IF(AV$11&gt;T,"",IF($A73&gt;AV$12,"",IF(T=AV$11,100,EXP(-IRTree!AV74*h)*((AW73+AW74)/2+cc*h))))</f>
        <v/>
      </c>
      <c r="AW73" s="3" t="str">
        <f>IF(AW$11&gt;T,"",IF($A73&gt;AW$12,"",IF(T=AW$11,100,EXP(-IRTree!AW74*h)*((AX73+AX74)/2+cc*h))))</f>
        <v/>
      </c>
      <c r="AX73" s="3" t="str">
        <f>IF(AX$11&gt;T,"",IF($A73&gt;AX$12,"",IF(T=AX$11,100,EXP(-IRTree!AX74*h)*((AY73+AY74)/2+cc*h))))</f>
        <v/>
      </c>
      <c r="AY73" s="3" t="str">
        <f>IF(AY$11&gt;T,"",IF($A73&gt;AY$12,"",IF(T=AY$11,100,EXP(-IRTree!AY74*h)*((AZ73+AZ74)/2+cc*h))))</f>
        <v/>
      </c>
      <c r="AZ73" s="3" t="str">
        <f>IF(AZ$11&gt;T,"",IF($A73&gt;AZ$12,"",IF(T=AZ$11,100,EXP(-IRTree!AZ74*h)*((BA73+BA74)/2+cc*h))))</f>
        <v/>
      </c>
      <c r="BA73" s="3" t="str">
        <f>IF(BA$11&gt;T,"",IF($A73&gt;BA$12,"",IF(T=BA$11,100,EXP(-IRTree!BA74*h)*((BB73+BB74)/2+cc*h))))</f>
        <v/>
      </c>
      <c r="BB73" s="3" t="str">
        <f>IF(BB$11&gt;T,"",IF($A73&gt;BB$12,"",IF(T=BB$11,100,EXP(-IRTree!BB74*h)*((BC73+BC74)/2+cc*h))))</f>
        <v/>
      </c>
      <c r="BC73" s="3" t="str">
        <f>IF(BC$11&gt;T,"",IF($A73&gt;BC$12,"",IF(T=BC$11,100,EXP(-IRTree!BC74*h)*((BD73+BD74)/2+cc*h))))</f>
        <v/>
      </c>
      <c r="BD73" s="3" t="str">
        <f>IF(BD$11&gt;T,"",IF($A73&gt;BD$12,"",IF(T=BD$11,100,EXP(-IRTree!BD74*h)*((BE73+BE74)/2+cc*h))))</f>
        <v/>
      </c>
      <c r="BE73" s="3" t="str">
        <f>IF(BE$11&gt;T,"",IF($A73&gt;BE$12,"",IF(T=BE$11,100,EXP(-IRTree!BE74*h)*((BF73+BF74)/2+cc*h))))</f>
        <v/>
      </c>
      <c r="BF73" s="3" t="str">
        <f>IF(BF$11&gt;T,"",IF($A73&gt;BF$12,"",IF(T=BF$11,100,EXP(-IRTree!BF74*h)*((BG73+BG74)/2+cc*h))))</f>
        <v/>
      </c>
      <c r="BG73" s="3" t="str">
        <f>IF(BG$11&gt;T,"",IF($A73&gt;BG$12,"",IF(T=BG$11,100,EXP(-IRTree!BG74*h)*((BH73+BH74)/2+cc*h))))</f>
        <v/>
      </c>
      <c r="BH73" s="3" t="str">
        <f>IF(BH$11&gt;T,"",IF($A73&gt;BH$12,"",IF(T=BH$11,100,EXP(-IRTree!BH74*h)*((BI73+BI74)/2+cc*h))))</f>
        <v/>
      </c>
      <c r="BI73" s="3" t="str">
        <f>IF(BI$11&gt;T,"",IF($A73&gt;BI$12,"",IF(T=BI$11,100,EXP(-IRTree!BI74*h)*((BJ73+BJ74)/2+cc*h))))</f>
        <v/>
      </c>
      <c r="BJ73" s="3" t="str">
        <f>IF(BJ$11&gt;T,"",IF($A73&gt;BJ$12,"",IF(T=BJ$11,100,EXP(-IRTree!BJ74*h)*((BK73+BK74)/2+cc*h))))</f>
        <v/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0"/>
  <sheetViews>
    <sheetView workbookViewId="0">
      <selection activeCell="G9" sqref="G9"/>
    </sheetView>
  </sheetViews>
  <sheetFormatPr defaultRowHeight="12.75"/>
  <sheetData>
    <row r="1" spans="1:62">
      <c r="B1" s="9" t="s">
        <v>7</v>
      </c>
    </row>
    <row r="6" spans="1:62">
      <c r="C6" t="s">
        <v>21</v>
      </c>
      <c r="D6" s="8">
        <f>LOOKUP(T,Data!$C$3:$AP$3,Data!$C$4:$AP$4)/100</f>
        <v>4.505E-2</v>
      </c>
    </row>
    <row r="9" spans="1:62">
      <c r="G9" s="25" t="s">
        <v>41</v>
      </c>
    </row>
    <row r="11" spans="1:62" s="14" customFormat="1">
      <c r="A11" s="14" t="s">
        <v>2</v>
      </c>
      <c r="B11" s="18">
        <f t="shared" ref="B11:BJ11" si="0">B12*h</f>
        <v>0</v>
      </c>
      <c r="C11" s="18">
        <f t="shared" si="0"/>
        <v>0.25</v>
      </c>
      <c r="D11" s="18">
        <f t="shared" si="0"/>
        <v>0.5</v>
      </c>
      <c r="E11" s="18">
        <f t="shared" si="0"/>
        <v>0.75</v>
      </c>
      <c r="F11" s="18">
        <f t="shared" si="0"/>
        <v>1</v>
      </c>
      <c r="G11" s="18">
        <f t="shared" si="0"/>
        <v>1.25</v>
      </c>
      <c r="H11" s="18">
        <f t="shared" si="0"/>
        <v>1.5</v>
      </c>
      <c r="I11" s="18">
        <f t="shared" si="0"/>
        <v>1.75</v>
      </c>
      <c r="J11" s="18">
        <f t="shared" si="0"/>
        <v>2</v>
      </c>
      <c r="K11" s="18">
        <f t="shared" si="0"/>
        <v>2.25</v>
      </c>
      <c r="L11" s="18">
        <f t="shared" si="0"/>
        <v>2.5</v>
      </c>
      <c r="M11" s="18">
        <f t="shared" si="0"/>
        <v>2.75</v>
      </c>
      <c r="N11" s="18">
        <f t="shared" si="0"/>
        <v>3</v>
      </c>
      <c r="O11" s="18">
        <f t="shared" si="0"/>
        <v>3.25</v>
      </c>
      <c r="P11" s="18">
        <f t="shared" si="0"/>
        <v>3.5</v>
      </c>
      <c r="Q11" s="18">
        <f t="shared" si="0"/>
        <v>3.75</v>
      </c>
      <c r="R11" s="18">
        <f t="shared" si="0"/>
        <v>4</v>
      </c>
      <c r="S11" s="18">
        <f t="shared" si="0"/>
        <v>4.25</v>
      </c>
      <c r="T11" s="18">
        <f t="shared" si="0"/>
        <v>4.5</v>
      </c>
      <c r="U11" s="18">
        <f t="shared" si="0"/>
        <v>4.75</v>
      </c>
      <c r="V11" s="18">
        <f t="shared" si="0"/>
        <v>5</v>
      </c>
      <c r="W11" s="18">
        <f t="shared" si="0"/>
        <v>5.25</v>
      </c>
      <c r="X11" s="18">
        <f t="shared" si="0"/>
        <v>5.5</v>
      </c>
      <c r="Y11" s="18">
        <f t="shared" si="0"/>
        <v>5.75</v>
      </c>
      <c r="Z11" s="18">
        <f t="shared" si="0"/>
        <v>6</v>
      </c>
      <c r="AA11" s="18">
        <f t="shared" si="0"/>
        <v>6.25</v>
      </c>
      <c r="AB11" s="18">
        <f t="shared" si="0"/>
        <v>6.5</v>
      </c>
      <c r="AC11" s="18">
        <f t="shared" si="0"/>
        <v>6.75</v>
      </c>
      <c r="AD11" s="18">
        <f t="shared" si="0"/>
        <v>7</v>
      </c>
      <c r="AE11" s="18">
        <f t="shared" si="0"/>
        <v>7.25</v>
      </c>
      <c r="AF11" s="18">
        <f t="shared" si="0"/>
        <v>7.5</v>
      </c>
      <c r="AG11" s="18">
        <f t="shared" si="0"/>
        <v>7.75</v>
      </c>
      <c r="AH11" s="18">
        <f t="shared" si="0"/>
        <v>8</v>
      </c>
      <c r="AI11" s="18">
        <f t="shared" si="0"/>
        <v>8.25</v>
      </c>
      <c r="AJ11" s="18">
        <f t="shared" si="0"/>
        <v>8.5</v>
      </c>
      <c r="AK11" s="18">
        <f t="shared" si="0"/>
        <v>8.75</v>
      </c>
      <c r="AL11" s="18">
        <f t="shared" si="0"/>
        <v>9</v>
      </c>
      <c r="AM11" s="18">
        <f t="shared" si="0"/>
        <v>9.25</v>
      </c>
      <c r="AN11" s="18">
        <f t="shared" si="0"/>
        <v>9.5</v>
      </c>
      <c r="AO11" s="18">
        <f t="shared" si="0"/>
        <v>9.75</v>
      </c>
      <c r="AP11" s="18">
        <f t="shared" si="0"/>
        <v>10</v>
      </c>
      <c r="AQ11" s="18">
        <f t="shared" si="0"/>
        <v>10.25</v>
      </c>
      <c r="AR11" s="18">
        <f t="shared" si="0"/>
        <v>10.5</v>
      </c>
      <c r="AS11" s="18">
        <f t="shared" si="0"/>
        <v>10.75</v>
      </c>
      <c r="AT11" s="18">
        <f t="shared" si="0"/>
        <v>11</v>
      </c>
      <c r="AU11" s="18">
        <f t="shared" si="0"/>
        <v>11.25</v>
      </c>
      <c r="AV11" s="18">
        <f t="shared" si="0"/>
        <v>11.5</v>
      </c>
      <c r="AW11" s="18">
        <f t="shared" si="0"/>
        <v>11.75</v>
      </c>
      <c r="AX11" s="18">
        <f t="shared" si="0"/>
        <v>12</v>
      </c>
      <c r="AY11" s="18">
        <f t="shared" si="0"/>
        <v>12.25</v>
      </c>
      <c r="AZ11" s="18">
        <f t="shared" si="0"/>
        <v>12.5</v>
      </c>
      <c r="BA11" s="18">
        <f t="shared" si="0"/>
        <v>12.75</v>
      </c>
      <c r="BB11" s="18">
        <f t="shared" si="0"/>
        <v>13</v>
      </c>
      <c r="BC11" s="18">
        <f t="shared" si="0"/>
        <v>13.25</v>
      </c>
      <c r="BD11" s="18">
        <f t="shared" si="0"/>
        <v>13.5</v>
      </c>
      <c r="BE11" s="18">
        <f t="shared" si="0"/>
        <v>13.75</v>
      </c>
      <c r="BF11" s="18">
        <f t="shared" si="0"/>
        <v>14</v>
      </c>
      <c r="BG11" s="18">
        <f t="shared" si="0"/>
        <v>14.25</v>
      </c>
      <c r="BH11" s="18">
        <f t="shared" si="0"/>
        <v>14.5</v>
      </c>
      <c r="BI11" s="18">
        <f t="shared" si="0"/>
        <v>14.75</v>
      </c>
      <c r="BJ11" s="18">
        <f t="shared" si="0"/>
        <v>15</v>
      </c>
    </row>
    <row r="12" spans="1:62">
      <c r="A12" s="4" t="s">
        <v>1</v>
      </c>
      <c r="B12" s="5">
        <v>0</v>
      </c>
      <c r="C12" s="5">
        <f>B12+1</f>
        <v>1</v>
      </c>
      <c r="D12" s="5">
        <f t="shared" ref="D12:BJ12" si="1">C12+1</f>
        <v>2</v>
      </c>
      <c r="E12" s="5">
        <f t="shared" si="1"/>
        <v>3</v>
      </c>
      <c r="F12" s="5">
        <f t="shared" si="1"/>
        <v>4</v>
      </c>
      <c r="G12" s="5">
        <f t="shared" si="1"/>
        <v>5</v>
      </c>
      <c r="H12" s="5">
        <f t="shared" si="1"/>
        <v>6</v>
      </c>
      <c r="I12" s="5">
        <f t="shared" si="1"/>
        <v>7</v>
      </c>
      <c r="J12" s="5">
        <f t="shared" si="1"/>
        <v>8</v>
      </c>
      <c r="K12" s="5">
        <f t="shared" si="1"/>
        <v>9</v>
      </c>
      <c r="L12" s="5">
        <f t="shared" si="1"/>
        <v>10</v>
      </c>
      <c r="M12" s="5">
        <f t="shared" si="1"/>
        <v>11</v>
      </c>
      <c r="N12" s="5">
        <f t="shared" si="1"/>
        <v>12</v>
      </c>
      <c r="O12" s="5">
        <f t="shared" si="1"/>
        <v>13</v>
      </c>
      <c r="P12" s="5">
        <f t="shared" si="1"/>
        <v>14</v>
      </c>
      <c r="Q12" s="5">
        <f t="shared" si="1"/>
        <v>15</v>
      </c>
      <c r="R12" s="5">
        <f t="shared" si="1"/>
        <v>16</v>
      </c>
      <c r="S12" s="5">
        <f t="shared" si="1"/>
        <v>17</v>
      </c>
      <c r="T12" s="5">
        <f t="shared" si="1"/>
        <v>18</v>
      </c>
      <c r="U12" s="5">
        <f t="shared" si="1"/>
        <v>19</v>
      </c>
      <c r="V12" s="5">
        <f t="shared" si="1"/>
        <v>20</v>
      </c>
      <c r="W12" s="5">
        <f t="shared" si="1"/>
        <v>21</v>
      </c>
      <c r="X12" s="5">
        <f t="shared" si="1"/>
        <v>22</v>
      </c>
      <c r="Y12" s="5">
        <f t="shared" si="1"/>
        <v>23</v>
      </c>
      <c r="Z12" s="5">
        <f t="shared" si="1"/>
        <v>24</v>
      </c>
      <c r="AA12" s="5">
        <f t="shared" si="1"/>
        <v>25</v>
      </c>
      <c r="AB12" s="5">
        <f t="shared" si="1"/>
        <v>26</v>
      </c>
      <c r="AC12" s="5">
        <f t="shared" si="1"/>
        <v>27</v>
      </c>
      <c r="AD12" s="5">
        <f t="shared" si="1"/>
        <v>28</v>
      </c>
      <c r="AE12" s="5">
        <f t="shared" si="1"/>
        <v>29</v>
      </c>
      <c r="AF12" s="5">
        <f t="shared" si="1"/>
        <v>30</v>
      </c>
      <c r="AG12" s="5">
        <f t="shared" si="1"/>
        <v>31</v>
      </c>
      <c r="AH12" s="5">
        <f t="shared" si="1"/>
        <v>32</v>
      </c>
      <c r="AI12" s="5">
        <f t="shared" si="1"/>
        <v>33</v>
      </c>
      <c r="AJ12" s="5">
        <f t="shared" si="1"/>
        <v>34</v>
      </c>
      <c r="AK12" s="5">
        <f t="shared" si="1"/>
        <v>35</v>
      </c>
      <c r="AL12" s="5">
        <f t="shared" si="1"/>
        <v>36</v>
      </c>
      <c r="AM12" s="5">
        <f t="shared" si="1"/>
        <v>37</v>
      </c>
      <c r="AN12" s="5">
        <f t="shared" si="1"/>
        <v>38</v>
      </c>
      <c r="AO12" s="5">
        <f t="shared" si="1"/>
        <v>39</v>
      </c>
      <c r="AP12" s="5">
        <f t="shared" si="1"/>
        <v>40</v>
      </c>
      <c r="AQ12" s="5">
        <f t="shared" si="1"/>
        <v>41</v>
      </c>
      <c r="AR12" s="5">
        <f t="shared" si="1"/>
        <v>42</v>
      </c>
      <c r="AS12" s="5">
        <f t="shared" si="1"/>
        <v>43</v>
      </c>
      <c r="AT12" s="5">
        <f t="shared" si="1"/>
        <v>44</v>
      </c>
      <c r="AU12" s="5">
        <f t="shared" si="1"/>
        <v>45</v>
      </c>
      <c r="AV12" s="5">
        <f t="shared" si="1"/>
        <v>46</v>
      </c>
      <c r="AW12" s="5">
        <f t="shared" si="1"/>
        <v>47</v>
      </c>
      <c r="AX12" s="5">
        <f t="shared" si="1"/>
        <v>48</v>
      </c>
      <c r="AY12" s="5">
        <f t="shared" si="1"/>
        <v>49</v>
      </c>
      <c r="AZ12" s="5">
        <f t="shared" si="1"/>
        <v>50</v>
      </c>
      <c r="BA12" s="5">
        <f t="shared" si="1"/>
        <v>51</v>
      </c>
      <c r="BB12" s="5">
        <f t="shared" si="1"/>
        <v>52</v>
      </c>
      <c r="BC12" s="5">
        <f t="shared" si="1"/>
        <v>53</v>
      </c>
      <c r="BD12" s="5">
        <f t="shared" si="1"/>
        <v>54</v>
      </c>
      <c r="BE12" s="5">
        <f t="shared" si="1"/>
        <v>55</v>
      </c>
      <c r="BF12" s="5">
        <f t="shared" si="1"/>
        <v>56</v>
      </c>
      <c r="BG12" s="5">
        <f t="shared" si="1"/>
        <v>57</v>
      </c>
      <c r="BH12" s="5">
        <f t="shared" si="1"/>
        <v>58</v>
      </c>
      <c r="BI12" s="5">
        <f t="shared" si="1"/>
        <v>59</v>
      </c>
      <c r="BJ12" s="5">
        <f t="shared" si="1"/>
        <v>60</v>
      </c>
    </row>
    <row r="13" spans="1:62">
      <c r="A13" s="12">
        <v>0</v>
      </c>
      <c r="B13" s="3">
        <f>IF(T&lt;=B$11,"",IF($A13&gt;B$12,"",IF(T=C$11,EXP(-IRTree!B14*h)*B80,EXP(-IRTree!B14*h)*((C13+C14)/2+B80))))</f>
        <v>8.3558757074765868</v>
      </c>
      <c r="C13" s="3">
        <f>IF(T&lt;=C$11,"",IF($A13&gt;C$12,"",IF(T=D$11,EXP(-IRTree!C14*h)*C80,EXP(-IRTree!C14*h)*((D13+D14)/2+C80))))</f>
        <v>10.592219373111892</v>
      </c>
      <c r="D13" s="3">
        <f>IF(T&lt;=D$11,"",IF($A13&gt;D$12,"",IF(T=E$11,EXP(-IRTree!D14*h)*D80,EXP(-IRTree!D14*h)*((E13+E14)/2+D80))))</f>
        <v>13.35228553208988</v>
      </c>
      <c r="E13" s="3">
        <f>IF(T&lt;=E$11,"",IF($A13&gt;E$12,"",IF(T=F$11,EXP(-IRTree!E14*h)*E80,EXP(-IRTree!E14*h)*((F13+F14)/2+E80))))</f>
        <v>16.732873290961653</v>
      </c>
      <c r="F13" s="3">
        <f>IF(T&lt;=F$11,"",IF($A13&gt;F$12,"",IF(T=G$11,EXP(-IRTree!F14*h)*F80,EXP(-IRTree!F14*h)*((G13+G14)/2+F80))))</f>
        <v>20.883533997979772</v>
      </c>
      <c r="G13" s="3">
        <f>IF(T&lt;=G$11,"",IF($A13&gt;G$12,"",IF(T=H$11,EXP(-IRTree!G14*h)*G80,EXP(-IRTree!G14*h)*((H13+H14)/2+G80))))</f>
        <v>25.5058883019177</v>
      </c>
      <c r="H13" s="3">
        <f>IF(T&lt;=H$11,"",IF($A13&gt;H$12,"",IF(T=I$11,EXP(-IRTree!H14*h)*H80,EXP(-IRTree!H14*h)*((I13+I14)/2+H80))))</f>
        <v>30.335187018850895</v>
      </c>
      <c r="I13" s="3">
        <f>IF(T&lt;=I$11,"",IF($A13&gt;I$12,"",IF(T=J$11,EXP(-IRTree!I14*h)*I80,EXP(-IRTree!I14*h)*((J13+J14)/2+I80))))</f>
        <v>35.217997012559366</v>
      </c>
      <c r="J13" s="3">
        <f>IF(T&lt;=J$11,"",IF($A13&gt;J$12,"",IF(T=K$11,EXP(-IRTree!J14*h)*J80,EXP(-IRTree!J14*h)*((K13+K14)/2+J80))))</f>
        <v>39.857090072273714</v>
      </c>
      <c r="K13" s="3">
        <f>IF(T&lt;=K$11,"",IF($A13&gt;K$12,"",IF(T=L$11,EXP(-IRTree!K14*h)*K80,EXP(-IRTree!K14*h)*((L13+L14)/2+K80))))</f>
        <v>44.43574662200043</v>
      </c>
      <c r="L13" s="3">
        <f>IF(T&lt;=L$11,"",IF($A13&gt;L$12,"",IF(T=M$11,EXP(-IRTree!L14*h)*L80,EXP(-IRTree!L14*h)*((M13+M14)/2+L80))))</f>
        <v>48.743278718009826</v>
      </c>
      <c r="M13" s="3">
        <f>IF(T&lt;=M$11,"",IF($A13&gt;M$12,"",IF(T=N$11,EXP(-IRTree!M14*h)*M80,EXP(-IRTree!M14*h)*((N13+N14)/2+M80))))</f>
        <v>52.920663892917162</v>
      </c>
      <c r="N13" s="3">
        <f>IF(T&lt;=N$11,"",IF($A13&gt;N$12,"",IF(T=O$11,EXP(-IRTree!N14*h)*N80,EXP(-IRTree!N14*h)*((O13+O14)/2+N80))))</f>
        <v>56.95241919686481</v>
      </c>
      <c r="O13" s="3">
        <f>IF(T&lt;=O$11,"",IF($A13&gt;O$12,"",IF(T=P$11,EXP(-IRTree!O14*h)*O80,EXP(-IRTree!O14*h)*((P13+P14)/2+O80))))</f>
        <v>60.925062664678471</v>
      </c>
      <c r="P13" s="3">
        <f>IF(T&lt;=P$11,"",IF($A13&gt;P$12,"",IF(T=Q$11,EXP(-IRTree!P14*h)*P80,EXP(-IRTree!P14*h)*((Q13+Q14)/2+P80))))</f>
        <v>64.389005457540705</v>
      </c>
      <c r="Q13" s="3">
        <f>IF(T&lt;=Q$11,"",IF($A13&gt;Q$12,"",IF(T=R$11,EXP(-IRTree!Q14*h)*Q80,EXP(-IRTree!Q14*h)*((R13+R14)/2+Q80))))</f>
        <v>67.731910999022318</v>
      </c>
      <c r="R13" s="3">
        <f>IF(T&lt;=R$11,"",IF($A13&gt;R$12,"",IF(T=S$11,EXP(-IRTree!R14*h)*R80,EXP(-IRTree!R14*h)*((S13+S14)/2+R80))))</f>
        <v>70.570066214983385</v>
      </c>
      <c r="S13" s="3">
        <f>IF(T&lt;=S$11,"",IF($A13&gt;S$12,"",IF(T=T$11,EXP(-IRTree!S14*h)*S80,EXP(-IRTree!S14*h)*((T13+T14)/2+S80))))</f>
        <v>73.312565909311516</v>
      </c>
      <c r="T13" s="3">
        <f>IF(T&lt;=T$11,"",IF($A13&gt;T$12,"",IF(T=U$11,EXP(-IRTree!T14*h)*T80,EXP(-IRTree!T14*h)*((U13+U14)/2+T80))))</f>
        <v>75.852922190814112</v>
      </c>
      <c r="U13" s="3">
        <f>IF(T&lt;=U$11,"",IF($A13&gt;U$12,"",IF(T=V$11,EXP(-IRTree!U14*h)*U80,EXP(-IRTree!U14*h)*((V13+V14)/2+U80))))</f>
        <v>78.276163295551413</v>
      </c>
      <c r="V13" s="3">
        <f>IF(T&lt;=V$11,"",IF($A13&gt;V$12,"",IF(T=W$11,EXP(-IRTree!V14*h)*V80,EXP(-IRTree!V14*h)*((W13+W14)/2+V80))))</f>
        <v>80.414607475218332</v>
      </c>
      <c r="W13" s="3">
        <f>IF(T&lt;=W$11,"",IF($A13&gt;W$12,"",IF(T=X$11,EXP(-IRTree!W14*h)*W80,EXP(-IRTree!W14*h)*((X13+X14)/2+W80))))</f>
        <v>82.314924738594428</v>
      </c>
      <c r="X13" s="3">
        <f>IF(T&lt;=X$11,"",IF($A13&gt;X$12,"",IF(T=Y$11,EXP(-IRTree!X14*h)*X80,EXP(-IRTree!X14*h)*((Y13+Y14)/2+X80))))</f>
        <v>83.857711106444086</v>
      </c>
      <c r="Y13" s="3">
        <f>IF(T&lt;=Y$11,"",IF($A13&gt;Y$12,"",IF(T=Z$11,EXP(-IRTree!Y14*h)*Y80,EXP(-IRTree!Y14*h)*((Z13+Z14)/2+Y80))))</f>
        <v>85.362573331012342</v>
      </c>
      <c r="Z13" s="3">
        <f>IF(T&lt;=Z$11,"",IF($A13&gt;Z$12,"",IF(T=AA$11,EXP(-IRTree!Z14*h)*Z80,EXP(-IRTree!Z14*h)*((AA13+AA14)/2+Z80))))</f>
        <v>86.548695865911839</v>
      </c>
      <c r="AA13" s="3">
        <f>IF(T&lt;=AA$11,"",IF($A13&gt;AA$12,"",IF(T=AB$11,EXP(-IRTree!AA14*h)*AA80,EXP(-IRTree!AA14*h)*((AB13+AB14)/2+AA80))))</f>
        <v>87.562309816967101</v>
      </c>
      <c r="AB13" s="3">
        <f>IF(T&lt;=AB$11,"",IF($A13&gt;AB$12,"",IF(T=AC$11,EXP(-IRTree!AB14*h)*AB80,EXP(-IRTree!AB14*h)*((AC13+AC14)/2+AB80))))</f>
        <v>88.443193662660946</v>
      </c>
      <c r="AC13" s="3">
        <f>IF(T&lt;=AC$11,"",IF($A13&gt;AC$12,"",IF(T=AD$11,EXP(-IRTree!AC14*h)*AC80,EXP(-IRTree!AC14*h)*((AD13+AD14)/2+AC80))))</f>
        <v>89.028667419625648</v>
      </c>
      <c r="AD13" s="3">
        <f>IF(T&lt;=AD$11,"",IF($A13&gt;AD$12,"",IF(T=AE$11,EXP(-IRTree!AD14*h)*AD80,EXP(-IRTree!AD14*h)*((AE13+AE14)/2+AD80))))</f>
        <v>89.416471637981644</v>
      </c>
      <c r="AE13" s="3">
        <f>IF(T&lt;=AE$11,"",IF($A13&gt;AE$12,"",IF(T=AF$11,EXP(-IRTree!AE14*h)*AE80,EXP(-IRTree!AE14*h)*((AF13+AF14)/2+AE80))))</f>
        <v>89.609478096254477</v>
      </c>
      <c r="AF13" s="3">
        <f>IF(T&lt;=AF$11,"",IF($A13&gt;AF$12,"",IF(T=AG$11,EXP(-IRTree!AF14*h)*AF80,EXP(-IRTree!AF14*h)*((AG13+AG14)/2+AF80))))</f>
        <v>89.485817414630191</v>
      </c>
      <c r="AG13" s="3">
        <f>IF(T&lt;=AG$11,"",IF($A13&gt;AG$12,"",IF(T=AH$11,EXP(-IRTree!AG14*h)*AG80,EXP(-IRTree!AG14*h)*((AH13+AH14)/2+AG80))))</f>
        <v>88.906241172836872</v>
      </c>
      <c r="AH13" s="3">
        <f>IF(T&lt;=AH$11,"",IF($A13&gt;AH$12,"",IF(T=AI$11,EXP(-IRTree!AH14*h)*AH80,EXP(-IRTree!AH14*h)*((AI13+AI14)/2+AH80))))</f>
        <v>87.819951431886864</v>
      </c>
      <c r="AI13" s="3">
        <f>IF(T&lt;=AI$11,"",IF($A13&gt;AI$12,"",IF(T=AJ$11,EXP(-IRTree!AI14*h)*AI80,EXP(-IRTree!AI14*h)*((AJ13+AJ14)/2+AI80))))</f>
        <v>85.824795153547512</v>
      </c>
      <c r="AJ13" s="3">
        <f>IF(T&lt;=AJ$11,"",IF($A13&gt;AJ$12,"",IF(T=AK$11,EXP(-IRTree!AJ14*h)*AJ80,EXP(-IRTree!AJ14*h)*((AK13+AK14)/2+AJ80))))</f>
        <v>83.00290969366965</v>
      </c>
      <c r="AK13" s="3">
        <f>IF(T&lt;=AK$11,"",IF($A13&gt;AK$12,"",IF(T=AL$11,EXP(-IRTree!AK14*h)*AK80,EXP(-IRTree!AK14*h)*((AL13+AL14)/2+AK80))))</f>
        <v>78.774165894266773</v>
      </c>
      <c r="AL13" s="3">
        <f>IF(T&lt;=AL$11,"",IF($A13&gt;AL$12,"",IF(T=AM$11,EXP(-IRTree!AL14*h)*AL80,EXP(-IRTree!AL14*h)*((AM13+AM14)/2+AL80))))</f>
        <v>72.790947966523206</v>
      </c>
      <c r="AM13" s="3">
        <f>IF(T&lt;=AM$11,"",IF($A13&gt;AM$12,"",IF(T=AN$11,EXP(-IRTree!AM14*h)*AM80,EXP(-IRTree!AM14*h)*((AN13+AN14)/2+AM80))))</f>
        <v>62.991515544503301</v>
      </c>
      <c r="AN13" s="3">
        <f>IF(T&lt;=AN$11,"",IF($A13&gt;AN$12,"",IF(T=AO$11,EXP(-IRTree!AN14*h)*AN80,EXP(-IRTree!AN14*h)*((AO13+AO14)/2+AN80))))</f>
        <v>48.939917753631939</v>
      </c>
      <c r="AO13" s="3">
        <f>IF(T&lt;=AO$11,"",IF($A13&gt;AO$12,"",IF(T=AP$11,EXP(-IRTree!AO14*h)*AO80,EXP(-IRTree!AO14*h)*((AP13+AP14)/2+AO80))))</f>
        <v>28.844572700012446</v>
      </c>
      <c r="AP13" s="3" t="str">
        <f>IF(T&lt;=AP$11,"",IF($A13&gt;AP$12,"",IF(T=AQ$11,EXP(-IRTree!AP14*h)*AP80,EXP(-IRTree!AP14*h)*((AQ13+AQ14)/2+AP80))))</f>
        <v/>
      </c>
      <c r="AQ13" s="3" t="str">
        <f>IF(T&lt;=AQ$11,"",IF($A13&gt;AQ$12,"",IF(T=AR$11,EXP(-IRTree!AQ14*h)*AQ80,EXP(-IRTree!AQ14*h)*((AR13+AR14)/2+AQ80))))</f>
        <v/>
      </c>
      <c r="AR13" s="3" t="str">
        <f>IF(T&lt;=AR$11,"",IF($A13&gt;AR$12,"",IF(T=AS$11,EXP(-IRTree!AR14*h)*AR80,EXP(-IRTree!AR14*h)*((AS13+AS14)/2+AR80))))</f>
        <v/>
      </c>
      <c r="AS13" s="3" t="str">
        <f>IF(T&lt;=AS$11,"",IF($A13&gt;AS$12,"",IF(T=AT$11,EXP(-IRTree!AS14*h)*AS80,EXP(-IRTree!AS14*h)*((AT13+AT14)/2+AS80))))</f>
        <v/>
      </c>
      <c r="AT13" s="3" t="str">
        <f>IF(T&lt;=AT$11,"",IF($A13&gt;AT$12,"",IF(T=AU$11,EXP(-IRTree!AT14*h)*AT80,EXP(-IRTree!AT14*h)*((AU13+AU14)/2+AT80))))</f>
        <v/>
      </c>
      <c r="AU13" s="3" t="str">
        <f>IF(T&lt;=AU$11,"",IF($A13&gt;AU$12,"",IF(T=AV$11,EXP(-IRTree!AU14*h)*AU80,EXP(-IRTree!AU14*h)*((AV13+AV14)/2+AU80))))</f>
        <v/>
      </c>
      <c r="AV13" s="3" t="str">
        <f>IF(T&lt;=AV$11,"",IF($A13&gt;AV$12,"",IF(T=AW$11,EXP(-IRTree!AV14*h)*AV80,EXP(-IRTree!AV14*h)*((AW13+AW14)/2+AV80))))</f>
        <v/>
      </c>
      <c r="AW13" s="3" t="str">
        <f>IF(T&lt;=AW$11,"",IF($A13&gt;AW$12,"",IF(T=AX$11,EXP(-IRTree!AW14*h)*AW80,EXP(-IRTree!AW14*h)*((AX13+AX14)/2+AW80))))</f>
        <v/>
      </c>
      <c r="AX13" s="3" t="str">
        <f>IF(T&lt;=AX$11,"",IF($A13&gt;AX$12,"",IF(T=AY$11,EXP(-IRTree!AX14*h)*AX80,EXP(-IRTree!AX14*h)*((AY13+AY14)/2+AX80))))</f>
        <v/>
      </c>
      <c r="AY13" s="3" t="str">
        <f>IF(T&lt;=AY$11,"",IF($A13&gt;AY$12,"",IF(T=AZ$11,EXP(-IRTree!AY14*h)*AY80,EXP(-IRTree!AY14*h)*((AZ13+AZ14)/2+AY80))))</f>
        <v/>
      </c>
      <c r="AZ13" s="3" t="str">
        <f>IF(T&lt;=AZ$11,"",IF($A13&gt;AZ$12,"",IF(T=BA$11,EXP(-IRTree!AZ14*h)*AZ80,EXP(-IRTree!AZ14*h)*((BA13+BA14)/2+AZ80))))</f>
        <v/>
      </c>
      <c r="BA13" s="3" t="str">
        <f>IF(T&lt;=BA$11,"",IF($A13&gt;BA$12,"",IF(T=BB$11,EXP(-IRTree!BA14*h)*BA80,EXP(-IRTree!BA14*h)*((BB13+BB14)/2+BA80))))</f>
        <v/>
      </c>
      <c r="BB13" s="3" t="str">
        <f>IF(T&lt;=BB$11,"",IF($A13&gt;BB$12,"",IF(T=BC$11,EXP(-IRTree!BB14*h)*BB80,EXP(-IRTree!BB14*h)*((BC13+BC14)/2+BB80))))</f>
        <v/>
      </c>
      <c r="BC13" s="3" t="str">
        <f>IF(T&lt;=BC$11,"",IF($A13&gt;BC$12,"",IF(T=BD$11,EXP(-IRTree!BC14*h)*BC80,EXP(-IRTree!BC14*h)*((BD13+BD14)/2+BC80))))</f>
        <v/>
      </c>
      <c r="BD13" s="3" t="str">
        <f>IF(T&lt;=BD$11,"",IF($A13&gt;BD$12,"",IF(T=BE$11,EXP(-IRTree!BD14*h)*BD80,EXP(-IRTree!BD14*h)*((BE13+BE14)/2+BD80))))</f>
        <v/>
      </c>
      <c r="BE13" s="3" t="str">
        <f>IF(T&lt;=BE$11,"",IF($A13&gt;BE$12,"",IF(T=BF$11,EXP(-IRTree!BE14*h)*BE80,EXP(-IRTree!BE14*h)*((BF13+BF14)/2+BE80))))</f>
        <v/>
      </c>
      <c r="BF13" s="3" t="str">
        <f>IF(T&lt;=BF$11,"",IF($A13&gt;BF$12,"",IF(T=BG$11,EXP(-IRTree!BF14*h)*BF80,EXP(-IRTree!BF14*h)*((BG13+BG14)/2+BF80))))</f>
        <v/>
      </c>
      <c r="BG13" s="3" t="str">
        <f>IF(T&lt;=BG$11,"",IF($A13&gt;BG$12,"",IF(T=BH$11,EXP(-IRTree!BG14*h)*BG80,EXP(-IRTree!BG14*h)*((BH13+BH14)/2+BG80))))</f>
        <v/>
      </c>
      <c r="BH13" s="3" t="str">
        <f>IF(T&lt;=BH$11,"",IF($A13&gt;BH$12,"",IF(T=BI$11,EXP(-IRTree!BH14*h)*BH80,EXP(-IRTree!BH14*h)*((BI13+BI14)/2+BH80))))</f>
        <v/>
      </c>
      <c r="BI13" s="3" t="str">
        <f>IF(T&lt;=BI$11,"",IF($A13&gt;BI$12,"",IF(T=BJ$11,EXP(-IRTree!BI14*h)*BI80,EXP(-IRTree!BI14*h)*((BJ13+BJ14)/2+BI80))))</f>
        <v/>
      </c>
      <c r="BJ13" s="3" t="str">
        <f>IF(T&lt;=BJ$11,"",IF($A13&gt;BJ$12,"",IF(T=BK$11,EXP(-IRTree!BJ14*h)*BJ80,EXP(-IRTree!BJ14*h)*((BK13+BK14)/2+BJ80))))</f>
        <v/>
      </c>
    </row>
    <row r="14" spans="1:62">
      <c r="A14" s="12">
        <f>A13+1</f>
        <v>1</v>
      </c>
      <c r="B14" s="3" t="str">
        <f>IF(T&lt;=B$11,"",IF($A14&gt;B$12,"",IF(T=C$11,EXP(-IRTree!B15*h)*B81,EXP(-IRTree!B15*h)*((C14+C15)/2+B81))))</f>
        <v/>
      </c>
      <c r="C14" s="3">
        <f>IF(T&lt;=C$11,"",IF($A14&gt;C$12,"",IF(T=D$11,EXP(-IRTree!C15*h)*C81,EXP(-IRTree!C15*h)*((D14+D15)/2+C81))))</f>
        <v>6.2106033409515025</v>
      </c>
      <c r="D14" s="3">
        <f>IF(T&lt;=D$11,"",IF($A14&gt;D$12,"",IF(T=E$11,EXP(-IRTree!D15*h)*D81,EXP(-IRTree!D15*h)*((E14+E15)/2+D81))))</f>
        <v>7.9749309174892531</v>
      </c>
      <c r="E14" s="3">
        <f>IF(T&lt;=E$11,"",IF($A14&gt;E$12,"",IF(T=F$11,EXP(-IRTree!E15*h)*E81,EXP(-IRTree!E15*h)*((F14+F15)/2+E81))))</f>
        <v>10.183936684376024</v>
      </c>
      <c r="F14" s="3">
        <f>IF(T&lt;=F$11,"",IF($A14&gt;F$12,"",IF(T=G$11,EXP(-IRTree!F15*h)*F81,EXP(-IRTree!F15*h)*((G14+G15)/2+F81))))</f>
        <v>12.940511979120371</v>
      </c>
      <c r="G14" s="3">
        <f>IF(T&lt;=G$11,"",IF($A14&gt;G$12,"",IF(T=H$11,EXP(-IRTree!G15*h)*G81,EXP(-IRTree!G15*h)*((H14+H15)/2+G81))))</f>
        <v>16.374790739442272</v>
      </c>
      <c r="H14" s="3">
        <f>IF(T&lt;=H$11,"",IF($A14&gt;H$12,"",IF(T=I$11,EXP(-IRTree!H15*h)*H81,EXP(-IRTree!H15*h)*((I14+I15)/2+H81))))</f>
        <v>20.469898549823768</v>
      </c>
      <c r="I14" s="3">
        <f>IF(T&lt;=I$11,"",IF($A14&gt;I$12,"",IF(T=J$11,EXP(-IRTree!I15*h)*I81,EXP(-IRTree!I15*h)*((J14+J15)/2+I81))))</f>
        <v>24.901649486396469</v>
      </c>
      <c r="J14" s="3">
        <f>IF(T&lt;=J$11,"",IF($A14&gt;J$12,"",IF(T=K$11,EXP(-IRTree!J15*h)*J81,EXP(-IRTree!J15*h)*((K14+K15)/2+J81))))</f>
        <v>29.359513169125474</v>
      </c>
      <c r="K14" s="3">
        <f>IF(T&lt;=K$11,"",IF($A14&gt;K$12,"",IF(T=L$11,EXP(-IRTree!K15*h)*K81,EXP(-IRTree!K15*h)*((L14+L15)/2+K81))))</f>
        <v>33.864396102405664</v>
      </c>
      <c r="L14" s="3">
        <f>IF(T&lt;=L$11,"",IF($A14&gt;L$12,"",IF(T=M$11,EXP(-IRTree!L15*h)*L81,EXP(-IRTree!L15*h)*((M14+M15)/2+L81))))</f>
        <v>38.237981983019004</v>
      </c>
      <c r="M14" s="3">
        <f>IF(T&lt;=M$11,"",IF($A14&gt;M$12,"",IF(T=N$11,EXP(-IRTree!M15*h)*M81,EXP(-IRTree!M15*h)*((N14+N15)/2+M81))))</f>
        <v>42.54098457663266</v>
      </c>
      <c r="N14" s="3">
        <f>IF(T&lt;=N$11,"",IF($A14&gt;N$12,"",IF(T=O$11,EXP(-IRTree!N15*h)*N81,EXP(-IRTree!N15*h)*((O14+O15)/2+N81))))</f>
        <v>46.749154850632308</v>
      </c>
      <c r="O14" s="3">
        <f>IF(T&lt;=O$11,"",IF($A14&gt;O$12,"",IF(T=P$11,EXP(-IRTree!O15*h)*O81,EXP(-IRTree!O15*h)*((P14+P15)/2+O81))))</f>
        <v>50.921464578077845</v>
      </c>
      <c r="P14" s="3">
        <f>IF(T&lt;=P$11,"",IF($A14&gt;P$12,"",IF(T=Q$11,EXP(-IRTree!P15*h)*P81,EXP(-IRTree!P15*h)*((Q14+Q15)/2+P81))))</f>
        <v>54.696932409181173</v>
      </c>
      <c r="Q14" s="3">
        <f>IF(T&lt;=Q$11,"",IF($A14&gt;Q$12,"",IF(T=R$11,EXP(-IRTree!Q15*h)*Q81,EXP(-IRTree!Q15*h)*((R14+R15)/2+Q81))))</f>
        <v>58.365125719025912</v>
      </c>
      <c r="R14" s="3">
        <f>IF(T&lt;=R$11,"",IF($A14&gt;R$12,"",IF(T=S$11,EXP(-IRTree!R15*h)*R81,EXP(-IRTree!R15*h)*((S14+S15)/2+R81))))</f>
        <v>61.60076677603454</v>
      </c>
      <c r="S14" s="3">
        <f>IF(T&lt;=S$11,"",IF($A14&gt;S$12,"",IF(T=T$11,EXP(-IRTree!S15*h)*S81,EXP(-IRTree!S15*h)*((T14+T15)/2+S81))))</f>
        <v>64.733799281957801</v>
      </c>
      <c r="T14" s="3">
        <f>IF(T&lt;=T$11,"",IF($A14&gt;T$12,"",IF(T=U$11,EXP(-IRTree!T15*h)*T81,EXP(-IRTree!T15*h)*((U14+U15)/2+T81))))</f>
        <v>67.671380625363128</v>
      </c>
      <c r="U14" s="3">
        <f>IF(T&lt;=U$11,"",IF($A14&gt;U$12,"",IF(T=V$11,EXP(-IRTree!U15*h)*U81,EXP(-IRTree!U15*h)*((V14+V15)/2+U81))))</f>
        <v>70.486486324402406</v>
      </c>
      <c r="V14" s="3">
        <f>IF(T&lt;=V$11,"",IF($A14&gt;V$12,"",IF(T=W$11,EXP(-IRTree!V15*h)*V81,EXP(-IRTree!V15*h)*((W14+W15)/2+V81))))</f>
        <v>73.019926465602637</v>
      </c>
      <c r="W14" s="3">
        <f>IF(T&lt;=W$11,"",IF($A14&gt;W$12,"",IF(T=X$11,EXP(-IRTree!W15*h)*W81,EXP(-IRTree!W15*h)*((X14+X15)/2+W81))))</f>
        <v>75.306291067541764</v>
      </c>
      <c r="X14" s="3">
        <f>IF(T&lt;=X$11,"",IF($A14&gt;X$12,"",IF(T=Y$11,EXP(-IRTree!X15*h)*X81,EXP(-IRTree!X15*h)*((Y14+Y15)/2+X81))))</f>
        <v>77.221541481215226</v>
      </c>
      <c r="Y14" s="3">
        <f>IF(T&lt;=Y$11,"",IF($A14&gt;Y$12,"",IF(T=Z$11,EXP(-IRTree!Y15*h)*Y81,EXP(-IRTree!Y15*h)*((Z14+Z15)/2+Y81))))</f>
        <v>79.071254662939722</v>
      </c>
      <c r="Z14" s="3">
        <f>IF(T&lt;=Z$11,"",IF($A14&gt;Z$12,"",IF(T=AA$11,EXP(-IRTree!Z15*h)*Z81,EXP(-IRTree!Z15*h)*((AA14+AA15)/2+Z81))))</f>
        <v>80.570430415605571</v>
      </c>
      <c r="AA14" s="3">
        <f>IF(T&lt;=AA$11,"",IF($A14&gt;AA$12,"",IF(T=AB$11,EXP(-IRTree!AA15*h)*AA81,EXP(-IRTree!AA15*h)*((AB14+AB15)/2+AA81))))</f>
        <v>81.859730846542149</v>
      </c>
      <c r="AB14" s="3">
        <f>IF(T&lt;=AB$11,"",IF($A14&gt;AB$12,"",IF(T=AC$11,EXP(-IRTree!AB15*h)*AB81,EXP(-IRTree!AB15*h)*((AC14+AC15)/2+AB81))))</f>
        <v>82.974703248893931</v>
      </c>
      <c r="AC14" s="3">
        <f>IF(T&lt;=AC$11,"",IF($A14&gt;AC$12,"",IF(T=AD$11,EXP(-IRTree!AC15*h)*AC81,EXP(-IRTree!AC15*h)*((AD14+AD15)/2+AC81))))</f>
        <v>83.738246863065029</v>
      </c>
      <c r="AD14" s="3">
        <f>IF(T&lt;=AD$11,"",IF($A14&gt;AD$12,"",IF(T=AE$11,EXP(-IRTree!AD15*h)*AD81,EXP(-IRTree!AD15*h)*((AE14+AE15)/2+AD81))))</f>
        <v>84.24766609548837</v>
      </c>
      <c r="AE14" s="3">
        <f>IF(T&lt;=AE$11,"",IF($A14&gt;AE$12,"",IF(T=AF$11,EXP(-IRTree!AE15*h)*AE81,EXP(-IRTree!AE15*h)*((AF14+AF15)/2+AE81))))</f>
        <v>84.499912939415395</v>
      </c>
      <c r="AF14" s="3">
        <f>IF(T&lt;=AF$11,"",IF($A14&gt;AF$12,"",IF(T=AG$11,EXP(-IRTree!AF15*h)*AF81,EXP(-IRTree!AF15*h)*((AG14+AG15)/2+AF81))))</f>
        <v>84.357338373097789</v>
      </c>
      <c r="AG14" s="3">
        <f>IF(T&lt;=AG$11,"",IF($A14&gt;AG$12,"",IF(T=AH$11,EXP(-IRTree!AG15*h)*AG81,EXP(-IRTree!AG15*h)*((AH14+AH15)/2+AG81))))</f>
        <v>83.667780741613029</v>
      </c>
      <c r="AH14" s="3">
        <f>IF(T&lt;=AH$11,"",IF($A14&gt;AH$12,"",IF(T=AI$11,EXP(-IRTree!AH15*h)*AH81,EXP(-IRTree!AH15*h)*((AI14+AI15)/2+AH81))))</f>
        <v>82.383008784345932</v>
      </c>
      <c r="AI14" s="3">
        <f>IF(T&lt;=AI$11,"",IF($A14&gt;AI$12,"",IF(T=AJ$11,EXP(-IRTree!AI15*h)*AI81,EXP(-IRTree!AI15*h)*((AJ14+AJ15)/2+AI81))))</f>
        <v>80.096397861580726</v>
      </c>
      <c r="AJ14" s="3">
        <f>IF(T&lt;=AJ$11,"",IF($A14&gt;AJ$12,"",IF(T=AK$11,EXP(-IRTree!AJ15*h)*AJ81,EXP(-IRTree!AJ15*h)*((AK14+AK15)/2+AJ81))))</f>
        <v>76.938695208500633</v>
      </c>
      <c r="AK14" s="3">
        <f>IF(T&lt;=AK$11,"",IF($A14&gt;AK$12,"",IF(T=AL$11,EXP(-IRTree!AK15*h)*AK81,EXP(-IRTree!AK15*h)*((AL14+AL15)/2+AK81))))</f>
        <v>72.36940877498715</v>
      </c>
      <c r="AL14" s="3">
        <f>IF(T&lt;=AL$11,"",IF($A14&gt;AL$12,"",IF(T=AM$11,EXP(-IRTree!AL15*h)*AL81,EXP(-IRTree!AL15*h)*((AM14+AM15)/2+AL81))))</f>
        <v>66.133029574566692</v>
      </c>
      <c r="AM14" s="3">
        <f>IF(T&lt;=AM$11,"",IF($A14&gt;AM$12,"",IF(T=AN$11,EXP(-IRTree!AM15*h)*AM81,EXP(-IRTree!AM15*h)*((AN14+AN15)/2+AM81))))</f>
        <v>56.419495709372399</v>
      </c>
      <c r="AN14" s="3">
        <f>IF(T&lt;=AN$11,"",IF($A14&gt;AN$12,"",IF(T=AO$11,EXP(-IRTree!AN15*h)*AN81,EXP(-IRTree!AN15*h)*((AO14+AO15)/2+AN81))))</f>
        <v>43.11993254533823</v>
      </c>
      <c r="AO14" s="3">
        <f>IF(T&lt;=AO$11,"",IF($A14&gt;AO$12,"",IF(T=AP$11,EXP(-IRTree!AO15*h)*AO81,EXP(-IRTree!AO15*h)*((AP14+AP15)/2+AO81))))</f>
        <v>24.946481534338343</v>
      </c>
      <c r="AP14" s="3" t="str">
        <f>IF(T&lt;=AP$11,"",IF($A14&gt;AP$12,"",IF(T=AQ$11,EXP(-IRTree!AP15*h)*AP81,EXP(-IRTree!AP15*h)*((AQ14+AQ15)/2+AP81))))</f>
        <v/>
      </c>
      <c r="AQ14" s="3" t="str">
        <f>IF(T&lt;=AQ$11,"",IF($A14&gt;AQ$12,"",IF(T=AR$11,EXP(-IRTree!AQ15*h)*AQ81,EXP(-IRTree!AQ15*h)*((AR14+AR15)/2+AQ81))))</f>
        <v/>
      </c>
      <c r="AR14" s="3" t="str">
        <f>IF(T&lt;=AR$11,"",IF($A14&gt;AR$12,"",IF(T=AS$11,EXP(-IRTree!AR15*h)*AR81,EXP(-IRTree!AR15*h)*((AS14+AS15)/2+AR81))))</f>
        <v/>
      </c>
      <c r="AS14" s="3" t="str">
        <f>IF(T&lt;=AS$11,"",IF($A14&gt;AS$12,"",IF(T=AT$11,EXP(-IRTree!AS15*h)*AS81,EXP(-IRTree!AS15*h)*((AT14+AT15)/2+AS81))))</f>
        <v/>
      </c>
      <c r="AT14" s="3" t="str">
        <f>IF(T&lt;=AT$11,"",IF($A14&gt;AT$12,"",IF(T=AU$11,EXP(-IRTree!AT15*h)*AT81,EXP(-IRTree!AT15*h)*((AU14+AU15)/2+AT81))))</f>
        <v/>
      </c>
      <c r="AU14" s="3" t="str">
        <f>IF(T&lt;=AU$11,"",IF($A14&gt;AU$12,"",IF(T=AV$11,EXP(-IRTree!AU15*h)*AU81,EXP(-IRTree!AU15*h)*((AV14+AV15)/2+AU81))))</f>
        <v/>
      </c>
      <c r="AV14" s="3" t="str">
        <f>IF(T&lt;=AV$11,"",IF($A14&gt;AV$12,"",IF(T=AW$11,EXP(-IRTree!AV15*h)*AV81,EXP(-IRTree!AV15*h)*((AW14+AW15)/2+AV81))))</f>
        <v/>
      </c>
      <c r="AW14" s="3" t="str">
        <f>IF(T&lt;=AW$11,"",IF($A14&gt;AW$12,"",IF(T=AX$11,EXP(-IRTree!AW15*h)*AW81,EXP(-IRTree!AW15*h)*((AX14+AX15)/2+AW81))))</f>
        <v/>
      </c>
      <c r="AX14" s="3" t="str">
        <f>IF(T&lt;=AX$11,"",IF($A14&gt;AX$12,"",IF(T=AY$11,EXP(-IRTree!AX15*h)*AX81,EXP(-IRTree!AX15*h)*((AY14+AY15)/2+AX81))))</f>
        <v/>
      </c>
      <c r="AY14" s="3" t="str">
        <f>IF(T&lt;=AY$11,"",IF($A14&gt;AY$12,"",IF(T=AZ$11,EXP(-IRTree!AY15*h)*AY81,EXP(-IRTree!AY15*h)*((AZ14+AZ15)/2+AY81))))</f>
        <v/>
      </c>
      <c r="AZ14" s="3" t="str">
        <f>IF(T&lt;=AZ$11,"",IF($A14&gt;AZ$12,"",IF(T=BA$11,EXP(-IRTree!AZ15*h)*AZ81,EXP(-IRTree!AZ15*h)*((BA14+BA15)/2+AZ81))))</f>
        <v/>
      </c>
      <c r="BA14" s="3" t="str">
        <f>IF(T&lt;=BA$11,"",IF($A14&gt;BA$12,"",IF(T=BB$11,EXP(-IRTree!BA15*h)*BA81,EXP(-IRTree!BA15*h)*((BB14+BB15)/2+BA81))))</f>
        <v/>
      </c>
      <c r="BB14" s="3" t="str">
        <f>IF(T&lt;=BB$11,"",IF($A14&gt;BB$12,"",IF(T=BC$11,EXP(-IRTree!BB15*h)*BB81,EXP(-IRTree!BB15*h)*((BC14+BC15)/2+BB81))))</f>
        <v/>
      </c>
      <c r="BC14" s="3" t="str">
        <f>IF(T&lt;=BC$11,"",IF($A14&gt;BC$12,"",IF(T=BD$11,EXP(-IRTree!BC15*h)*BC81,EXP(-IRTree!BC15*h)*((BD14+BD15)/2+BC81))))</f>
        <v/>
      </c>
      <c r="BD14" s="3" t="str">
        <f>IF(T&lt;=BD$11,"",IF($A14&gt;BD$12,"",IF(T=BE$11,EXP(-IRTree!BD15*h)*BD81,EXP(-IRTree!BD15*h)*((BE14+BE15)/2+BD81))))</f>
        <v/>
      </c>
      <c r="BE14" s="3" t="str">
        <f>IF(T&lt;=BE$11,"",IF($A14&gt;BE$12,"",IF(T=BF$11,EXP(-IRTree!BE15*h)*BE81,EXP(-IRTree!BE15*h)*((BF14+BF15)/2+BE81))))</f>
        <v/>
      </c>
      <c r="BF14" s="3" t="str">
        <f>IF(T&lt;=BF$11,"",IF($A14&gt;BF$12,"",IF(T=BG$11,EXP(-IRTree!BF15*h)*BF81,EXP(-IRTree!BF15*h)*((BG14+BG15)/2+BF81))))</f>
        <v/>
      </c>
      <c r="BG14" s="3" t="str">
        <f>IF(T&lt;=BG$11,"",IF($A14&gt;BG$12,"",IF(T=BH$11,EXP(-IRTree!BG15*h)*BG81,EXP(-IRTree!BG15*h)*((BH14+BH15)/2+BG81))))</f>
        <v/>
      </c>
      <c r="BH14" s="3" t="str">
        <f>IF(T&lt;=BH$11,"",IF($A14&gt;BH$12,"",IF(T=BI$11,EXP(-IRTree!BH15*h)*BH81,EXP(-IRTree!BH15*h)*((BI14+BI15)/2+BH81))))</f>
        <v/>
      </c>
      <c r="BI14" s="3" t="str">
        <f>IF(T&lt;=BI$11,"",IF($A14&gt;BI$12,"",IF(T=BJ$11,EXP(-IRTree!BI15*h)*BI81,EXP(-IRTree!BI15*h)*((BJ14+BJ15)/2+BI81))))</f>
        <v/>
      </c>
      <c r="BJ14" s="3" t="str">
        <f>IF(T&lt;=BJ$11,"",IF($A14&gt;BJ$12,"",IF(T=BK$11,EXP(-IRTree!BJ15*h)*BJ81,EXP(-IRTree!BJ15*h)*((BK14+BK15)/2+BJ81))))</f>
        <v/>
      </c>
    </row>
    <row r="15" spans="1:62">
      <c r="A15" s="12">
        <f t="shared" ref="A15:A73" si="2">A14+1</f>
        <v>2</v>
      </c>
      <c r="B15" s="3" t="str">
        <f>IF(T&lt;=B$11,"",IF($A15&gt;B$12,"",IF(T=C$11,EXP(-IRTree!B16*h)*B82,EXP(-IRTree!B16*h)*((C15+C16)/2+B82))))</f>
        <v/>
      </c>
      <c r="C15" s="3" t="str">
        <f>IF(T&lt;=C$11,"",IF($A15&gt;C$12,"",IF(T=D$11,EXP(-IRTree!C16*h)*C82,EXP(-IRTree!C16*h)*((D15+D16)/2+C82))))</f>
        <v/>
      </c>
      <c r="D15" s="3">
        <f>IF(T&lt;=D$11,"",IF($A15&gt;D$12,"",IF(T=E$11,EXP(-IRTree!D16*h)*D82,EXP(-IRTree!D16*h)*((E15+E16)/2+D82))))</f>
        <v>4.5146912783783746</v>
      </c>
      <c r="E15" s="3">
        <f>IF(T&lt;=E$11,"",IF($A15&gt;E$12,"",IF(T=F$11,EXP(-IRTree!E16*h)*E82,EXP(-IRTree!E16*h)*((F15+F16)/2+E82))))</f>
        <v>5.8728254892330405</v>
      </c>
      <c r="F15" s="3">
        <f>IF(T&lt;=F$11,"",IF($A15&gt;F$12,"",IF(T=G$11,EXP(-IRTree!F16*h)*F82,EXP(-IRTree!F16*h)*((G15+G16)/2+F82))))</f>
        <v>7.5923010249402019</v>
      </c>
      <c r="G15" s="3">
        <f>IF(T&lt;=G$11,"",IF($A15&gt;G$12,"",IF(T=H$11,EXP(-IRTree!G16*h)*G82,EXP(-IRTree!G16*h)*((H15+H16)/2+G82))))</f>
        <v>9.7643917852772475</v>
      </c>
      <c r="H15" s="3">
        <f>IF(T&lt;=H$11,"",IF($A15&gt;H$12,"",IF(T=I$11,EXP(-IRTree!H16*h)*H82,EXP(-IRTree!H16*h)*((I15+I16)/2+H82))))</f>
        <v>12.501025086500237</v>
      </c>
      <c r="I15" s="3">
        <f>IF(T&lt;=I$11,"",IF($A15&gt;I$12,"",IF(T=J$11,EXP(-IRTree!I16*h)*I82,EXP(-IRTree!I16*h)*((J15+J16)/2+I82))))</f>
        <v>15.943862658153598</v>
      </c>
      <c r="J15" s="3">
        <f>IF(T&lt;=J$11,"",IF($A15&gt;J$12,"",IF(T=K$11,EXP(-IRTree!J16*h)*J82,EXP(-IRTree!J16*h)*((K15+K16)/2+J82))))</f>
        <v>19.841473394475702</v>
      </c>
      <c r="K15" s="3">
        <f>IF(T&lt;=K$11,"",IF($A15&gt;K$12,"",IF(T=L$11,EXP(-IRTree!K16*h)*K82,EXP(-IRTree!K16*h)*((L15+L16)/2+K82))))</f>
        <v>23.985258311611656</v>
      </c>
      <c r="L15" s="3">
        <f>IF(T&lt;=L$11,"",IF($A15&gt;L$12,"",IF(T=M$11,EXP(-IRTree!L16*h)*L82,EXP(-IRTree!L16*h)*((M15+M16)/2+L82))))</f>
        <v>28.18110109568617</v>
      </c>
      <c r="M15" s="3">
        <f>IF(T&lt;=M$11,"",IF($A15&gt;M$12,"",IF(T=N$11,EXP(-IRTree!M16*h)*M82,EXP(-IRTree!M16*h)*((N15+N16)/2+M82))))</f>
        <v>32.400055629493018</v>
      </c>
      <c r="N15" s="3">
        <f>IF(T&lt;=N$11,"",IF($A15&gt;N$12,"",IF(T=O$11,EXP(-IRTree!N16*h)*N82,EXP(-IRTree!N16*h)*((O15+O16)/2+N82))))</f>
        <v>36.59489361265755</v>
      </c>
      <c r="O15" s="3">
        <f>IF(T&lt;=O$11,"",IF($A15&gt;O$12,"",IF(T=P$11,EXP(-IRTree!O16*h)*O82,EXP(-IRTree!O16*h)*((P15+P16)/2+O82))))</f>
        <v>40.789343954512809</v>
      </c>
      <c r="P15" s="3">
        <f>IF(T&lt;=P$11,"",IF($A15&gt;P$12,"",IF(T=Q$11,EXP(-IRTree!P16*h)*P82,EXP(-IRTree!P16*h)*((Q15+Q16)/2+P82))))</f>
        <v>44.709048728890316</v>
      </c>
      <c r="Q15" s="3">
        <f>IF(T&lt;=Q$11,"",IF($A15&gt;Q$12,"",IF(T=R$11,EXP(-IRTree!Q16*h)*Q82,EXP(-IRTree!Q16*h)*((R15+R16)/2+Q82))))</f>
        <v>48.545624058584004</v>
      </c>
      <c r="R15" s="3">
        <f>IF(T&lt;=R$11,"",IF($A15&gt;R$12,"",IF(T=S$11,EXP(-IRTree!R16*h)*R82,EXP(-IRTree!R16*h)*((S15+S16)/2+R82))))</f>
        <v>52.039359467422123</v>
      </c>
      <c r="S15" s="3">
        <f>IF(T&lt;=S$11,"",IF($A15&gt;S$12,"",IF(T=T$11,EXP(-IRTree!S16*h)*S82,EXP(-IRTree!S16*h)*((T15+T16)/2+S82))))</f>
        <v>55.434018438836603</v>
      </c>
      <c r="T15" s="3">
        <f>IF(T&lt;=T$11,"",IF($A15&gt;T$12,"",IF(T=U$11,EXP(-IRTree!T16*h)*T82,EXP(-IRTree!T16*h)*((U15+U16)/2+T82))))</f>
        <v>58.65276367007376</v>
      </c>
      <c r="U15" s="3">
        <f>IF(T&lt;=U$11,"",IF($A15&gt;U$12,"",IF(T=V$11,EXP(-IRTree!U16*h)*U82,EXP(-IRTree!U16*h)*((V15+V16)/2+U82))))</f>
        <v>61.753347333164569</v>
      </c>
      <c r="V15" s="3">
        <f>IF(T&lt;=V$11,"",IF($A15&gt;V$12,"",IF(T=W$11,EXP(-IRTree!V16*h)*V82,EXP(-IRTree!V16*h)*((W15+W16)/2+V82))))</f>
        <v>64.593206896984285</v>
      </c>
      <c r="W15" s="3">
        <f>IF(T&lt;=W$11,"",IF($A15&gt;W$12,"",IF(T=X$11,EXP(-IRTree!W16*h)*W82,EXP(-IRTree!W16*h)*((X15+X16)/2+W82))))</f>
        <v>67.193431442947116</v>
      </c>
      <c r="X15" s="3">
        <f>IF(T&lt;=X$11,"",IF($A15&gt;X$12,"",IF(T=Y$11,EXP(-IRTree!X16*h)*X82,EXP(-IRTree!X16*h)*((Y15+Y16)/2+X82))))</f>
        <v>69.43173542444741</v>
      </c>
      <c r="Y15" s="3">
        <f>IF(T&lt;=Y$11,"",IF($A15&gt;Y$12,"",IF(T=Z$11,EXP(-IRTree!Y16*h)*Y82,EXP(-IRTree!Y16*h)*((Z15+Z16)/2+Y82))))</f>
        <v>71.581632384102846</v>
      </c>
      <c r="Z15" s="3">
        <f>IF(T&lt;=Z$11,"",IF($A15&gt;Z$12,"",IF(T=AA$11,EXP(-IRTree!Z16*h)*Z82,EXP(-IRTree!Z16*h)*((AA15+AA16)/2+Z82))))</f>
        <v>73.369551642043106</v>
      </c>
      <c r="AA15" s="3">
        <f>IF(T&lt;=AA$11,"",IF($A15&gt;AA$12,"",IF(T=AB$11,EXP(-IRTree!AA16*h)*AA82,EXP(-IRTree!AA16*h)*((AB15+AB16)/2+AA82))))</f>
        <v>74.920774754988955</v>
      </c>
      <c r="AB15" s="3">
        <f>IF(T&lt;=AB$11,"",IF($A15&gt;AB$12,"",IF(T=AC$11,EXP(-IRTree!AB16*h)*AB82,EXP(-IRTree!AB16*h)*((AC15+AC16)/2+AB82))))</f>
        <v>76.263568330425926</v>
      </c>
      <c r="AC15" s="3">
        <f>IF(T&lt;=AC$11,"",IF($A15&gt;AC$12,"",IF(T=AD$11,EXP(-IRTree!AC16*h)*AC82,EXP(-IRTree!AC16*h)*((AD15+AD16)/2+AC82))))</f>
        <v>77.215220602731705</v>
      </c>
      <c r="AD15" s="3">
        <f>IF(T&lt;=AD$11,"",IF($A15&gt;AD$12,"",IF(T=AE$11,EXP(-IRTree!AD16*h)*AD82,EXP(-IRTree!AD16*h)*((AE15+AE16)/2+AD82))))</f>
        <v>77.865284637636819</v>
      </c>
      <c r="AE15" s="3">
        <f>IF(T&lt;=AE$11,"",IF($A15&gt;AE$12,"",IF(T=AF$11,EXP(-IRTree!AE16*h)*AE82,EXP(-IRTree!AE16*h)*((AF15+AF16)/2+AE82))))</f>
        <v>78.204209681373882</v>
      </c>
      <c r="AF15" s="3">
        <f>IF(T&lt;=AF$11,"",IF($A15&gt;AF$12,"",IF(T=AG$11,EXP(-IRTree!AF16*h)*AF82,EXP(-IRTree!AF16*h)*((AG15+AG16)/2+AF82))))</f>
        <v>78.086079077419541</v>
      </c>
      <c r="AG15" s="3">
        <f>IF(T&lt;=AG$11,"",IF($A15&gt;AG$12,"",IF(T=AH$11,EXP(-IRTree!AG16*h)*AG82,EXP(-IRTree!AG16*h)*((AH15+AH16)/2+AG82))))</f>
        <v>77.354260359446556</v>
      </c>
      <c r="AH15" s="3">
        <f>IF(T&lt;=AH$11,"",IF($A15&gt;AH$12,"",IF(T=AI$11,EXP(-IRTree!AH16*h)*AH82,EXP(-IRTree!AH16*h)*((AI15+AI16)/2+AH82))))</f>
        <v>75.965593235266226</v>
      </c>
      <c r="AI15" s="3">
        <f>IF(T&lt;=AI$11,"",IF($A15&gt;AI$12,"",IF(T=AJ$11,EXP(-IRTree!AI16*h)*AI82,EXP(-IRTree!AI16*h)*((AJ15+AJ16)/2+AI82))))</f>
        <v>73.530157179931621</v>
      </c>
      <c r="AJ15" s="3">
        <f>IF(T&lt;=AJ$11,"",IF($A15&gt;AJ$12,"",IF(T=AK$11,EXP(-IRTree!AJ16*h)*AJ82,EXP(-IRTree!AJ16*h)*((AK15+AK16)/2+AJ82))))</f>
        <v>70.213900129721935</v>
      </c>
      <c r="AK15" s="3">
        <f>IF(T&lt;=AK$11,"",IF($A15&gt;AK$12,"",IF(T=AL$11,EXP(-IRTree!AK16*h)*AK82,EXP(-IRTree!AK16*h)*((AL15+AL16)/2+AK82))))</f>
        <v>65.532475949243988</v>
      </c>
      <c r="AL15" s="3">
        <f>IF(T&lt;=AL$11,"",IF($A15&gt;AL$12,"",IF(T=AM$11,EXP(-IRTree!AL16*h)*AL82,EXP(-IRTree!AL16*h)*((AM15+AM16)/2+AL82))))</f>
        <v>59.310070558271001</v>
      </c>
      <c r="AM15" s="3">
        <f>IF(T&lt;=AM$11,"",IF($A15&gt;AM$12,"",IF(T=AN$11,EXP(-IRTree!AM16*h)*AM82,EXP(-IRTree!AM16*h)*((AN15+AN16)/2+AM82))))</f>
        <v>49.994549740824304</v>
      </c>
      <c r="AN15" s="3">
        <f>IF(T&lt;=AN$11,"",IF($A15&gt;AN$12,"",IF(T=AO$11,EXP(-IRTree!AN16*h)*AN82,EXP(-IRTree!AN16*h)*((AO15+AO16)/2+AN82))))</f>
        <v>37.690247369619691</v>
      </c>
      <c r="AO15" s="3">
        <f>IF(T&lt;=AO$11,"",IF($A15&gt;AO$12,"",IF(T=AP$11,EXP(-IRTree!AO16*h)*AO82,EXP(-IRTree!AO16*h)*((AP15+AP16)/2+AO82))))</f>
        <v>21.472915650994143</v>
      </c>
      <c r="AP15" s="3" t="str">
        <f>IF(T&lt;=AP$11,"",IF($A15&gt;AP$12,"",IF(T=AQ$11,EXP(-IRTree!AP16*h)*AP82,EXP(-IRTree!AP16*h)*((AQ15+AQ16)/2+AP82))))</f>
        <v/>
      </c>
      <c r="AQ15" s="3" t="str">
        <f>IF(T&lt;=AQ$11,"",IF($A15&gt;AQ$12,"",IF(T=AR$11,EXP(-IRTree!AQ16*h)*AQ82,EXP(-IRTree!AQ16*h)*((AR15+AR16)/2+AQ82))))</f>
        <v/>
      </c>
      <c r="AR15" s="3" t="str">
        <f>IF(T&lt;=AR$11,"",IF($A15&gt;AR$12,"",IF(T=AS$11,EXP(-IRTree!AR16*h)*AR82,EXP(-IRTree!AR16*h)*((AS15+AS16)/2+AR82))))</f>
        <v/>
      </c>
      <c r="AS15" s="3" t="str">
        <f>IF(T&lt;=AS$11,"",IF($A15&gt;AS$12,"",IF(T=AT$11,EXP(-IRTree!AS16*h)*AS82,EXP(-IRTree!AS16*h)*((AT15+AT16)/2+AS82))))</f>
        <v/>
      </c>
      <c r="AT15" s="3" t="str">
        <f>IF(T&lt;=AT$11,"",IF($A15&gt;AT$12,"",IF(T=AU$11,EXP(-IRTree!AT16*h)*AT82,EXP(-IRTree!AT16*h)*((AU15+AU16)/2+AT82))))</f>
        <v/>
      </c>
      <c r="AU15" s="3" t="str">
        <f>IF(T&lt;=AU$11,"",IF($A15&gt;AU$12,"",IF(T=AV$11,EXP(-IRTree!AU16*h)*AU82,EXP(-IRTree!AU16*h)*((AV15+AV16)/2+AU82))))</f>
        <v/>
      </c>
      <c r="AV15" s="3" t="str">
        <f>IF(T&lt;=AV$11,"",IF($A15&gt;AV$12,"",IF(T=AW$11,EXP(-IRTree!AV16*h)*AV82,EXP(-IRTree!AV16*h)*((AW15+AW16)/2+AV82))))</f>
        <v/>
      </c>
      <c r="AW15" s="3" t="str">
        <f>IF(T&lt;=AW$11,"",IF($A15&gt;AW$12,"",IF(T=AX$11,EXP(-IRTree!AW16*h)*AW82,EXP(-IRTree!AW16*h)*((AX15+AX16)/2+AW82))))</f>
        <v/>
      </c>
      <c r="AX15" s="3" t="str">
        <f>IF(T&lt;=AX$11,"",IF($A15&gt;AX$12,"",IF(T=AY$11,EXP(-IRTree!AX16*h)*AX82,EXP(-IRTree!AX16*h)*((AY15+AY16)/2+AX82))))</f>
        <v/>
      </c>
      <c r="AY15" s="3" t="str">
        <f>IF(T&lt;=AY$11,"",IF($A15&gt;AY$12,"",IF(T=AZ$11,EXP(-IRTree!AY16*h)*AY82,EXP(-IRTree!AY16*h)*((AZ15+AZ16)/2+AY82))))</f>
        <v/>
      </c>
      <c r="AZ15" s="3" t="str">
        <f>IF(T&lt;=AZ$11,"",IF($A15&gt;AZ$12,"",IF(T=BA$11,EXP(-IRTree!AZ16*h)*AZ82,EXP(-IRTree!AZ16*h)*((BA15+BA16)/2+AZ82))))</f>
        <v/>
      </c>
      <c r="BA15" s="3" t="str">
        <f>IF(T&lt;=BA$11,"",IF($A15&gt;BA$12,"",IF(T=BB$11,EXP(-IRTree!BA16*h)*BA82,EXP(-IRTree!BA16*h)*((BB15+BB16)/2+BA82))))</f>
        <v/>
      </c>
      <c r="BB15" s="3" t="str">
        <f>IF(T&lt;=BB$11,"",IF($A15&gt;BB$12,"",IF(T=BC$11,EXP(-IRTree!BB16*h)*BB82,EXP(-IRTree!BB16*h)*((BC15+BC16)/2+BB82))))</f>
        <v/>
      </c>
      <c r="BC15" s="3" t="str">
        <f>IF(T&lt;=BC$11,"",IF($A15&gt;BC$12,"",IF(T=BD$11,EXP(-IRTree!BC16*h)*BC82,EXP(-IRTree!BC16*h)*((BD15+BD16)/2+BC82))))</f>
        <v/>
      </c>
      <c r="BD15" s="3" t="str">
        <f>IF(T&lt;=BD$11,"",IF($A15&gt;BD$12,"",IF(T=BE$11,EXP(-IRTree!BD16*h)*BD82,EXP(-IRTree!BD16*h)*((BE15+BE16)/2+BD82))))</f>
        <v/>
      </c>
      <c r="BE15" s="3" t="str">
        <f>IF(T&lt;=BE$11,"",IF($A15&gt;BE$12,"",IF(T=BF$11,EXP(-IRTree!BE16*h)*BE82,EXP(-IRTree!BE16*h)*((BF15+BF16)/2+BE82))))</f>
        <v/>
      </c>
      <c r="BF15" s="3" t="str">
        <f>IF(T&lt;=BF$11,"",IF($A15&gt;BF$12,"",IF(T=BG$11,EXP(-IRTree!BF16*h)*BF82,EXP(-IRTree!BF16*h)*((BG15+BG16)/2+BF82))))</f>
        <v/>
      </c>
      <c r="BG15" s="3" t="str">
        <f>IF(T&lt;=BG$11,"",IF($A15&gt;BG$12,"",IF(T=BH$11,EXP(-IRTree!BG16*h)*BG82,EXP(-IRTree!BG16*h)*((BH15+BH16)/2+BG82))))</f>
        <v/>
      </c>
      <c r="BH15" s="3" t="str">
        <f>IF(T&lt;=BH$11,"",IF($A15&gt;BH$12,"",IF(T=BI$11,EXP(-IRTree!BH16*h)*BH82,EXP(-IRTree!BH16*h)*((BI15+BI16)/2+BH82))))</f>
        <v/>
      </c>
      <c r="BI15" s="3" t="str">
        <f>IF(T&lt;=BI$11,"",IF($A15&gt;BI$12,"",IF(T=BJ$11,EXP(-IRTree!BI16*h)*BI82,EXP(-IRTree!BI16*h)*((BJ15+BJ16)/2+BI82))))</f>
        <v/>
      </c>
      <c r="BJ15" s="3" t="str">
        <f>IF(T&lt;=BJ$11,"",IF($A15&gt;BJ$12,"",IF(T=BK$11,EXP(-IRTree!BJ16*h)*BJ82,EXP(-IRTree!BJ16*h)*((BK15+BK16)/2+BJ82))))</f>
        <v/>
      </c>
    </row>
    <row r="16" spans="1:62">
      <c r="A16" s="12">
        <f t="shared" si="2"/>
        <v>3</v>
      </c>
      <c r="B16" s="3" t="str">
        <f>IF(T&lt;=B$11,"",IF($A16&gt;B$12,"",IF(T=C$11,EXP(-IRTree!B17*h)*B83,EXP(-IRTree!B17*h)*((C16+C17)/2+B83))))</f>
        <v/>
      </c>
      <c r="C16" s="3" t="str">
        <f>IF(T&lt;=C$11,"",IF($A16&gt;C$12,"",IF(T=D$11,EXP(-IRTree!C17*h)*C83,EXP(-IRTree!C17*h)*((D16+D17)/2+C83))))</f>
        <v/>
      </c>
      <c r="D16" s="3" t="str">
        <f>IF(T&lt;=D$11,"",IF($A16&gt;D$12,"",IF(T=E$11,EXP(-IRTree!D17*h)*D83,EXP(-IRTree!D17*h)*((E16+E17)/2+D83))))</f>
        <v/>
      </c>
      <c r="E16" s="3">
        <f>IF(T&lt;=E$11,"",IF($A16&gt;E$12,"",IF(T=F$11,EXP(-IRTree!E17*h)*E83,EXP(-IRTree!E17*h)*((F16+F17)/2+E83))))</f>
        <v>3.2075963998641015</v>
      </c>
      <c r="F16" s="3">
        <f>IF(T&lt;=F$11,"",IF($A16&gt;F$12,"",IF(T=G$11,EXP(-IRTree!F17*h)*F83,EXP(-IRTree!F17*h)*((G16+G17)/2+F83))))</f>
        <v>4.2253158526653358</v>
      </c>
      <c r="G16" s="3">
        <f>IF(T&lt;=G$11,"",IF($A16&gt;G$12,"",IF(T=H$11,EXP(-IRTree!G17*h)*G83,EXP(-IRTree!G17*h)*((H16+H17)/2+G83))))</f>
        <v>5.5320306974943572</v>
      </c>
      <c r="H16" s="3">
        <f>IF(T&lt;=H$11,"",IF($A16&gt;H$12,"",IF(T=I$11,EXP(-IRTree!H17*h)*H83,EXP(-IRTree!H17*h)*((I16+I17)/2+H83))))</f>
        <v>7.2023543846478359</v>
      </c>
      <c r="I16" s="3">
        <f>IF(T&lt;=I$11,"",IF($A16&gt;I$12,"",IF(T=J$11,EXP(-IRTree!I17*h)*I83,EXP(-IRTree!I17*h)*((J16+J17)/2+I83))))</f>
        <v>9.3288879351598375</v>
      </c>
      <c r="J16" s="3">
        <f>IF(T&lt;=J$11,"",IF($A16&gt;J$12,"",IF(T=K$11,EXP(-IRTree!J17*h)*J83,EXP(-IRTree!J17*h)*((K16+K17)/2+J83))))</f>
        <v>12.029768212845008</v>
      </c>
      <c r="K16" s="3">
        <f>IF(T&lt;=K$11,"",IF($A16&gt;K$12,"",IF(T=L$11,EXP(-IRTree!K17*h)*K83,EXP(-IRTree!K17*h)*((L16+L17)/2+K83))))</f>
        <v>15.3792766088619</v>
      </c>
      <c r="L16" s="3">
        <f>IF(T&lt;=L$11,"",IF($A16&gt;L$12,"",IF(T=M$11,EXP(-IRTree!L17*h)*L83,EXP(-IRTree!L17*h)*((M16+M17)/2+L83))))</f>
        <v>19.079974775782688</v>
      </c>
      <c r="M16" s="3">
        <f>IF(T&lt;=M$11,"",IF($A16&gt;M$12,"",IF(T=N$11,EXP(-IRTree!M17*h)*M83,EXP(-IRTree!M17*h)*((N16+N17)/2+M83))))</f>
        <v>22.973747557879129</v>
      </c>
      <c r="N16" s="3">
        <f>IF(T&lt;=N$11,"",IF($A16&gt;N$12,"",IF(T=O$11,EXP(-IRTree!N17*h)*N83,EXP(-IRTree!N17*h)*((O16+O17)/2+N83))))</f>
        <v>26.957921635500544</v>
      </c>
      <c r="O16" s="3">
        <f>IF(T&lt;=O$11,"",IF($A16&gt;O$12,"",IF(T=P$11,EXP(-IRTree!O17*h)*O83,EXP(-IRTree!O17*h)*((P16+P17)/2+O83))))</f>
        <v>31.003452973866555</v>
      </c>
      <c r="P16" s="3">
        <f>IF(T&lt;=P$11,"",IF($A16&gt;P$12,"",IF(T=Q$11,EXP(-IRTree!P17*h)*P83,EXP(-IRTree!P17*h)*((Q16+Q17)/2+P83))))</f>
        <v>34.903246249592549</v>
      </c>
      <c r="Q16" s="3">
        <f>IF(T&lt;=Q$11,"",IF($A16&gt;Q$12,"",IF(T=R$11,EXP(-IRTree!Q17*h)*Q83,EXP(-IRTree!Q17*h)*((R16+R17)/2+Q83))))</f>
        <v>38.755487644947763</v>
      </c>
      <c r="R16" s="3">
        <f>IF(T&lt;=R$11,"",IF($A16&gt;R$12,"",IF(T=S$11,EXP(-IRTree!R17*h)*R83,EXP(-IRTree!R17*h)*((S16+S17)/2+R83))))</f>
        <v>42.361810826451958</v>
      </c>
      <c r="S16" s="3">
        <f>IF(T&lt;=S$11,"",IF($A16&gt;S$12,"",IF(T=T$11,EXP(-IRTree!S17*h)*S83,EXP(-IRTree!S17*h)*((T16+T17)/2+S83))))</f>
        <v>45.88153778714927</v>
      </c>
      <c r="T16" s="3">
        <f>IF(T&lt;=T$11,"",IF($A16&gt;T$12,"",IF(T=U$11,EXP(-IRTree!T17*h)*T83,EXP(-IRTree!T17*h)*((U16+U17)/2+T83))))</f>
        <v>49.253203220597875</v>
      </c>
      <c r="U16" s="3">
        <f>IF(T&lt;=U$11,"",IF($A16&gt;U$12,"",IF(T=V$11,EXP(-IRTree!U17*h)*U83,EXP(-IRTree!U17*h)*((V16+V17)/2+U83))))</f>
        <v>52.517834650230462</v>
      </c>
      <c r="V16" s="3">
        <f>IF(T&lt;=V$11,"",IF($A16&gt;V$12,"",IF(T=W$11,EXP(-IRTree!V17*h)*V83,EXP(-IRTree!V17*h)*((W16+W17)/2+V83))))</f>
        <v>55.55489064801278</v>
      </c>
      <c r="W16" s="3">
        <f>IF(T&lt;=W$11,"",IF($A16&gt;W$12,"",IF(T=X$11,EXP(-IRTree!W17*h)*W83,EXP(-IRTree!W17*h)*((X16+X17)/2+W83))))</f>
        <v>58.372571838127008</v>
      </c>
      <c r="X16" s="3">
        <f>IF(T&lt;=X$11,"",IF($A16&gt;X$12,"",IF(T=Y$11,EXP(-IRTree!X17*h)*X83,EXP(-IRTree!X17*h)*((Y16+Y17)/2+X83))))</f>
        <v>60.856745939078259</v>
      </c>
      <c r="Y16" s="3">
        <f>IF(T&lt;=Y$11,"",IF($A16&gt;Y$12,"",IF(T=Z$11,EXP(-IRTree!Y17*h)*Y83,EXP(-IRTree!Y17*h)*((Z16+Z17)/2+Y83))))</f>
        <v>63.23604622441853</v>
      </c>
      <c r="Z16" s="3">
        <f>IF(T&lt;=Z$11,"",IF($A16&gt;Z$12,"",IF(T=AA$11,EXP(-IRTree!Z17*h)*Z83,EXP(-IRTree!Z17*h)*((AA16+AA17)/2+Z83))))</f>
        <v>65.262238315749741</v>
      </c>
      <c r="AA16" s="3">
        <f>IF(T&lt;=AA$11,"",IF($A16&gt;AA$12,"",IF(T=AB$11,EXP(-IRTree!AA17*h)*AA83,EXP(-IRTree!AA17*h)*((AB16+AB17)/2+AA83))))</f>
        <v>67.038146048110519</v>
      </c>
      <c r="AB16" s="3">
        <f>IF(T&lt;=AB$11,"",IF($A16&gt;AB$12,"",IF(T=AC$11,EXP(-IRTree!AB17*h)*AB83,EXP(-IRTree!AB17*h)*((AC16+AC17)/2+AB83))))</f>
        <v>68.58276369471379</v>
      </c>
      <c r="AC16" s="3">
        <f>IF(T&lt;=AC$11,"",IF($A16&gt;AC$12,"",IF(T=AD$11,EXP(-IRTree!AC17*h)*AC83,EXP(-IRTree!AC17*h)*((AD16+AD17)/2+AC83))))</f>
        <v>69.717475780099534</v>
      </c>
      <c r="AD16" s="3">
        <f>IF(T&lt;=AD$11,"",IF($A16&gt;AD$12,"",IF(T=AE$11,EXP(-IRTree!AD17*h)*AD83,EXP(-IRTree!AD17*h)*((AE16+AE17)/2+AD83))))</f>
        <v>70.517872067739134</v>
      </c>
      <c r="AE16" s="3">
        <f>IF(T&lt;=AE$11,"",IF($A16&gt;AE$12,"",IF(T=AF$11,EXP(-IRTree!AE17*h)*AE83,EXP(-IRTree!AE17*h)*((AF16+AF17)/2+AE83))))</f>
        <v>70.967801509588</v>
      </c>
      <c r="AF16" s="3">
        <f>IF(T&lt;=AF$11,"",IF($A16&gt;AF$12,"",IF(T=AG$11,EXP(-IRTree!AF17*h)*AF83,EXP(-IRTree!AF17*h)*((AG16+AG17)/2+AF83))))</f>
        <v>70.920859392000224</v>
      </c>
      <c r="AG16" s="3">
        <f>IF(T&lt;=AG$11,"",IF($A16&gt;AG$12,"",IF(T=AH$11,EXP(-IRTree!AG17*h)*AG83,EXP(-IRTree!AG17*h)*((AH16+AH17)/2+AG83))))</f>
        <v>70.223440473746535</v>
      </c>
      <c r="AH16" s="3">
        <f>IF(T&lt;=AH$11,"",IF($A16&gt;AH$12,"",IF(T=AI$11,EXP(-IRTree!AH17*h)*AH83,EXP(-IRTree!AH17*h)*((AI16+AI17)/2+AH83))))</f>
        <v>68.837248122884475</v>
      </c>
      <c r="AI16" s="3">
        <f>IF(T&lt;=AI$11,"",IF($A16&gt;AI$12,"",IF(T=AJ$11,EXP(-IRTree!AI17*h)*AI83,EXP(-IRTree!AI17*h)*((AJ16+AJ17)/2+AI83))))</f>
        <v>66.404231784911431</v>
      </c>
      <c r="AJ16" s="3">
        <f>IF(T&lt;=AJ$11,"",IF($A16&gt;AJ$12,"",IF(T=AK$11,EXP(-IRTree!AJ17*h)*AJ83,EXP(-IRTree!AJ17*h)*((AK16+AK17)/2+AJ83))))</f>
        <v>63.107160379962984</v>
      </c>
      <c r="AK16" s="3">
        <f>IF(T&lt;=AK$11,"",IF($A16&gt;AK$12,"",IF(T=AL$11,EXP(-IRTree!AK17*h)*AK83,EXP(-IRTree!AK17*h)*((AL16+AL17)/2+AK83))))</f>
        <v>58.525484955989086</v>
      </c>
      <c r="AL16" s="3">
        <f>IF(T&lt;=AL$11,"",IF($A16&gt;AL$12,"",IF(T=AM$11,EXP(-IRTree!AL17*h)*AL83,EXP(-IRTree!AL17*h)*((AM16+AM17)/2+AL83))))</f>
        <v>52.545561868000469</v>
      </c>
      <c r="AM16" s="3">
        <f>IF(T&lt;=AM$11,"",IF($A16&gt;AM$12,"",IF(T=AN$11,EXP(-IRTree!AM17*h)*AM83,EXP(-IRTree!AM17*h)*((AN16+AN17)/2+AM83))))</f>
        <v>43.862719659906929</v>
      </c>
      <c r="AN16" s="3">
        <f>IF(T&lt;=AN$11,"",IF($A16&gt;AN$12,"",IF(T=AO$11,EXP(-IRTree!AN17*h)*AN83,EXP(-IRTree!AN17*h)*((AO16+AO17)/2+AN83))))</f>
        <v>32.702513757849246</v>
      </c>
      <c r="AO16" s="3">
        <f>IF(T&lt;=AO$11,"",IF($A16&gt;AO$12,"",IF(T=AP$11,EXP(-IRTree!AO17*h)*AO83,EXP(-IRTree!AO17*h)*((AP16+AP17)/2+AO83))))</f>
        <v>18.40067543165976</v>
      </c>
      <c r="AP16" s="3" t="str">
        <f>IF(T&lt;=AP$11,"",IF($A16&gt;AP$12,"",IF(T=AQ$11,EXP(-IRTree!AP17*h)*AP83,EXP(-IRTree!AP17*h)*((AQ16+AQ17)/2+AP83))))</f>
        <v/>
      </c>
      <c r="AQ16" s="3" t="str">
        <f>IF(T&lt;=AQ$11,"",IF($A16&gt;AQ$12,"",IF(T=AR$11,EXP(-IRTree!AQ17*h)*AQ83,EXP(-IRTree!AQ17*h)*((AR16+AR17)/2+AQ83))))</f>
        <v/>
      </c>
      <c r="AR16" s="3" t="str">
        <f>IF(T&lt;=AR$11,"",IF($A16&gt;AR$12,"",IF(T=AS$11,EXP(-IRTree!AR17*h)*AR83,EXP(-IRTree!AR17*h)*((AS16+AS17)/2+AR83))))</f>
        <v/>
      </c>
      <c r="AS16" s="3" t="str">
        <f>IF(T&lt;=AS$11,"",IF($A16&gt;AS$12,"",IF(T=AT$11,EXP(-IRTree!AS17*h)*AS83,EXP(-IRTree!AS17*h)*((AT16+AT17)/2+AS83))))</f>
        <v/>
      </c>
      <c r="AT16" s="3" t="str">
        <f>IF(T&lt;=AT$11,"",IF($A16&gt;AT$12,"",IF(T=AU$11,EXP(-IRTree!AT17*h)*AT83,EXP(-IRTree!AT17*h)*((AU16+AU17)/2+AT83))))</f>
        <v/>
      </c>
      <c r="AU16" s="3" t="str">
        <f>IF(T&lt;=AU$11,"",IF($A16&gt;AU$12,"",IF(T=AV$11,EXP(-IRTree!AU17*h)*AU83,EXP(-IRTree!AU17*h)*((AV16+AV17)/2+AU83))))</f>
        <v/>
      </c>
      <c r="AV16" s="3" t="str">
        <f>IF(T&lt;=AV$11,"",IF($A16&gt;AV$12,"",IF(T=AW$11,EXP(-IRTree!AV17*h)*AV83,EXP(-IRTree!AV17*h)*((AW16+AW17)/2+AV83))))</f>
        <v/>
      </c>
      <c r="AW16" s="3" t="str">
        <f>IF(T&lt;=AW$11,"",IF($A16&gt;AW$12,"",IF(T=AX$11,EXP(-IRTree!AW17*h)*AW83,EXP(-IRTree!AW17*h)*((AX16+AX17)/2+AW83))))</f>
        <v/>
      </c>
      <c r="AX16" s="3" t="str">
        <f>IF(T&lt;=AX$11,"",IF($A16&gt;AX$12,"",IF(T=AY$11,EXP(-IRTree!AX17*h)*AX83,EXP(-IRTree!AX17*h)*((AY16+AY17)/2+AX83))))</f>
        <v/>
      </c>
      <c r="AY16" s="3" t="str">
        <f>IF(T&lt;=AY$11,"",IF($A16&gt;AY$12,"",IF(T=AZ$11,EXP(-IRTree!AY17*h)*AY83,EXP(-IRTree!AY17*h)*((AZ16+AZ17)/2+AY83))))</f>
        <v/>
      </c>
      <c r="AZ16" s="3" t="str">
        <f>IF(T&lt;=AZ$11,"",IF($A16&gt;AZ$12,"",IF(T=BA$11,EXP(-IRTree!AZ17*h)*AZ83,EXP(-IRTree!AZ17*h)*((BA16+BA17)/2+AZ83))))</f>
        <v/>
      </c>
      <c r="BA16" s="3" t="str">
        <f>IF(T&lt;=BA$11,"",IF($A16&gt;BA$12,"",IF(T=BB$11,EXP(-IRTree!BA17*h)*BA83,EXP(-IRTree!BA17*h)*((BB16+BB17)/2+BA83))))</f>
        <v/>
      </c>
      <c r="BB16" s="3" t="str">
        <f>IF(T&lt;=BB$11,"",IF($A16&gt;BB$12,"",IF(T=BC$11,EXP(-IRTree!BB17*h)*BB83,EXP(-IRTree!BB17*h)*((BC16+BC17)/2+BB83))))</f>
        <v/>
      </c>
      <c r="BC16" s="3" t="str">
        <f>IF(T&lt;=BC$11,"",IF($A16&gt;BC$12,"",IF(T=BD$11,EXP(-IRTree!BC17*h)*BC83,EXP(-IRTree!BC17*h)*((BD16+BD17)/2+BC83))))</f>
        <v/>
      </c>
      <c r="BD16" s="3" t="str">
        <f>IF(T&lt;=BD$11,"",IF($A16&gt;BD$12,"",IF(T=BE$11,EXP(-IRTree!BD17*h)*BD83,EXP(-IRTree!BD17*h)*((BE16+BE17)/2+BD83))))</f>
        <v/>
      </c>
      <c r="BE16" s="3" t="str">
        <f>IF(T&lt;=BE$11,"",IF($A16&gt;BE$12,"",IF(T=BF$11,EXP(-IRTree!BE17*h)*BE83,EXP(-IRTree!BE17*h)*((BF16+BF17)/2+BE83))))</f>
        <v/>
      </c>
      <c r="BF16" s="3" t="str">
        <f>IF(T&lt;=BF$11,"",IF($A16&gt;BF$12,"",IF(T=BG$11,EXP(-IRTree!BF17*h)*BF83,EXP(-IRTree!BF17*h)*((BG16+BG17)/2+BF83))))</f>
        <v/>
      </c>
      <c r="BG16" s="3" t="str">
        <f>IF(T&lt;=BG$11,"",IF($A16&gt;BG$12,"",IF(T=BH$11,EXP(-IRTree!BG17*h)*BG83,EXP(-IRTree!BG17*h)*((BH16+BH17)/2+BG83))))</f>
        <v/>
      </c>
      <c r="BH16" s="3" t="str">
        <f>IF(T&lt;=BH$11,"",IF($A16&gt;BH$12,"",IF(T=BI$11,EXP(-IRTree!BH17*h)*BH83,EXP(-IRTree!BH17*h)*((BI16+BI17)/2+BH83))))</f>
        <v/>
      </c>
      <c r="BI16" s="3" t="str">
        <f>IF(T&lt;=BI$11,"",IF($A16&gt;BI$12,"",IF(T=BJ$11,EXP(-IRTree!BI17*h)*BI83,EXP(-IRTree!BI17*h)*((BJ16+BJ17)/2+BI83))))</f>
        <v/>
      </c>
      <c r="BJ16" s="3" t="str">
        <f>IF(T&lt;=BJ$11,"",IF($A16&gt;BJ$12,"",IF(T=BK$11,EXP(-IRTree!BJ17*h)*BJ83,EXP(-IRTree!BJ17*h)*((BK16+BK17)/2+BJ83))))</f>
        <v/>
      </c>
    </row>
    <row r="17" spans="1:62">
      <c r="A17" s="12">
        <f t="shared" si="2"/>
        <v>4</v>
      </c>
      <c r="B17" s="3" t="str">
        <f>IF(T&lt;=B$11,"",IF($A17&gt;B$12,"",IF(T=C$11,EXP(-IRTree!B18*h)*B84,EXP(-IRTree!B18*h)*((C17+C18)/2+B84))))</f>
        <v/>
      </c>
      <c r="C17" s="3" t="str">
        <f>IF(T&lt;=C$11,"",IF($A17&gt;C$12,"",IF(T=D$11,EXP(-IRTree!C18*h)*C84,EXP(-IRTree!C18*h)*((D17+D18)/2+C84))))</f>
        <v/>
      </c>
      <c r="D17" s="3" t="str">
        <f>IF(T&lt;=D$11,"",IF($A17&gt;D$12,"",IF(T=E$11,EXP(-IRTree!D18*h)*D84,EXP(-IRTree!D18*h)*((E17+E18)/2+D84))))</f>
        <v/>
      </c>
      <c r="E17" s="3" t="str">
        <f>IF(T&lt;=E$11,"",IF($A17&gt;E$12,"",IF(T=F$11,EXP(-IRTree!E18*h)*E84,EXP(-IRTree!E18*h)*((F17+F18)/2+E84))))</f>
        <v/>
      </c>
      <c r="F17" s="3">
        <f>IF(T&lt;=F$11,"",IF($A17&gt;F$12,"",IF(T=G$11,EXP(-IRTree!F18*h)*F84,EXP(-IRTree!F18*h)*((G17+G18)/2+F84))))</f>
        <v>2.2196232524726982</v>
      </c>
      <c r="G17" s="3">
        <f>IF(T&lt;=G$11,"",IF($A17&gt;G$12,"",IF(T=H$11,EXP(-IRTree!G18*h)*G84,EXP(-IRTree!G18*h)*((H17+H18)/2+G84))))</f>
        <v>2.9645595805752425</v>
      </c>
      <c r="H17" s="3">
        <f>IF(T&lt;=H$11,"",IF($A17&gt;H$12,"",IF(T=I$11,EXP(-IRTree!H18*h)*H84,EXP(-IRTree!H18*h)*((I17+I18)/2+H84))))</f>
        <v>3.9345582918516695</v>
      </c>
      <c r="I17" s="3">
        <f>IF(T&lt;=I$11,"",IF($A17&gt;I$12,"",IF(T=J$11,EXP(-IRTree!I18*h)*I84,EXP(-IRTree!I18*h)*((J17+J18)/2+I84))))</f>
        <v>5.1903307371476082</v>
      </c>
      <c r="J17" s="3">
        <f>IF(T&lt;=J$11,"",IF($A17&gt;J$12,"",IF(T=K$11,EXP(-IRTree!J18*h)*J84,EXP(-IRTree!J18*h)*((K17+K18)/2+J84))))</f>
        <v>6.806964052420299</v>
      </c>
      <c r="K17" s="3">
        <f>IF(T&lt;=K$11,"",IF($A17&gt;K$12,"",IF(T=L$11,EXP(-IRTree!K18*h)*K84,EXP(-IRTree!K18*h)*((L17+L18)/2+K84))))</f>
        <v>8.8834738544951186</v>
      </c>
      <c r="L17" s="3">
        <f>IF(T&lt;=L$11,"",IF($A17&gt;L$12,"",IF(T=M$11,EXP(-IRTree!L18*h)*L84,EXP(-IRTree!L18*h)*((M17+M18)/2+L84))))</f>
        <v>11.543346386860694</v>
      </c>
      <c r="M17" s="3">
        <f>IF(T&lt;=M$11,"",IF($A17&gt;M$12,"",IF(T=N$11,EXP(-IRTree!M18*h)*M84,EXP(-IRTree!M18*h)*((N17+N18)/2+M84))))</f>
        <v>14.748790828246429</v>
      </c>
      <c r="N17" s="3">
        <f>IF(T&lt;=N$11,"",IF($A17&gt;N$12,"",IF(T=O$11,EXP(-IRTree!N18*h)*N84,EXP(-IRTree!N18*h)*((O17+O18)/2+N84))))</f>
        <v>18.266002941463825</v>
      </c>
      <c r="O17" s="3">
        <f>IF(T&lt;=O$11,"",IF($A17&gt;O$12,"",IF(T=P$11,EXP(-IRTree!O18*h)*O84,EXP(-IRTree!O18*h)*((P17+P18)/2+O84))))</f>
        <v>21.971909997628856</v>
      </c>
      <c r="P17" s="3">
        <f>IF(T&lt;=P$11,"",IF($A17&gt;P$12,"",IF(T=Q$11,EXP(-IRTree!P18*h)*P84,EXP(-IRTree!P18*h)*((Q17+Q18)/2+P84))))</f>
        <v>25.684732665744818</v>
      </c>
      <c r="Q17" s="3">
        <f>IF(T&lt;=Q$11,"",IF($A17&gt;Q$12,"",IF(T=R$11,EXP(-IRTree!Q18*h)*Q84,EXP(-IRTree!Q18*h)*((R17+R18)/2+Q84))))</f>
        <v>29.408526074890407</v>
      </c>
      <c r="R17" s="3">
        <f>IF(T&lt;=R$11,"",IF($A17&gt;R$12,"",IF(T=S$11,EXP(-IRTree!R18*h)*R84,EXP(-IRTree!R18*h)*((S17+S18)/2+R84))))</f>
        <v>32.989416688910495</v>
      </c>
      <c r="S17" s="3">
        <f>IF(T&lt;=S$11,"",IF($A17&gt;S$12,"",IF(T=T$11,EXP(-IRTree!S18*h)*S84,EXP(-IRTree!S18*h)*((T17+T18)/2+S84))))</f>
        <v>36.507019868531174</v>
      </c>
      <c r="T17" s="3">
        <f>IF(T&lt;=T$11,"",IF($A17&gt;T$12,"",IF(T=U$11,EXP(-IRTree!T18*h)*T84,EXP(-IRTree!T18*h)*((U17+U18)/2+T84))))</f>
        <v>39.910386495201863</v>
      </c>
      <c r="U17" s="3">
        <f>IF(T&lt;=U$11,"",IF($A17&gt;U$12,"",IF(T=V$11,EXP(-IRTree!U18*h)*U84,EXP(-IRTree!U18*h)*((V17+V18)/2+U84))))</f>
        <v>43.222671304003526</v>
      </c>
      <c r="V17" s="3">
        <f>IF(T&lt;=V$11,"",IF($A17&gt;V$12,"",IF(T=W$11,EXP(-IRTree!V18*h)*V84,EXP(-IRTree!V18*h)*((W17+W18)/2+V84))))</f>
        <v>46.346869571562614</v>
      </c>
      <c r="W17" s="3">
        <f>IF(T&lt;=W$11,"",IF($A17&gt;W$12,"",IF(T=X$11,EXP(-IRTree!W18*h)*W84,EXP(-IRTree!W18*h)*((X17+X18)/2+W84))))</f>
        <v>49.280027280845609</v>
      </c>
      <c r="X17" s="3">
        <f>IF(T&lt;=X$11,"",IF($A17&gt;X$12,"",IF(T=Y$11,EXP(-IRTree!X18*h)*X84,EXP(-IRTree!X18*h)*((Y17+Y18)/2+X84))))</f>
        <v>51.921040195163926</v>
      </c>
      <c r="Y17" s="3">
        <f>IF(T&lt;=Y$11,"",IF($A17&gt;Y$12,"",IF(T=Z$11,EXP(-IRTree!Y18*h)*Y84,EXP(-IRTree!Y18*h)*((Z17+Z18)/2+Y84))))</f>
        <v>54.447634513988717</v>
      </c>
      <c r="Z17" s="3">
        <f>IF(T&lt;=Z$11,"",IF($A17&gt;Z$12,"",IF(T=AA$11,EXP(-IRTree!Z18*h)*Z84,EXP(-IRTree!Z18*h)*((AA17+AA18)/2+Z84))))</f>
        <v>56.646576614443731</v>
      </c>
      <c r="AA17" s="3">
        <f>IF(T&lt;=AA$11,"",IF($A17&gt;AA$12,"",IF(T=AB$11,EXP(-IRTree!AA18*h)*AA84,EXP(-IRTree!AA18*h)*((AB17+AB18)/2+AA84))))</f>
        <v>58.594834175336047</v>
      </c>
      <c r="AB17" s="3">
        <f>IF(T&lt;=AB$11,"",IF($A17&gt;AB$12,"",IF(T=AC$11,EXP(-IRTree!AB18*h)*AB84,EXP(-IRTree!AB18*h)*((AC17+AC18)/2+AB84))))</f>
        <v>60.301505960352259</v>
      </c>
      <c r="AC17" s="3">
        <f>IF(T&lt;=AC$11,"",IF($A17&gt;AC$12,"",IF(T=AD$11,EXP(-IRTree!AC18*h)*AC84,EXP(-IRTree!AC18*h)*((AD17+AD18)/2+AC84))))</f>
        <v>61.600588734258743</v>
      </c>
      <c r="AD17" s="3">
        <f>IF(T&lt;=AD$11,"",IF($A17&gt;AD$12,"",IF(T=AE$11,EXP(-IRTree!AD18*h)*AD84,EXP(-IRTree!AD18*h)*((AE17+AE18)/2+AD84))))</f>
        <v>62.549776814553077</v>
      </c>
      <c r="AE17" s="3">
        <f>IF(T&lt;=AE$11,"",IF($A17&gt;AE$12,"",IF(T=AF$11,EXP(-IRTree!AE18*h)*AE84,EXP(-IRTree!AE18*h)*((AF17+AF18)/2+AE84))))</f>
        <v>63.126786996046405</v>
      </c>
      <c r="AF17" s="3">
        <f>IF(T&lt;=AF$11,"",IF($A17&gt;AF$12,"",IF(T=AG$11,EXP(-IRTree!AF18*h)*AF84,EXP(-IRTree!AF18*h)*((AG17+AG18)/2+AF84))))</f>
        <v>63.191401946656576</v>
      </c>
      <c r="AG17" s="3">
        <f>IF(T&lt;=AG$11,"",IF($A17&gt;AG$12,"",IF(T=AH$11,EXP(-IRTree!AG18*h)*AG84,EXP(-IRTree!AG18*h)*((AH17+AH18)/2+AG84))))</f>
        <v>62.598689736325042</v>
      </c>
      <c r="AH17" s="3">
        <f>IF(T&lt;=AH$11,"",IF($A17&gt;AH$12,"",IF(T=AI$11,EXP(-IRTree!AH18*h)*AH84,EXP(-IRTree!AH18*h)*((AI17+AI18)/2+AH84))))</f>
        <v>61.313410160184816</v>
      </c>
      <c r="AI17" s="3">
        <f>IF(T&lt;=AI$11,"",IF($A17&gt;AI$12,"",IF(T=AJ$11,EXP(-IRTree!AI18*h)*AI84,EXP(-IRTree!AI18*h)*((AJ17+AJ18)/2+AI84))))</f>
        <v>59.01805621683171</v>
      </c>
      <c r="AJ17" s="3">
        <f>IF(T&lt;=AJ$11,"",IF($A17&gt;AJ$12,"",IF(T=AK$11,EXP(-IRTree!AJ18*h)*AJ84,EXP(-IRTree!AJ18*h)*((AK17+AK18)/2+AJ84))))</f>
        <v>55.894008155593518</v>
      </c>
      <c r="AK17" s="3">
        <f>IF(T&lt;=AK$11,"",IF($A17&gt;AK$12,"",IF(T=AL$11,EXP(-IRTree!AK18*h)*AK84,EXP(-IRTree!AK18*h)*((AL17+AL18)/2+AK84))))</f>
        <v>51.585312271570125</v>
      </c>
      <c r="AL17" s="3">
        <f>IF(T&lt;=AL$11,"",IF($A17&gt;AL$12,"",IF(T=AM$11,EXP(-IRTree!AL18*h)*AL84,EXP(-IRTree!AL18*h)*((AM17+AM18)/2+AL84))))</f>
        <v>46.022568820873531</v>
      </c>
      <c r="AM17" s="3">
        <f>IF(T&lt;=AM$11,"",IF($A17&gt;AM$12,"",IF(T=AN$11,EXP(-IRTree!AM18*h)*AM84,EXP(-IRTree!AM18*h)*((AN17+AN18)/2+AM84))))</f>
        <v>38.127939786650067</v>
      </c>
      <c r="AN17" s="3">
        <f>IF(T&lt;=AN$11,"",IF($A17&gt;AN$12,"",IF(T=AO$11,EXP(-IRTree!AN18*h)*AN84,EXP(-IRTree!AN18*h)*((AO17+AO18)/2+AN84))))</f>
        <v>28.180301015202495</v>
      </c>
      <c r="AO17" s="3">
        <f>IF(T&lt;=AO$11,"",IF($A17&gt;AO$12,"",IF(T=AP$11,EXP(-IRTree!AO18*h)*AO84,EXP(-IRTree!AO18*h)*((AP17+AP18)/2+AO84))))</f>
        <v>15.700558503991816</v>
      </c>
      <c r="AP17" s="3" t="str">
        <f>IF(T&lt;=AP$11,"",IF($A17&gt;AP$12,"",IF(T=AQ$11,EXP(-IRTree!AP18*h)*AP84,EXP(-IRTree!AP18*h)*((AQ17+AQ18)/2+AP84))))</f>
        <v/>
      </c>
      <c r="AQ17" s="3" t="str">
        <f>IF(T&lt;=AQ$11,"",IF($A17&gt;AQ$12,"",IF(T=AR$11,EXP(-IRTree!AQ18*h)*AQ84,EXP(-IRTree!AQ18*h)*((AR17+AR18)/2+AQ84))))</f>
        <v/>
      </c>
      <c r="AR17" s="3" t="str">
        <f>IF(T&lt;=AR$11,"",IF($A17&gt;AR$12,"",IF(T=AS$11,EXP(-IRTree!AR18*h)*AR84,EXP(-IRTree!AR18*h)*((AS17+AS18)/2+AR84))))</f>
        <v/>
      </c>
      <c r="AS17" s="3" t="str">
        <f>IF(T&lt;=AS$11,"",IF($A17&gt;AS$12,"",IF(T=AT$11,EXP(-IRTree!AS18*h)*AS84,EXP(-IRTree!AS18*h)*((AT17+AT18)/2+AS84))))</f>
        <v/>
      </c>
      <c r="AT17" s="3" t="str">
        <f>IF(T&lt;=AT$11,"",IF($A17&gt;AT$12,"",IF(T=AU$11,EXP(-IRTree!AT18*h)*AT84,EXP(-IRTree!AT18*h)*((AU17+AU18)/2+AT84))))</f>
        <v/>
      </c>
      <c r="AU17" s="3" t="str">
        <f>IF(T&lt;=AU$11,"",IF($A17&gt;AU$12,"",IF(T=AV$11,EXP(-IRTree!AU18*h)*AU84,EXP(-IRTree!AU18*h)*((AV17+AV18)/2+AU84))))</f>
        <v/>
      </c>
      <c r="AV17" s="3" t="str">
        <f>IF(T&lt;=AV$11,"",IF($A17&gt;AV$12,"",IF(T=AW$11,EXP(-IRTree!AV18*h)*AV84,EXP(-IRTree!AV18*h)*((AW17+AW18)/2+AV84))))</f>
        <v/>
      </c>
      <c r="AW17" s="3" t="str">
        <f>IF(T&lt;=AW$11,"",IF($A17&gt;AW$12,"",IF(T=AX$11,EXP(-IRTree!AW18*h)*AW84,EXP(-IRTree!AW18*h)*((AX17+AX18)/2+AW84))))</f>
        <v/>
      </c>
      <c r="AX17" s="3" t="str">
        <f>IF(T&lt;=AX$11,"",IF($A17&gt;AX$12,"",IF(T=AY$11,EXP(-IRTree!AX18*h)*AX84,EXP(-IRTree!AX18*h)*((AY17+AY18)/2+AX84))))</f>
        <v/>
      </c>
      <c r="AY17" s="3" t="str">
        <f>IF(T&lt;=AY$11,"",IF($A17&gt;AY$12,"",IF(T=AZ$11,EXP(-IRTree!AY18*h)*AY84,EXP(-IRTree!AY18*h)*((AZ17+AZ18)/2+AY84))))</f>
        <v/>
      </c>
      <c r="AZ17" s="3" t="str">
        <f>IF(T&lt;=AZ$11,"",IF($A17&gt;AZ$12,"",IF(T=BA$11,EXP(-IRTree!AZ18*h)*AZ84,EXP(-IRTree!AZ18*h)*((BA17+BA18)/2+AZ84))))</f>
        <v/>
      </c>
      <c r="BA17" s="3" t="str">
        <f>IF(T&lt;=BA$11,"",IF($A17&gt;BA$12,"",IF(T=BB$11,EXP(-IRTree!BA18*h)*BA84,EXP(-IRTree!BA18*h)*((BB17+BB18)/2+BA84))))</f>
        <v/>
      </c>
      <c r="BB17" s="3" t="str">
        <f>IF(T&lt;=BB$11,"",IF($A17&gt;BB$12,"",IF(T=BC$11,EXP(-IRTree!BB18*h)*BB84,EXP(-IRTree!BB18*h)*((BC17+BC18)/2+BB84))))</f>
        <v/>
      </c>
      <c r="BC17" s="3" t="str">
        <f>IF(T&lt;=BC$11,"",IF($A17&gt;BC$12,"",IF(T=BD$11,EXP(-IRTree!BC18*h)*BC84,EXP(-IRTree!BC18*h)*((BD17+BD18)/2+BC84))))</f>
        <v/>
      </c>
      <c r="BD17" s="3" t="str">
        <f>IF(T&lt;=BD$11,"",IF($A17&gt;BD$12,"",IF(T=BE$11,EXP(-IRTree!BD18*h)*BD84,EXP(-IRTree!BD18*h)*((BE17+BE18)/2+BD84))))</f>
        <v/>
      </c>
      <c r="BE17" s="3" t="str">
        <f>IF(T&lt;=BE$11,"",IF($A17&gt;BE$12,"",IF(T=BF$11,EXP(-IRTree!BE18*h)*BE84,EXP(-IRTree!BE18*h)*((BF17+BF18)/2+BE84))))</f>
        <v/>
      </c>
      <c r="BF17" s="3" t="str">
        <f>IF(T&lt;=BF$11,"",IF($A17&gt;BF$12,"",IF(T=BG$11,EXP(-IRTree!BF18*h)*BF84,EXP(-IRTree!BF18*h)*((BG17+BG18)/2+BF84))))</f>
        <v/>
      </c>
      <c r="BG17" s="3" t="str">
        <f>IF(T&lt;=BG$11,"",IF($A17&gt;BG$12,"",IF(T=BH$11,EXP(-IRTree!BG18*h)*BG84,EXP(-IRTree!BG18*h)*((BH17+BH18)/2+BG84))))</f>
        <v/>
      </c>
      <c r="BH17" s="3" t="str">
        <f>IF(T&lt;=BH$11,"",IF($A17&gt;BH$12,"",IF(T=BI$11,EXP(-IRTree!BH18*h)*BH84,EXP(-IRTree!BH18*h)*((BI17+BI18)/2+BH84))))</f>
        <v/>
      </c>
      <c r="BI17" s="3" t="str">
        <f>IF(T&lt;=BI$11,"",IF($A17&gt;BI$12,"",IF(T=BJ$11,EXP(-IRTree!BI18*h)*BI84,EXP(-IRTree!BI18*h)*((BJ17+BJ18)/2+BI84))))</f>
        <v/>
      </c>
      <c r="BJ17" s="3" t="str">
        <f>IF(T&lt;=BJ$11,"",IF($A17&gt;BJ$12,"",IF(T=BK$11,EXP(-IRTree!BJ18*h)*BJ84,EXP(-IRTree!BJ18*h)*((BK17+BK18)/2+BJ84))))</f>
        <v/>
      </c>
    </row>
    <row r="18" spans="1:62">
      <c r="A18" s="12">
        <f t="shared" si="2"/>
        <v>5</v>
      </c>
      <c r="B18" s="3" t="str">
        <f>IF(T&lt;=B$11,"",IF($A18&gt;B$12,"",IF(T=C$11,EXP(-IRTree!B19*h)*B85,EXP(-IRTree!B19*h)*((C18+C19)/2+B85))))</f>
        <v/>
      </c>
      <c r="C18" s="3" t="str">
        <f>IF(T&lt;=C$11,"",IF($A18&gt;C$12,"",IF(T=D$11,EXP(-IRTree!C19*h)*C85,EXP(-IRTree!C19*h)*((D18+D19)/2+C85))))</f>
        <v/>
      </c>
      <c r="D18" s="3" t="str">
        <f>IF(T&lt;=D$11,"",IF($A18&gt;D$12,"",IF(T=E$11,EXP(-IRTree!D19*h)*D85,EXP(-IRTree!D19*h)*((E18+E19)/2+D85))))</f>
        <v/>
      </c>
      <c r="E18" s="3" t="str">
        <f>IF(T&lt;=E$11,"",IF($A18&gt;E$12,"",IF(T=F$11,EXP(-IRTree!E19*h)*E85,EXP(-IRTree!E19*h)*((F18+F19)/2+E85))))</f>
        <v/>
      </c>
      <c r="F18" s="3" t="str">
        <f>IF(T&lt;=F$11,"",IF($A18&gt;F$12,"",IF(T=G$11,EXP(-IRTree!F19*h)*F85,EXP(-IRTree!F19*h)*((G18+G19)/2+F85))))</f>
        <v/>
      </c>
      <c r="G18" s="3">
        <f>IF(T&lt;=G$11,"",IF($A18&gt;G$12,"",IF(T=H$11,EXP(-IRTree!G19*h)*G85,EXP(-IRTree!G19*h)*((H18+H19)/2+G85))))</f>
        <v>1.4925211711018369</v>
      </c>
      <c r="H18" s="3">
        <f>IF(T&lt;=H$11,"",IF($A18&gt;H$12,"",IF(T=I$11,EXP(-IRTree!H19*h)*H85,EXP(-IRTree!H19*h)*((I18+I19)/2+H85))))</f>
        <v>2.0233222810203513</v>
      </c>
      <c r="I18" s="3">
        <f>IF(T&lt;=I$11,"",IF($A18&gt;I$12,"",IF(T=J$11,EXP(-IRTree!I19*h)*I85,EXP(-IRTree!I19*h)*((J18+J19)/2+I85))))</f>
        <v>2.7247325259422639</v>
      </c>
      <c r="J18" s="3">
        <f>IF(T&lt;=J$11,"",IF($A18&gt;J$12,"",IF(T=K$11,EXP(-IRTree!J19*h)*J85,EXP(-IRTree!J19*h)*((K18+K19)/2+J85))))</f>
        <v>3.6444936290145571</v>
      </c>
      <c r="K18" s="3">
        <f>IF(T&lt;=K$11,"",IF($A18&gt;K$12,"",IF(T=L$11,EXP(-IRTree!K19*h)*K85,EXP(-IRTree!K19*h)*((L18+L19)/2+K85))))</f>
        <v>4.8456950970352128</v>
      </c>
      <c r="L18" s="3">
        <f>IF(T&lt;=L$11,"",IF($A18&gt;L$12,"",IF(T=M$11,EXP(-IRTree!L19*h)*L85,EXP(-IRTree!L19*h)*((M18+M19)/2+L85))))</f>
        <v>6.4052523650304165</v>
      </c>
      <c r="M18" s="3">
        <f>IF(T&lt;=M$11,"",IF($A18&gt;M$12,"",IF(T=N$11,EXP(-IRTree!M19*h)*M85,EXP(-IRTree!M19*h)*((N18+N19)/2+M85))))</f>
        <v>8.4226976959964066</v>
      </c>
      <c r="N18" s="3">
        <f>IF(T&lt;=N$11,"",IF($A18&gt;N$12,"",IF(T=O$11,EXP(-IRTree!N19*h)*N85,EXP(-IRTree!N19*h)*((O18+O19)/2+N85))))</f>
        <v>11.023904823156073</v>
      </c>
      <c r="O18" s="3">
        <f>IF(T&lt;=O$11,"",IF($A18&gt;O$12,"",IF(T=P$11,EXP(-IRTree!O19*h)*O85,EXP(-IRTree!O19*h)*((P18+P19)/2+O85))))</f>
        <v>14.096829701252167</v>
      </c>
      <c r="P18" s="3">
        <f>IF(T&lt;=P$11,"",IF($A18&gt;P$12,"",IF(T=Q$11,EXP(-IRTree!P19*h)*P85,EXP(-IRTree!P19*h)*((Q18+Q19)/2+P85))))</f>
        <v>17.407410907977578</v>
      </c>
      <c r="Q18" s="3">
        <f>IF(T&lt;=Q$11,"",IF($A18&gt;Q$12,"",IF(T=R$11,EXP(-IRTree!Q19*h)*Q85,EXP(-IRTree!Q19*h)*((R18+R19)/2+Q85))))</f>
        <v>20.843049331068666</v>
      </c>
      <c r="R18" s="3">
        <f>IF(T&lt;=R$11,"",IF($A18&gt;R$12,"",IF(T=S$11,EXP(-IRTree!R19*h)*R85,EXP(-IRTree!R19*h)*((S18+S19)/2+R85))))</f>
        <v>24.260442124192309</v>
      </c>
      <c r="S18" s="3">
        <f>IF(T&lt;=S$11,"",IF($A18&gt;S$12,"",IF(T=T$11,EXP(-IRTree!S19*h)*S85,EXP(-IRTree!S19*h)*((T18+T19)/2+S85))))</f>
        <v>27.659323884961722</v>
      </c>
      <c r="T18" s="3">
        <f>IF(T&lt;=T$11,"",IF($A18&gt;T$12,"",IF(T=U$11,EXP(-IRTree!T19*h)*T85,EXP(-IRTree!T19*h)*((U18+U19)/2+T85))))</f>
        <v>30.987834029497975</v>
      </c>
      <c r="U18" s="3">
        <f>IF(T&lt;=U$11,"",IF($A18&gt;U$12,"",IF(T=V$11,EXP(-IRTree!U19*h)*U85,EXP(-IRTree!U19*h)*((V18+V19)/2+U85))))</f>
        <v>34.247696609666946</v>
      </c>
      <c r="V18" s="3">
        <f>IF(T&lt;=V$11,"",IF($A18&gt;V$12,"",IF(T=W$11,EXP(-IRTree!V19*h)*V85,EXP(-IRTree!V19*h)*((W18+W19)/2+V85))))</f>
        <v>37.361892837947799</v>
      </c>
      <c r="W18" s="3">
        <f>IF(T&lt;=W$11,"",IF($A18&gt;W$12,"",IF(T=X$11,EXP(-IRTree!W19*h)*W85,EXP(-IRTree!W19*h)*((X18+X19)/2+W85))))</f>
        <v>40.317506209977118</v>
      </c>
      <c r="X18" s="3">
        <f>IF(T&lt;=X$11,"",IF($A18&gt;X$12,"",IF(T=Y$11,EXP(-IRTree!X19*h)*X85,EXP(-IRTree!X19*h)*((Y18+Y19)/2+X85))))</f>
        <v>43.028733376481036</v>
      </c>
      <c r="Y18" s="3">
        <f>IF(T&lt;=Y$11,"",IF($A18&gt;Y$12,"",IF(T=Z$11,EXP(-IRTree!Y19*h)*Y85,EXP(-IRTree!Y19*h)*((Z18+Z19)/2+Y85))))</f>
        <v>45.622501000345054</v>
      </c>
      <c r="Z18" s="3">
        <f>IF(T&lt;=Z$11,"",IF($A18&gt;Z$12,"",IF(T=AA$11,EXP(-IRTree!Z19*h)*Z85,EXP(-IRTree!Z19*h)*((AA18+AA19)/2+Z85))))</f>
        <v>47.92514378278905</v>
      </c>
      <c r="AA18" s="3">
        <f>IF(T&lt;=AA$11,"",IF($A18&gt;AA$12,"",IF(T=AB$11,EXP(-IRTree!AA19*h)*AA85,EXP(-IRTree!AA19*h)*((AB18+AB19)/2+AA85))))</f>
        <v>49.987823142444341</v>
      </c>
      <c r="AB18" s="3">
        <f>IF(T&lt;=AB$11,"",IF($A18&gt;AB$12,"",IF(T=AC$11,EXP(-IRTree!AB19*h)*AB85,EXP(-IRTree!AB19*h)*((AC18+AC19)/2+AB85))))</f>
        <v>51.8103554854845</v>
      </c>
      <c r="AC18" s="3">
        <f>IF(T&lt;=AC$11,"",IF($A18&gt;AC$12,"",IF(T=AD$11,EXP(-IRTree!AC19*h)*AC85,EXP(-IRTree!AC19*h)*((AD18+AD19)/2+AC85))))</f>
        <v>53.245412139363154</v>
      </c>
      <c r="AD18" s="3">
        <f>IF(T&lt;=AD$11,"",IF($A18&gt;AD$12,"",IF(T=AE$11,EXP(-IRTree!AD19*h)*AD85,EXP(-IRTree!AD19*h)*((AE18+AE19)/2+AD85))))</f>
        <v>54.331458859311532</v>
      </c>
      <c r="AE18" s="3">
        <f>IF(T&lt;=AE$11,"",IF($A18&gt;AE$12,"",IF(T=AF$11,EXP(-IRTree!AE19*h)*AE85,EXP(-IRTree!AE19*h)*((AF18+AF19)/2+AE85))))</f>
        <v>55.041058548342598</v>
      </c>
      <c r="AF18" s="3">
        <f>IF(T&lt;=AF$11,"",IF($A18&gt;AF$12,"",IF(T=AG$11,EXP(-IRTree!AF19*h)*AF85,EXP(-IRTree!AF19*h)*((AG18+AG19)/2+AF85))))</f>
        <v>55.245038579952258</v>
      </c>
      <c r="AG18" s="3">
        <f>IF(T&lt;=AG$11,"",IF($A18&gt;AG$12,"",IF(T=AH$11,EXP(-IRTree!AG19*h)*AG85,EXP(-IRTree!AG19*h)*((AH18+AH19)/2+AG85))))</f>
        <v>54.81075336210241</v>
      </c>
      <c r="AH18" s="3">
        <f>IF(T&lt;=AH$11,"",IF($A18&gt;AH$12,"",IF(T=AI$11,EXP(-IRTree!AH19*h)*AH85,EXP(-IRTree!AH19*h)*((AI18+AI19)/2+AH85))))</f>
        <v>53.703819814509089</v>
      </c>
      <c r="AI18" s="3">
        <f>IF(T&lt;=AI$11,"",IF($A18&gt;AI$12,"",IF(T=AJ$11,EXP(-IRTree!AI19*h)*AI85,EXP(-IRTree!AI19*h)*((AJ18+AJ19)/2+AI85))))</f>
        <v>51.650406237340661</v>
      </c>
      <c r="AJ18" s="3">
        <f>IF(T&lt;=AJ$11,"",IF($A18&gt;AJ$12,"",IF(T=AK$11,EXP(-IRTree!AJ19*h)*AJ85,EXP(-IRTree!AJ19*h)*((AK18+AK19)/2+AJ85))))</f>
        <v>48.815870658275145</v>
      </c>
      <c r="AK18" s="3">
        <f>IF(T&lt;=AK$11,"",IF($A18&gt;AK$12,"",IF(T=AL$11,EXP(-IRTree!AK19*h)*AK85,EXP(-IRTree!AK19*h)*((AL18+AL19)/2+AK85))))</f>
        <v>44.905014012511067</v>
      </c>
      <c r="AL18" s="3">
        <f>IF(T&lt;=AL$11,"",IF($A18&gt;AL$12,"",IF(T=AM$11,EXP(-IRTree!AL19*h)*AL85,EXP(-IRTree!AL19*h)*((AM18+AM19)/2+AL85))))</f>
        <v>39.877045002233949</v>
      </c>
      <c r="AM18" s="3">
        <f>IF(T&lt;=AM$11,"",IF($A18&gt;AM$12,"",IF(T=AN$11,EXP(-IRTree!AM19*h)*AM85,EXP(-IRTree!AM19*h)*((AN18+AN19)/2+AM85))))</f>
        <v>32.855077173302391</v>
      </c>
      <c r="AN18" s="3">
        <f>IF(T&lt;=AN$11,"",IF($A18&gt;AN$12,"",IF(T=AO$11,EXP(-IRTree!AN19*h)*AN85,EXP(-IRTree!AN19*h)*((AO18+AO19)/2+AN85))))</f>
        <v>24.125214392444054</v>
      </c>
      <c r="AO18" s="3">
        <f>IF(T&lt;=AO$11,"",IF($A18&gt;AO$12,"",IF(T=AP$11,EXP(-IRTree!AO19*h)*AO85,EXP(-IRTree!AO19*h)*((AP18+AP19)/2+AO85))))</f>
        <v>13.340216282966395</v>
      </c>
      <c r="AP18" s="3" t="str">
        <f>IF(T&lt;=AP$11,"",IF($A18&gt;AP$12,"",IF(T=AQ$11,EXP(-IRTree!AP19*h)*AP85,EXP(-IRTree!AP19*h)*((AQ18+AQ19)/2+AP85))))</f>
        <v/>
      </c>
      <c r="AQ18" s="3" t="str">
        <f>IF(T&lt;=AQ$11,"",IF($A18&gt;AQ$12,"",IF(T=AR$11,EXP(-IRTree!AQ19*h)*AQ85,EXP(-IRTree!AQ19*h)*((AR18+AR19)/2+AQ85))))</f>
        <v/>
      </c>
      <c r="AR18" s="3" t="str">
        <f>IF(T&lt;=AR$11,"",IF($A18&gt;AR$12,"",IF(T=AS$11,EXP(-IRTree!AR19*h)*AR85,EXP(-IRTree!AR19*h)*((AS18+AS19)/2+AR85))))</f>
        <v/>
      </c>
      <c r="AS18" s="3" t="str">
        <f>IF(T&lt;=AS$11,"",IF($A18&gt;AS$12,"",IF(T=AT$11,EXP(-IRTree!AS19*h)*AS85,EXP(-IRTree!AS19*h)*((AT18+AT19)/2+AS85))))</f>
        <v/>
      </c>
      <c r="AT18" s="3" t="str">
        <f>IF(T&lt;=AT$11,"",IF($A18&gt;AT$12,"",IF(T=AU$11,EXP(-IRTree!AT19*h)*AT85,EXP(-IRTree!AT19*h)*((AU18+AU19)/2+AT85))))</f>
        <v/>
      </c>
      <c r="AU18" s="3" t="str">
        <f>IF(T&lt;=AU$11,"",IF($A18&gt;AU$12,"",IF(T=AV$11,EXP(-IRTree!AU19*h)*AU85,EXP(-IRTree!AU19*h)*((AV18+AV19)/2+AU85))))</f>
        <v/>
      </c>
      <c r="AV18" s="3" t="str">
        <f>IF(T&lt;=AV$11,"",IF($A18&gt;AV$12,"",IF(T=AW$11,EXP(-IRTree!AV19*h)*AV85,EXP(-IRTree!AV19*h)*((AW18+AW19)/2+AV85))))</f>
        <v/>
      </c>
      <c r="AW18" s="3" t="str">
        <f>IF(T&lt;=AW$11,"",IF($A18&gt;AW$12,"",IF(T=AX$11,EXP(-IRTree!AW19*h)*AW85,EXP(-IRTree!AW19*h)*((AX18+AX19)/2+AW85))))</f>
        <v/>
      </c>
      <c r="AX18" s="3" t="str">
        <f>IF(T&lt;=AX$11,"",IF($A18&gt;AX$12,"",IF(T=AY$11,EXP(-IRTree!AX19*h)*AX85,EXP(-IRTree!AX19*h)*((AY18+AY19)/2+AX85))))</f>
        <v/>
      </c>
      <c r="AY18" s="3" t="str">
        <f>IF(T&lt;=AY$11,"",IF($A18&gt;AY$12,"",IF(T=AZ$11,EXP(-IRTree!AY19*h)*AY85,EXP(-IRTree!AY19*h)*((AZ18+AZ19)/2+AY85))))</f>
        <v/>
      </c>
      <c r="AZ18" s="3" t="str">
        <f>IF(T&lt;=AZ$11,"",IF($A18&gt;AZ$12,"",IF(T=BA$11,EXP(-IRTree!AZ19*h)*AZ85,EXP(-IRTree!AZ19*h)*((BA18+BA19)/2+AZ85))))</f>
        <v/>
      </c>
      <c r="BA18" s="3" t="str">
        <f>IF(T&lt;=BA$11,"",IF($A18&gt;BA$12,"",IF(T=BB$11,EXP(-IRTree!BA19*h)*BA85,EXP(-IRTree!BA19*h)*((BB18+BB19)/2+BA85))))</f>
        <v/>
      </c>
      <c r="BB18" s="3" t="str">
        <f>IF(T&lt;=BB$11,"",IF($A18&gt;BB$12,"",IF(T=BC$11,EXP(-IRTree!BB19*h)*BB85,EXP(-IRTree!BB19*h)*((BC18+BC19)/2+BB85))))</f>
        <v/>
      </c>
      <c r="BC18" s="3" t="str">
        <f>IF(T&lt;=BC$11,"",IF($A18&gt;BC$12,"",IF(T=BD$11,EXP(-IRTree!BC19*h)*BC85,EXP(-IRTree!BC19*h)*((BD18+BD19)/2+BC85))))</f>
        <v/>
      </c>
      <c r="BD18" s="3" t="str">
        <f>IF(T&lt;=BD$11,"",IF($A18&gt;BD$12,"",IF(T=BE$11,EXP(-IRTree!BD19*h)*BD85,EXP(-IRTree!BD19*h)*((BE18+BE19)/2+BD85))))</f>
        <v/>
      </c>
      <c r="BE18" s="3" t="str">
        <f>IF(T&lt;=BE$11,"",IF($A18&gt;BE$12,"",IF(T=BF$11,EXP(-IRTree!BE19*h)*BE85,EXP(-IRTree!BE19*h)*((BF18+BF19)/2+BE85))))</f>
        <v/>
      </c>
      <c r="BF18" s="3" t="str">
        <f>IF(T&lt;=BF$11,"",IF($A18&gt;BF$12,"",IF(T=BG$11,EXP(-IRTree!BF19*h)*BF85,EXP(-IRTree!BF19*h)*((BG18+BG19)/2+BF85))))</f>
        <v/>
      </c>
      <c r="BG18" s="3" t="str">
        <f>IF(T&lt;=BG$11,"",IF($A18&gt;BG$12,"",IF(T=BH$11,EXP(-IRTree!BG19*h)*BG85,EXP(-IRTree!BG19*h)*((BH18+BH19)/2+BG85))))</f>
        <v/>
      </c>
      <c r="BH18" s="3" t="str">
        <f>IF(T&lt;=BH$11,"",IF($A18&gt;BH$12,"",IF(T=BI$11,EXP(-IRTree!BH19*h)*BH85,EXP(-IRTree!BH19*h)*((BI18+BI19)/2+BH85))))</f>
        <v/>
      </c>
      <c r="BI18" s="3" t="str">
        <f>IF(T&lt;=BI$11,"",IF($A18&gt;BI$12,"",IF(T=BJ$11,EXP(-IRTree!BI19*h)*BI85,EXP(-IRTree!BI19*h)*((BJ18+BJ19)/2+BI85))))</f>
        <v/>
      </c>
      <c r="BJ18" s="3" t="str">
        <f>IF(T&lt;=BJ$11,"",IF($A18&gt;BJ$12,"",IF(T=BK$11,EXP(-IRTree!BJ19*h)*BJ85,EXP(-IRTree!BJ19*h)*((BK18+BK19)/2+BJ85))))</f>
        <v/>
      </c>
    </row>
    <row r="19" spans="1:62">
      <c r="A19" s="12">
        <f t="shared" si="2"/>
        <v>6</v>
      </c>
      <c r="B19" s="3" t="str">
        <f>IF(T&lt;=B$11,"",IF($A19&gt;B$12,"",IF(T=C$11,EXP(-IRTree!B20*h)*B86,EXP(-IRTree!B20*h)*((C19+C20)/2+B86))))</f>
        <v/>
      </c>
      <c r="C19" s="3" t="str">
        <f>IF(T&lt;=C$11,"",IF($A19&gt;C$12,"",IF(T=D$11,EXP(-IRTree!C20*h)*C86,EXP(-IRTree!C20*h)*((D19+D20)/2+C86))))</f>
        <v/>
      </c>
      <c r="D19" s="3" t="str">
        <f>IF(T&lt;=D$11,"",IF($A19&gt;D$12,"",IF(T=E$11,EXP(-IRTree!D20*h)*D86,EXP(-IRTree!D20*h)*((E19+E20)/2+D86))))</f>
        <v/>
      </c>
      <c r="E19" s="3" t="str">
        <f>IF(T&lt;=E$11,"",IF($A19&gt;E$12,"",IF(T=F$11,EXP(-IRTree!E20*h)*E86,EXP(-IRTree!E20*h)*((F19+F20)/2+E86))))</f>
        <v/>
      </c>
      <c r="F19" s="3" t="str">
        <f>IF(T&lt;=F$11,"",IF($A19&gt;F$12,"",IF(T=G$11,EXP(-IRTree!F20*h)*F86,EXP(-IRTree!F20*h)*((G19+G20)/2+F86))))</f>
        <v/>
      </c>
      <c r="G19" s="3" t="str">
        <f>IF(T&lt;=G$11,"",IF($A19&gt;G$12,"",IF(T=H$11,EXP(-IRTree!G20*h)*G86,EXP(-IRTree!G20*h)*((H19+H20)/2+G86))))</f>
        <v/>
      </c>
      <c r="H19" s="3">
        <f>IF(T&lt;=H$11,"",IF($A19&gt;H$12,"",IF(T=I$11,EXP(-IRTree!H20*h)*H86,EXP(-IRTree!H20*h)*((I19+I20)/2+H86))))</f>
        <v>0.97239010969852069</v>
      </c>
      <c r="I19" s="3">
        <f>IF(T&lt;=I$11,"",IF($A19&gt;I$12,"",IF(T=J$11,EXP(-IRTree!I20*h)*I86,EXP(-IRTree!I20*h)*((J19+J20)/2+I86))))</f>
        <v>1.339271389130954</v>
      </c>
      <c r="J19" s="3">
        <f>IF(T&lt;=J$11,"",IF($A19&gt;J$12,"",IF(T=K$11,EXP(-IRTree!J20*h)*J86,EXP(-IRTree!J20*h)*((K19+K20)/2+J86))))</f>
        <v>1.8314082144836228</v>
      </c>
      <c r="K19" s="3">
        <f>IF(T&lt;=K$11,"",IF($A19&gt;K$12,"",IF(T=L$11,EXP(-IRTree!K20*h)*K86,EXP(-IRTree!K20*h)*((L19+L20)/2+K86))))</f>
        <v>2.4881525514468135</v>
      </c>
      <c r="L19" s="3">
        <f>IF(T&lt;=L$11,"",IF($A19&gt;L$12,"",IF(T=M$11,EXP(-IRTree!L20*h)*L86,EXP(-IRTree!L20*h)*((M19+M20)/2+L86))))</f>
        <v>3.3579811546570073</v>
      </c>
      <c r="M19" s="3">
        <f>IF(T&lt;=M$11,"",IF($A19&gt;M$12,"",IF(T=N$11,EXP(-IRTree!M20*h)*M86,EXP(-IRTree!M20*h)*((N19+N20)/2+M86))))</f>
        <v>4.5035883810039783</v>
      </c>
      <c r="N19" s="3">
        <f>IF(T&lt;=N$11,"",IF($A19&gt;N$12,"",IF(T=O$11,EXP(-IRTree!N20*h)*N86,EXP(-IRTree!N20*h)*((O19+O20)/2+N86))))</f>
        <v>6.0031428889684841</v>
      </c>
      <c r="O19" s="3">
        <f>IF(T&lt;=O$11,"",IF($A19&gt;O$12,"",IF(T=P$11,EXP(-IRTree!O20*h)*O86,EXP(-IRTree!O20*h)*((P19+P20)/2+O86))))</f>
        <v>7.9549596506165523</v>
      </c>
      <c r="P19" s="3">
        <f>IF(T&lt;=P$11,"",IF($A19&gt;P$12,"",IF(T=Q$11,EXP(-IRTree!P20*h)*P86,EXP(-IRTree!P20*h)*((Q19+Q20)/2+P86))))</f>
        <v>10.481629373872952</v>
      </c>
      <c r="Q19" s="3">
        <f>IF(T&lt;=Q$11,"",IF($A19&gt;Q$12,"",IF(T=R$11,EXP(-IRTree!Q20*h)*Q86,EXP(-IRTree!Q20*h)*((R19+R20)/2+Q86))))</f>
        <v>13.382633062893515</v>
      </c>
      <c r="R19" s="3">
        <f>IF(T&lt;=R$11,"",IF($A19&gt;R$12,"",IF(T=S$11,EXP(-IRTree!R20*h)*R86,EXP(-IRTree!R20*h)*((S19+S20)/2+R86))))</f>
        <v>16.457705497490661</v>
      </c>
      <c r="S19" s="3">
        <f>IF(T&lt;=S$11,"",IF($A19&gt;S$12,"",IF(T=T$11,EXP(-IRTree!S20*h)*S86,EXP(-IRTree!S20*h)*((T19+T20)/2+S86))))</f>
        <v>19.608535258267878</v>
      </c>
      <c r="T19" s="3">
        <f>IF(T&lt;=T$11,"",IF($A19&gt;T$12,"",IF(T=U$11,EXP(-IRTree!T20*h)*T86,EXP(-IRTree!T20*h)*((U19+U20)/2+T86))))</f>
        <v>22.759562021230661</v>
      </c>
      <c r="U19" s="3">
        <f>IF(T&lt;=U$11,"",IF($A19&gt;U$12,"",IF(T=V$11,EXP(-IRTree!U20*h)*U86,EXP(-IRTree!U20*h)*((V19+V20)/2+U86))))</f>
        <v>25.880756887164129</v>
      </c>
      <c r="V19" s="3">
        <f>IF(T&lt;=V$11,"",IF($A19&gt;V$12,"",IF(T=W$11,EXP(-IRTree!V20*h)*V86,EXP(-IRTree!V20*h)*((W19+W20)/2+V86))))</f>
        <v>28.904485107646362</v>
      </c>
      <c r="W19" s="3">
        <f>IF(T&lt;=W$11,"",IF($A19&gt;W$12,"",IF(T=X$11,EXP(-IRTree!W20*h)*W86,EXP(-IRTree!W20*h)*((X19+X20)/2+W86))))</f>
        <v>31.805728827041897</v>
      </c>
      <c r="X19" s="3">
        <f>IF(T&lt;=X$11,"",IF($A19&gt;X$12,"",IF(T=Y$11,EXP(-IRTree!X20*h)*X86,EXP(-IRTree!X20*h)*((Y19+Y20)/2+X86))))</f>
        <v>34.512296071046073</v>
      </c>
      <c r="Y19" s="3">
        <f>IF(T&lt;=Y$11,"",IF($A19&gt;Y$12,"",IF(T=Z$11,EXP(-IRTree!Y20*h)*Y86,EXP(-IRTree!Y20*h)*((Z19+Z20)/2+Y86))))</f>
        <v>37.10415698901523</v>
      </c>
      <c r="Z19" s="3">
        <f>IF(T&lt;=Z$11,"",IF($A19&gt;Z$12,"",IF(T=AA$11,EXP(-IRTree!Z20*h)*Z86,EXP(-IRTree!Z20*h)*((AA19+AA20)/2+Z86))))</f>
        <v>39.446952175549974</v>
      </c>
      <c r="AA19" s="3">
        <f>IF(T&lt;=AA$11,"",IF($A19&gt;AA$12,"",IF(T=AB$11,EXP(-IRTree!AA20*h)*AA86,EXP(-IRTree!AA20*h)*((AB19+AB20)/2+AA86))))</f>
        <v>41.568551415377577</v>
      </c>
      <c r="AB19" s="3">
        <f>IF(T&lt;=AB$11,"",IF($A19&gt;AB$12,"",IF(T=AC$11,EXP(-IRTree!AB20*h)*AB86,EXP(-IRTree!AB20*h)*((AC19+AC20)/2+AB86))))</f>
        <v>43.460945416301726</v>
      </c>
      <c r="AC19" s="3">
        <f>IF(T&lt;=AC$11,"",IF($A19&gt;AC$12,"",IF(T=AD$11,EXP(-IRTree!AC20*h)*AC86,EXP(-IRTree!AC20*h)*((AD19+AD20)/2+AC86))))</f>
        <v>44.998730582987825</v>
      </c>
      <c r="AD19" s="3">
        <f>IF(T&lt;=AD$11,"",IF($A19&gt;AD$12,"",IF(T=AE$11,EXP(-IRTree!AD20*h)*AD86,EXP(-IRTree!AD20*h)*((AE19+AE20)/2+AD86))))</f>
        <v>46.202049124756307</v>
      </c>
      <c r="AE19" s="3">
        <f>IF(T&lt;=AE$11,"",IF($A19&gt;AE$12,"",IF(T=AF$11,EXP(-IRTree!AE20*h)*AE86,EXP(-IRTree!AE20*h)*((AF19+AF20)/2+AE86))))</f>
        <v>47.039637149842285</v>
      </c>
      <c r="AF19" s="3">
        <f>IF(T&lt;=AF$11,"",IF($A19&gt;AF$12,"",IF(T=AG$11,EXP(-IRTree!AF20*h)*AF86,EXP(-IRTree!AF20*h)*((AG19+AG20)/2+AF86))))</f>
        <v>47.396276862261601</v>
      </c>
      <c r="AG19" s="3">
        <f>IF(T&lt;=AG$11,"",IF($A19&gt;AG$12,"",IF(T=AH$11,EXP(-IRTree!AG20*h)*AG86,EXP(-IRTree!AG20*h)*((AH19+AH20)/2+AG86))))</f>
        <v>47.153446179387011</v>
      </c>
      <c r="AH19" s="3">
        <f>IF(T&lt;=AH$11,"",IF($A19&gt;AH$12,"",IF(T=AI$11,EXP(-IRTree!AH20*h)*AH86,EXP(-IRTree!AH20*h)*((AI19+AI20)/2+AH86))))</f>
        <v>46.275867998101418</v>
      </c>
      <c r="AI19" s="3">
        <f>IF(T&lt;=AI$11,"",IF($A19&gt;AI$12,"",IF(T=AJ$11,EXP(-IRTree!AI20*h)*AI86,EXP(-IRTree!AI20*h)*((AJ19+AJ20)/2+AI86))))</f>
        <v>44.532506945432374</v>
      </c>
      <c r="AJ19" s="3">
        <f>IF(T&lt;=AJ$11,"",IF($A19&gt;AJ$12,"",IF(T=AK$11,EXP(-IRTree!AJ20*h)*AJ86,EXP(-IRTree!AJ20*h)*((AK19+AK20)/2+AJ86))))</f>
        <v>42.06308549773172</v>
      </c>
      <c r="AK19" s="3">
        <f>IF(T&lt;=AK$11,"",IF($A19&gt;AK$12,"",IF(T=AL$11,EXP(-IRTree!AK20*h)*AK86,EXP(-IRTree!AK20*h)*((AL19+AL20)/2+AK86))))</f>
        <v>38.626648180092573</v>
      </c>
      <c r="AL19" s="3">
        <f>IF(T&lt;=AL$11,"",IF($A19&gt;AL$12,"",IF(T=AM$11,EXP(-IRTree!AL20*h)*AL86,EXP(-IRTree!AL20*h)*((AM19+AM20)/2+AL86))))</f>
        <v>34.198772774898707</v>
      </c>
      <c r="AM19" s="3">
        <f>IF(T&lt;=AM$11,"",IF($A19&gt;AM$12,"",IF(T=AN$11,EXP(-IRTree!AM20*h)*AM86,EXP(-IRTree!AM20*h)*((AN19+AN20)/2+AM86))))</f>
        <v>28.075859899474473</v>
      </c>
      <c r="AN19" s="3">
        <f>IF(T&lt;=AN$11,"",IF($A19&gt;AN$12,"",IF(T=AO$11,EXP(-IRTree!AN20*h)*AN86,EXP(-IRTree!AN20*h)*((AO19+AO20)/2+AN86))))</f>
        <v>20.522775950605755</v>
      </c>
      <c r="AO19" s="3">
        <f>IF(T&lt;=AO$11,"",IF($A19&gt;AO$12,"",IF(T=AP$11,EXP(-IRTree!AO20*h)*AO86,EXP(-IRTree!AO20*h)*((AP19+AP20)/2+AO86))))</f>
        <v>11.286282640764766</v>
      </c>
      <c r="AP19" s="3" t="str">
        <f>IF(T&lt;=AP$11,"",IF($A19&gt;AP$12,"",IF(T=AQ$11,EXP(-IRTree!AP20*h)*AP86,EXP(-IRTree!AP20*h)*((AQ19+AQ20)/2+AP86))))</f>
        <v/>
      </c>
      <c r="AQ19" s="3" t="str">
        <f>IF(T&lt;=AQ$11,"",IF($A19&gt;AQ$12,"",IF(T=AR$11,EXP(-IRTree!AQ20*h)*AQ86,EXP(-IRTree!AQ20*h)*((AR19+AR20)/2+AQ86))))</f>
        <v/>
      </c>
      <c r="AR19" s="3" t="str">
        <f>IF(T&lt;=AR$11,"",IF($A19&gt;AR$12,"",IF(T=AS$11,EXP(-IRTree!AR20*h)*AR86,EXP(-IRTree!AR20*h)*((AS19+AS20)/2+AR86))))</f>
        <v/>
      </c>
      <c r="AS19" s="3" t="str">
        <f>IF(T&lt;=AS$11,"",IF($A19&gt;AS$12,"",IF(T=AT$11,EXP(-IRTree!AS20*h)*AS86,EXP(-IRTree!AS20*h)*((AT19+AT20)/2+AS86))))</f>
        <v/>
      </c>
      <c r="AT19" s="3" t="str">
        <f>IF(T&lt;=AT$11,"",IF($A19&gt;AT$12,"",IF(T=AU$11,EXP(-IRTree!AT20*h)*AT86,EXP(-IRTree!AT20*h)*((AU19+AU20)/2+AT86))))</f>
        <v/>
      </c>
      <c r="AU19" s="3" t="str">
        <f>IF(T&lt;=AU$11,"",IF($A19&gt;AU$12,"",IF(T=AV$11,EXP(-IRTree!AU20*h)*AU86,EXP(-IRTree!AU20*h)*((AV19+AV20)/2+AU86))))</f>
        <v/>
      </c>
      <c r="AV19" s="3" t="str">
        <f>IF(T&lt;=AV$11,"",IF($A19&gt;AV$12,"",IF(T=AW$11,EXP(-IRTree!AV20*h)*AV86,EXP(-IRTree!AV20*h)*((AW19+AW20)/2+AV86))))</f>
        <v/>
      </c>
      <c r="AW19" s="3" t="str">
        <f>IF(T&lt;=AW$11,"",IF($A19&gt;AW$12,"",IF(T=AX$11,EXP(-IRTree!AW20*h)*AW86,EXP(-IRTree!AW20*h)*((AX19+AX20)/2+AW86))))</f>
        <v/>
      </c>
      <c r="AX19" s="3" t="str">
        <f>IF(T&lt;=AX$11,"",IF($A19&gt;AX$12,"",IF(T=AY$11,EXP(-IRTree!AX20*h)*AX86,EXP(-IRTree!AX20*h)*((AY19+AY20)/2+AX86))))</f>
        <v/>
      </c>
      <c r="AY19" s="3" t="str">
        <f>IF(T&lt;=AY$11,"",IF($A19&gt;AY$12,"",IF(T=AZ$11,EXP(-IRTree!AY20*h)*AY86,EXP(-IRTree!AY20*h)*((AZ19+AZ20)/2+AY86))))</f>
        <v/>
      </c>
      <c r="AZ19" s="3" t="str">
        <f>IF(T&lt;=AZ$11,"",IF($A19&gt;AZ$12,"",IF(T=BA$11,EXP(-IRTree!AZ20*h)*AZ86,EXP(-IRTree!AZ20*h)*((BA19+BA20)/2+AZ86))))</f>
        <v/>
      </c>
      <c r="BA19" s="3" t="str">
        <f>IF(T&lt;=BA$11,"",IF($A19&gt;BA$12,"",IF(T=BB$11,EXP(-IRTree!BA20*h)*BA86,EXP(-IRTree!BA20*h)*((BB19+BB20)/2+BA86))))</f>
        <v/>
      </c>
      <c r="BB19" s="3" t="str">
        <f>IF(T&lt;=BB$11,"",IF($A19&gt;BB$12,"",IF(T=BC$11,EXP(-IRTree!BB20*h)*BB86,EXP(-IRTree!BB20*h)*((BC19+BC20)/2+BB86))))</f>
        <v/>
      </c>
      <c r="BC19" s="3" t="str">
        <f>IF(T&lt;=BC$11,"",IF($A19&gt;BC$12,"",IF(T=BD$11,EXP(-IRTree!BC20*h)*BC86,EXP(-IRTree!BC20*h)*((BD19+BD20)/2+BC86))))</f>
        <v/>
      </c>
      <c r="BD19" s="3" t="str">
        <f>IF(T&lt;=BD$11,"",IF($A19&gt;BD$12,"",IF(T=BE$11,EXP(-IRTree!BD20*h)*BD86,EXP(-IRTree!BD20*h)*((BE19+BE20)/2+BD86))))</f>
        <v/>
      </c>
      <c r="BE19" s="3" t="str">
        <f>IF(T&lt;=BE$11,"",IF($A19&gt;BE$12,"",IF(T=BF$11,EXP(-IRTree!BE20*h)*BE86,EXP(-IRTree!BE20*h)*((BF19+BF20)/2+BE86))))</f>
        <v/>
      </c>
      <c r="BF19" s="3" t="str">
        <f>IF(T&lt;=BF$11,"",IF($A19&gt;BF$12,"",IF(T=BG$11,EXP(-IRTree!BF20*h)*BF86,EXP(-IRTree!BF20*h)*((BG19+BG20)/2+BF86))))</f>
        <v/>
      </c>
      <c r="BG19" s="3" t="str">
        <f>IF(T&lt;=BG$11,"",IF($A19&gt;BG$12,"",IF(T=BH$11,EXP(-IRTree!BG20*h)*BG86,EXP(-IRTree!BG20*h)*((BH19+BH20)/2+BG86))))</f>
        <v/>
      </c>
      <c r="BH19" s="3" t="str">
        <f>IF(T&lt;=BH$11,"",IF($A19&gt;BH$12,"",IF(T=BI$11,EXP(-IRTree!BH20*h)*BH86,EXP(-IRTree!BH20*h)*((BI19+BI20)/2+BH86))))</f>
        <v/>
      </c>
      <c r="BI19" s="3" t="str">
        <f>IF(T&lt;=BI$11,"",IF($A19&gt;BI$12,"",IF(T=BJ$11,EXP(-IRTree!BI20*h)*BI86,EXP(-IRTree!BI20*h)*((BJ19+BJ20)/2+BI86))))</f>
        <v/>
      </c>
      <c r="BJ19" s="3" t="str">
        <f>IF(T&lt;=BJ$11,"",IF($A19&gt;BJ$12,"",IF(T=BK$11,EXP(-IRTree!BJ20*h)*BJ86,EXP(-IRTree!BJ20*h)*((BK19+BK20)/2+BJ86))))</f>
        <v/>
      </c>
    </row>
    <row r="20" spans="1:62">
      <c r="A20" s="12">
        <f t="shared" si="2"/>
        <v>7</v>
      </c>
      <c r="B20" s="3" t="str">
        <f>IF(T&lt;=B$11,"",IF($A20&gt;B$12,"",IF(T=C$11,EXP(-IRTree!B21*h)*B87,EXP(-IRTree!B21*h)*((C20+C21)/2+B87))))</f>
        <v/>
      </c>
      <c r="C20" s="3" t="str">
        <f>IF(T&lt;=C$11,"",IF($A20&gt;C$12,"",IF(T=D$11,EXP(-IRTree!C21*h)*C87,EXP(-IRTree!C21*h)*((D20+D21)/2+C87))))</f>
        <v/>
      </c>
      <c r="D20" s="3" t="str">
        <f>IF(T&lt;=D$11,"",IF($A20&gt;D$12,"",IF(T=E$11,EXP(-IRTree!D21*h)*D87,EXP(-IRTree!D21*h)*((E20+E21)/2+D87))))</f>
        <v/>
      </c>
      <c r="E20" s="3" t="str">
        <f>IF(T&lt;=E$11,"",IF($A20&gt;E$12,"",IF(T=F$11,EXP(-IRTree!E21*h)*E87,EXP(-IRTree!E21*h)*((F20+F21)/2+E87))))</f>
        <v/>
      </c>
      <c r="F20" s="3" t="str">
        <f>IF(T&lt;=F$11,"",IF($A20&gt;F$12,"",IF(T=G$11,EXP(-IRTree!F21*h)*F87,EXP(-IRTree!F21*h)*((G20+G21)/2+F87))))</f>
        <v/>
      </c>
      <c r="G20" s="3" t="str">
        <f>IF(T&lt;=G$11,"",IF($A20&gt;G$12,"",IF(T=H$11,EXP(-IRTree!G21*h)*G87,EXP(-IRTree!G21*h)*((H20+H21)/2+G87))))</f>
        <v/>
      </c>
      <c r="H20" s="3" t="str">
        <f>IF(T&lt;=H$11,"",IF($A20&gt;H$12,"",IF(T=I$11,EXP(-IRTree!H21*h)*H87,EXP(-IRTree!H21*h)*((I20+I21)/2+H87))))</f>
        <v/>
      </c>
      <c r="I20" s="3">
        <f>IF(T&lt;=I$11,"",IF($A20&gt;I$12,"",IF(T=J$11,EXP(-IRTree!I21*h)*I87,EXP(-IRTree!I21*h)*((J20+J21)/2+I87))))</f>
        <v>0.6116395019473414</v>
      </c>
      <c r="J20" s="3">
        <f>IF(T&lt;=J$11,"",IF($A20&gt;J$12,"",IF(T=K$11,EXP(-IRTree!J21*h)*J87,EXP(-IRTree!J21*h)*((K20+K21)/2+J87))))</f>
        <v>0.85638039531938948</v>
      </c>
      <c r="K20" s="3">
        <f>IF(T&lt;=K$11,"",IF($A20&gt;K$12,"",IF(T=L$11,EXP(-IRTree!K21*h)*K87,EXP(-IRTree!K21*h)*((L20+L21)/2+K87))))</f>
        <v>1.1910591895551017</v>
      </c>
      <c r="L20" s="3">
        <f>IF(T&lt;=L$11,"",IF($A20&gt;L$12,"",IF(T=M$11,EXP(-IRTree!L21*h)*L87,EXP(-IRTree!L21*h)*((M20+M21)/2+L87))))</f>
        <v>1.6450816485435094</v>
      </c>
      <c r="M20" s="3">
        <f>IF(T&lt;=M$11,"",IF($A20&gt;M$12,"",IF(T=N$11,EXP(-IRTree!M21*h)*M87,EXP(-IRTree!M21*h)*((N20+N21)/2+M87))))</f>
        <v>2.2571653056612617</v>
      </c>
      <c r="N20" s="3">
        <f>IF(T&lt;=N$11,"",IF($A20&gt;N$12,"",IF(T=O$11,EXP(-IRTree!N21*h)*N87,EXP(-IRTree!N21*h)*((O20+O21)/2+N87))))</f>
        <v>3.076656185629401</v>
      </c>
      <c r="O20" s="3">
        <f>IF(T&lt;=O$11,"",IF($A20&gt;O$12,"",IF(T=P$11,EXP(-IRTree!O21*h)*O87,EXP(-IRTree!O21*h)*((P20+P21)/2+O87))))</f>
        <v>4.1667616347262095</v>
      </c>
      <c r="P20" s="3">
        <f>IF(T&lt;=P$11,"",IF($A20&gt;P$12,"",IF(T=Q$11,EXP(-IRTree!P21*h)*P87,EXP(-IRTree!P21*h)*((Q20+Q21)/2+P87))))</f>
        <v>5.6055841319683877</v>
      </c>
      <c r="Q20" s="3">
        <f>IF(T&lt;=Q$11,"",IF($A20&gt;Q$12,"",IF(T=R$11,EXP(-IRTree!Q21*h)*Q87,EXP(-IRTree!Q21*h)*((R20+R21)/2+Q87))))</f>
        <v>7.4951157106909294</v>
      </c>
      <c r="R20" s="3">
        <f>IF(T&lt;=R$11,"",IF($A20&gt;R$12,"",IF(T=S$11,EXP(-IRTree!R21*h)*R87,EXP(-IRTree!R21*h)*((S20+S21)/2+R87))))</f>
        <v>9.9082886307166316</v>
      </c>
      <c r="S20" s="3">
        <f>IF(T&lt;=S$11,"",IF($A20&gt;S$12,"",IF(T=T$11,EXP(-IRTree!S21*h)*S87,EXP(-IRTree!S21*h)*((T20+T21)/2+S87))))</f>
        <v>12.606738888483726</v>
      </c>
      <c r="T20" s="3">
        <f>IF(T&lt;=T$11,"",IF($A20&gt;T$12,"",IF(T=U$11,EXP(-IRTree!T21*h)*T87,EXP(-IRTree!T21*h)*((U20+U21)/2+T87))))</f>
        <v>15.442451595629262</v>
      </c>
      <c r="U20" s="3">
        <f>IF(T&lt;=U$11,"",IF($A20&gt;U$12,"",IF(T=V$11,EXP(-IRTree!U21*h)*U87,EXP(-IRTree!U21*h)*((V20+V21)/2+U87))))</f>
        <v>18.329051509386787</v>
      </c>
      <c r="V20" s="3">
        <f>IF(T&lt;=V$11,"",IF($A20&gt;V$12,"",IF(T=W$11,EXP(-IRTree!V21*h)*V87,EXP(-IRTree!V21*h)*((W20+W21)/2+V87))))</f>
        <v>21.186938530575382</v>
      </c>
      <c r="W20" s="3">
        <f>IF(T&lt;=W$11,"",IF($A20&gt;W$12,"",IF(T=X$11,EXP(-IRTree!W21*h)*W87,EXP(-IRTree!W21*h)*((X20+X21)/2+W87))))</f>
        <v>23.969738963352953</v>
      </c>
      <c r="X20" s="3">
        <f>IF(T&lt;=X$11,"",IF($A20&gt;X$12,"",IF(T=Y$11,EXP(-IRTree!X21*h)*X87,EXP(-IRTree!X21*h)*((Y20+Y21)/2+X87))))</f>
        <v>26.610706484462348</v>
      </c>
      <c r="Y20" s="3">
        <f>IF(T&lt;=Y$11,"",IF($A20&gt;Y$12,"",IF(T=Z$11,EXP(-IRTree!Y21*h)*Y87,EXP(-IRTree!Y21*h)*((Z20+Z21)/2+Y87))))</f>
        <v>29.14631214772611</v>
      </c>
      <c r="Z20" s="3">
        <f>IF(T&lt;=Z$11,"",IF($A20&gt;Z$12,"",IF(T=AA$11,EXP(-IRTree!Z21*h)*Z87,EXP(-IRTree!Z21*h)*((AA20+AA21)/2+Z87))))</f>
        <v>31.476488567254801</v>
      </c>
      <c r="AA20" s="3">
        <f>IF(T&lt;=AA$11,"",IF($A20&gt;AA$12,"",IF(T=AB$11,EXP(-IRTree!AA21*h)*AA87,EXP(-IRTree!AA21*h)*((AB20+AB21)/2+AA87))))</f>
        <v>33.609222209645012</v>
      </c>
      <c r="AB20" s="3">
        <f>IF(T&lt;=AB$11,"",IF($A20&gt;AB$12,"",IF(T=AC$11,EXP(-IRTree!AB21*h)*AB87,EXP(-IRTree!AB21*h)*((AC20+AC21)/2+AB87))))</f>
        <v>35.530405949974892</v>
      </c>
      <c r="AC20" s="3">
        <f>IF(T&lt;=AC$11,"",IF($A20&gt;AC$12,"",IF(T=AD$11,EXP(-IRTree!AC21*h)*AC87,EXP(-IRTree!AC21*h)*((AD20+AD21)/2+AC87))))</f>
        <v>37.137282224258499</v>
      </c>
      <c r="AD20" s="3">
        <f>IF(T&lt;=AD$11,"",IF($A20&gt;AD$12,"",IF(T=AE$11,EXP(-IRTree!AD21*h)*AD87,EXP(-IRTree!AD21*h)*((AE20+AE21)/2+AD87))))</f>
        <v>38.434106930677324</v>
      </c>
      <c r="AE20" s="3">
        <f>IF(T&lt;=AE$11,"",IF($A20&gt;AE$12,"",IF(T=AF$11,EXP(-IRTree!AE21*h)*AE87,EXP(-IRTree!AE21*h)*((AF20+AF21)/2+AE87))))</f>
        <v>39.387261033051637</v>
      </c>
      <c r="AF20" s="3">
        <f>IF(T&lt;=AF$11,"",IF($A20&gt;AF$12,"",IF(T=AG$11,EXP(-IRTree!AF21*h)*AF87,EXP(-IRTree!AF21*h)*((AG20+AG21)/2+AF87))))</f>
        <v>39.896689839942219</v>
      </c>
      <c r="AG20" s="3">
        <f>IF(T&lt;=AG$11,"",IF($A20&gt;AG$12,"",IF(T=AH$11,EXP(-IRTree!AG21*h)*AG87,EXP(-IRTree!AG21*h)*((AH20+AH21)/2+AG87))))</f>
        <v>39.858484103471383</v>
      </c>
      <c r="AH20" s="3">
        <f>IF(T&lt;=AH$11,"",IF($A20&gt;AH$12,"",IF(T=AI$11,EXP(-IRTree!AH21*h)*AH87,EXP(-IRTree!AH21*h)*((AI20+AI21)/2+AH87))))</f>
        <v>39.235534903285718</v>
      </c>
      <c r="AI20" s="3">
        <f>IF(T&lt;=AI$11,"",IF($A20&gt;AI$12,"",IF(T=AJ$11,EXP(-IRTree!AI21*h)*AI87,EXP(-IRTree!AI21*h)*((AJ20+AJ21)/2+AI87))))</f>
        <v>37.836239784022382</v>
      </c>
      <c r="AJ20" s="3">
        <f>IF(T&lt;=AJ$11,"",IF($A20&gt;AJ$12,"",IF(T=AK$11,EXP(-IRTree!AJ21*h)*AJ87,EXP(-IRTree!AJ21*h)*((AK20+AK21)/2+AJ87))))</f>
        <v>35.770033650319533</v>
      </c>
      <c r="AK20" s="3">
        <f>IF(T&lt;=AK$11,"",IF($A20&gt;AK$12,"",IF(T=AL$11,EXP(-IRTree!AK21*h)*AK87,EXP(-IRTree!AK21*h)*((AL20+AL21)/2+AK87))))</f>
        <v>32.842552432343318</v>
      </c>
      <c r="AL20" s="3">
        <f>IF(T&lt;=AL$11,"",IF($A20&gt;AL$12,"",IF(T=AM$11,EXP(-IRTree!AL21*h)*AL87,EXP(-IRTree!AL21*h)*((AM20+AM21)/2+AL87))))</f>
        <v>29.036989795627886</v>
      </c>
      <c r="AM20" s="3">
        <f>IF(T&lt;=AM$11,"",IF($A20&gt;AM$12,"",IF(T=AN$11,EXP(-IRTree!AM21*h)*AM87,EXP(-IRTree!AM21*h)*((AN20+AN21)/2+AM87))))</f>
        <v>23.795901180626302</v>
      </c>
      <c r="AN20" s="3">
        <f>IF(T&lt;=AN$11,"",IF($A20&gt;AN$12,"",IF(T=AO$11,EXP(-IRTree!AN21*h)*AN87,EXP(-IRTree!AN21*h)*((AO20+AO21)/2+AN87))))</f>
        <v>17.34757865156233</v>
      </c>
      <c r="AO20" s="3">
        <f>IF(T&lt;=AO$11,"",IF($A20&gt;AO$12,"",IF(T=AP$11,EXP(-IRTree!AO21*h)*AO87,EXP(-IRTree!AO21*h)*((AP20+AP21)/2+AO87))))</f>
        <v>9.5058839856209616</v>
      </c>
      <c r="AP20" s="3" t="str">
        <f>IF(T&lt;=AP$11,"",IF($A20&gt;AP$12,"",IF(T=AQ$11,EXP(-IRTree!AP21*h)*AP87,EXP(-IRTree!AP21*h)*((AQ20+AQ21)/2+AP87))))</f>
        <v/>
      </c>
      <c r="AQ20" s="3" t="str">
        <f>IF(T&lt;=AQ$11,"",IF($A20&gt;AQ$12,"",IF(T=AR$11,EXP(-IRTree!AQ21*h)*AQ87,EXP(-IRTree!AQ21*h)*((AR20+AR21)/2+AQ87))))</f>
        <v/>
      </c>
      <c r="AR20" s="3" t="str">
        <f>IF(T&lt;=AR$11,"",IF($A20&gt;AR$12,"",IF(T=AS$11,EXP(-IRTree!AR21*h)*AR87,EXP(-IRTree!AR21*h)*((AS20+AS21)/2+AR87))))</f>
        <v/>
      </c>
      <c r="AS20" s="3" t="str">
        <f>IF(T&lt;=AS$11,"",IF($A20&gt;AS$12,"",IF(T=AT$11,EXP(-IRTree!AS21*h)*AS87,EXP(-IRTree!AS21*h)*((AT20+AT21)/2+AS87))))</f>
        <v/>
      </c>
      <c r="AT20" s="3" t="str">
        <f>IF(T&lt;=AT$11,"",IF($A20&gt;AT$12,"",IF(T=AU$11,EXP(-IRTree!AT21*h)*AT87,EXP(-IRTree!AT21*h)*((AU20+AU21)/2+AT87))))</f>
        <v/>
      </c>
      <c r="AU20" s="3" t="str">
        <f>IF(T&lt;=AU$11,"",IF($A20&gt;AU$12,"",IF(T=AV$11,EXP(-IRTree!AU21*h)*AU87,EXP(-IRTree!AU21*h)*((AV20+AV21)/2+AU87))))</f>
        <v/>
      </c>
      <c r="AV20" s="3" t="str">
        <f>IF(T&lt;=AV$11,"",IF($A20&gt;AV$12,"",IF(T=AW$11,EXP(-IRTree!AV21*h)*AV87,EXP(-IRTree!AV21*h)*((AW20+AW21)/2+AV87))))</f>
        <v/>
      </c>
      <c r="AW20" s="3" t="str">
        <f>IF(T&lt;=AW$11,"",IF($A20&gt;AW$12,"",IF(T=AX$11,EXP(-IRTree!AW21*h)*AW87,EXP(-IRTree!AW21*h)*((AX20+AX21)/2+AW87))))</f>
        <v/>
      </c>
      <c r="AX20" s="3" t="str">
        <f>IF(T&lt;=AX$11,"",IF($A20&gt;AX$12,"",IF(T=AY$11,EXP(-IRTree!AX21*h)*AX87,EXP(-IRTree!AX21*h)*((AY20+AY21)/2+AX87))))</f>
        <v/>
      </c>
      <c r="AY20" s="3" t="str">
        <f>IF(T&lt;=AY$11,"",IF($A20&gt;AY$12,"",IF(T=AZ$11,EXP(-IRTree!AY21*h)*AY87,EXP(-IRTree!AY21*h)*((AZ20+AZ21)/2+AY87))))</f>
        <v/>
      </c>
      <c r="AZ20" s="3" t="str">
        <f>IF(T&lt;=AZ$11,"",IF($A20&gt;AZ$12,"",IF(T=BA$11,EXP(-IRTree!AZ21*h)*AZ87,EXP(-IRTree!AZ21*h)*((BA20+BA21)/2+AZ87))))</f>
        <v/>
      </c>
      <c r="BA20" s="3" t="str">
        <f>IF(T&lt;=BA$11,"",IF($A20&gt;BA$12,"",IF(T=BB$11,EXP(-IRTree!BA21*h)*BA87,EXP(-IRTree!BA21*h)*((BB20+BB21)/2+BA87))))</f>
        <v/>
      </c>
      <c r="BB20" s="3" t="str">
        <f>IF(T&lt;=BB$11,"",IF($A20&gt;BB$12,"",IF(T=BC$11,EXP(-IRTree!BB21*h)*BB87,EXP(-IRTree!BB21*h)*((BC20+BC21)/2+BB87))))</f>
        <v/>
      </c>
      <c r="BC20" s="3" t="str">
        <f>IF(T&lt;=BC$11,"",IF($A20&gt;BC$12,"",IF(T=BD$11,EXP(-IRTree!BC21*h)*BC87,EXP(-IRTree!BC21*h)*((BD20+BD21)/2+BC87))))</f>
        <v/>
      </c>
      <c r="BD20" s="3" t="str">
        <f>IF(T&lt;=BD$11,"",IF($A20&gt;BD$12,"",IF(T=BE$11,EXP(-IRTree!BD21*h)*BD87,EXP(-IRTree!BD21*h)*((BE20+BE21)/2+BD87))))</f>
        <v/>
      </c>
      <c r="BE20" s="3" t="str">
        <f>IF(T&lt;=BE$11,"",IF($A20&gt;BE$12,"",IF(T=BF$11,EXP(-IRTree!BE21*h)*BE87,EXP(-IRTree!BE21*h)*((BF20+BF21)/2+BE87))))</f>
        <v/>
      </c>
      <c r="BF20" s="3" t="str">
        <f>IF(T&lt;=BF$11,"",IF($A20&gt;BF$12,"",IF(T=BG$11,EXP(-IRTree!BF21*h)*BF87,EXP(-IRTree!BF21*h)*((BG20+BG21)/2+BF87))))</f>
        <v/>
      </c>
      <c r="BG20" s="3" t="str">
        <f>IF(T&lt;=BG$11,"",IF($A20&gt;BG$12,"",IF(T=BH$11,EXP(-IRTree!BG21*h)*BG87,EXP(-IRTree!BG21*h)*((BH20+BH21)/2+BG87))))</f>
        <v/>
      </c>
      <c r="BH20" s="3" t="str">
        <f>IF(T&lt;=BH$11,"",IF($A20&gt;BH$12,"",IF(T=BI$11,EXP(-IRTree!BH21*h)*BH87,EXP(-IRTree!BH21*h)*((BI20+BI21)/2+BH87))))</f>
        <v/>
      </c>
      <c r="BI20" s="3" t="str">
        <f>IF(T&lt;=BI$11,"",IF($A20&gt;BI$12,"",IF(T=BJ$11,EXP(-IRTree!BI21*h)*BI87,EXP(-IRTree!BI21*h)*((BJ20+BJ21)/2+BI87))))</f>
        <v/>
      </c>
      <c r="BJ20" s="3" t="str">
        <f>IF(T&lt;=BJ$11,"",IF($A20&gt;BJ$12,"",IF(T=BK$11,EXP(-IRTree!BJ21*h)*BJ87,EXP(-IRTree!BJ21*h)*((BK20+BK21)/2+BJ87))))</f>
        <v/>
      </c>
    </row>
    <row r="21" spans="1:62">
      <c r="A21" s="12">
        <f t="shared" si="2"/>
        <v>8</v>
      </c>
      <c r="B21" s="3" t="str">
        <f>IF(T&lt;=B$11,"",IF($A21&gt;B$12,"",IF(T=C$11,EXP(-IRTree!B22*h)*B88,EXP(-IRTree!B22*h)*((C21+C22)/2+B88))))</f>
        <v/>
      </c>
      <c r="C21" s="3" t="str">
        <f>IF(T&lt;=C$11,"",IF($A21&gt;C$12,"",IF(T=D$11,EXP(-IRTree!C22*h)*C88,EXP(-IRTree!C22*h)*((D21+D22)/2+C88))))</f>
        <v/>
      </c>
      <c r="D21" s="3" t="str">
        <f>IF(T&lt;=D$11,"",IF($A21&gt;D$12,"",IF(T=E$11,EXP(-IRTree!D22*h)*D88,EXP(-IRTree!D22*h)*((E21+E22)/2+D88))))</f>
        <v/>
      </c>
      <c r="E21" s="3" t="str">
        <f>IF(T&lt;=E$11,"",IF($A21&gt;E$12,"",IF(T=F$11,EXP(-IRTree!E22*h)*E88,EXP(-IRTree!E22*h)*((F21+F22)/2+E88))))</f>
        <v/>
      </c>
      <c r="F21" s="3" t="str">
        <f>IF(T&lt;=F$11,"",IF($A21&gt;F$12,"",IF(T=G$11,EXP(-IRTree!F22*h)*F88,EXP(-IRTree!F22*h)*((G21+G22)/2+F88))))</f>
        <v/>
      </c>
      <c r="G21" s="3" t="str">
        <f>IF(T&lt;=G$11,"",IF($A21&gt;G$12,"",IF(T=H$11,EXP(-IRTree!G22*h)*G88,EXP(-IRTree!G22*h)*((H21+H22)/2+G88))))</f>
        <v/>
      </c>
      <c r="H21" s="3" t="str">
        <f>IF(T&lt;=H$11,"",IF($A21&gt;H$12,"",IF(T=I$11,EXP(-IRTree!H22*h)*H88,EXP(-IRTree!H22*h)*((I21+I22)/2+H88))))</f>
        <v/>
      </c>
      <c r="I21" s="3" t="str">
        <f>IF(T&lt;=I$11,"",IF($A21&gt;I$12,"",IF(T=J$11,EXP(-IRTree!I22*h)*I88,EXP(-IRTree!I22*h)*((J21+J22)/2+I88))))</f>
        <v/>
      </c>
      <c r="J21" s="3">
        <f>IF(T&lt;=J$11,"",IF($A21&gt;J$12,"",IF(T=K$11,EXP(-IRTree!J22*h)*J88,EXP(-IRTree!J22*h)*((K21+K22)/2+J88))))</f>
        <v>0.36990366532339147</v>
      </c>
      <c r="K21" s="3">
        <f>IF(T&lt;=K$11,"",IF($A21&gt;K$12,"",IF(T=L$11,EXP(-IRTree!K22*h)*K88,EXP(-IRTree!K22*h)*((L21+L22)/2+K88))))</f>
        <v>0.5272787047336005</v>
      </c>
      <c r="L21" s="3">
        <f>IF(T&lt;=L$11,"",IF($A21&gt;L$12,"",IF(T=M$11,EXP(-IRTree!L22*h)*L88,EXP(-IRTree!L22*h)*((M21+M22)/2+L88))))</f>
        <v>0.7463299699667959</v>
      </c>
      <c r="M21" s="3">
        <f>IF(T&lt;=M$11,"",IF($A21&gt;M$12,"",IF(T=N$11,EXP(-IRTree!M22*h)*M88,EXP(-IRTree!M22*h)*((N21+N22)/2+M88))))</f>
        <v>1.0491956049803637</v>
      </c>
      <c r="N21" s="3">
        <f>IF(T&lt;=N$11,"",IF($A21&gt;N$12,"",IF(T=O$11,EXP(-IRTree!N22*h)*N88,EXP(-IRTree!N22*h)*((O21+O22)/2+N88))))</f>
        <v>1.4648979210883972</v>
      </c>
      <c r="O21" s="3">
        <f>IF(T&lt;=O$11,"",IF($A21&gt;O$12,"",IF(T=P$11,EXP(-IRTree!O22*h)*O88,EXP(-IRTree!O22*h)*((P21+P22)/2+O88))))</f>
        <v>2.0315838362124423</v>
      </c>
      <c r="P21" s="3">
        <f>IF(T&lt;=P$11,"",IF($A21&gt;P$12,"",IF(T=Q$11,EXP(-IRTree!P22*h)*P88,EXP(-IRTree!P22*h)*((Q21+Q22)/2+P88))))</f>
        <v>2.7975009857592967</v>
      </c>
      <c r="Q21" s="3">
        <f>IF(T&lt;=Q$11,"",IF($A21&gt;Q$12,"",IF(T=R$11,EXP(-IRTree!Q22*h)*Q88,EXP(-IRTree!Q22*h)*((R21+R22)/2+Q88))))</f>
        <v>3.827244786848818</v>
      </c>
      <c r="R21" s="3">
        <f>IF(T&lt;=R$11,"",IF($A21&gt;R$12,"",IF(T=S$11,EXP(-IRTree!R22*h)*R88,EXP(-IRTree!R22*h)*((S21+S22)/2+R88))))</f>
        <v>5.202062614620151</v>
      </c>
      <c r="S21" s="3">
        <f>IF(T&lt;=S$11,"",IF($A21&gt;S$12,"",IF(T=T$11,EXP(-IRTree!S22*h)*S88,EXP(-IRTree!S22*h)*((T21+T22)/2+S88))))</f>
        <v>7.0293714275911592</v>
      </c>
      <c r="T21" s="3">
        <f>IF(T&lt;=T$11,"",IF($A21&gt;T$12,"",IF(T=U$11,EXP(-IRTree!T22*h)*T88,EXP(-IRTree!T22*h)*((U21+U22)/2+T88))))</f>
        <v>9.2901737917900959</v>
      </c>
      <c r="U21" s="3">
        <f>IF(T&lt;=U$11,"",IF($A21&gt;U$12,"",IF(T=V$11,EXP(-IRTree!U22*h)*U88,EXP(-IRTree!U22*h)*((V21+V22)/2+U88))))</f>
        <v>11.779407227301839</v>
      </c>
      <c r="V21" s="3">
        <f>IF(T&lt;=V$11,"",IF($A21&gt;V$12,"",IF(T=W$11,EXP(-IRTree!V22*h)*V88,EXP(-IRTree!V22*h)*((W21+W22)/2+V88))))</f>
        <v>14.364780809900491</v>
      </c>
      <c r="W21" s="3">
        <f>IF(T&lt;=W$11,"",IF($A21&gt;W$12,"",IF(T=X$11,EXP(-IRTree!W22*h)*W88,EXP(-IRTree!W22*h)*((X21+X22)/2+W88))))</f>
        <v>16.956304072033902</v>
      </c>
      <c r="X21" s="3">
        <f>IF(T&lt;=X$11,"",IF($A21&gt;X$12,"",IF(T=Y$11,EXP(-IRTree!X22*h)*X88,EXP(-IRTree!X22*h)*((Y21+Y22)/2+X88))))</f>
        <v>19.474810703972139</v>
      </c>
      <c r="Y21" s="3">
        <f>IF(T&lt;=Y$11,"",IF($A21&gt;Y$12,"",IF(T=Z$11,EXP(-IRTree!Y22*h)*Y88,EXP(-IRTree!Y22*h)*((Z21+Z22)/2+Y88))))</f>
        <v>21.910815816446849</v>
      </c>
      <c r="Z21" s="3">
        <f>IF(T&lt;=Z$11,"",IF($A21&gt;Z$12,"",IF(T=AA$11,EXP(-IRTree!Z22*h)*Z88,EXP(-IRTree!Z22*h)*((AA21+AA22)/2+Z88))))</f>
        <v>24.187034063814831</v>
      </c>
      <c r="AA21" s="3">
        <f>IF(T&lt;=AA$11,"",IF($A21&gt;AA$12,"",IF(T=AB$11,EXP(-IRTree!AA22*h)*AA88,EXP(-IRTree!AA22*h)*((AB21+AB22)/2+AA88))))</f>
        <v>26.293036020597327</v>
      </c>
      <c r="AB21" s="3">
        <f>IF(T&lt;=AB$11,"",IF($A21&gt;AB$12,"",IF(T=AC$11,EXP(-IRTree!AB22*h)*AB88,EXP(-IRTree!AB22*h)*((AC21+AC22)/2+AB88))))</f>
        <v>28.209426105578995</v>
      </c>
      <c r="AC21" s="3">
        <f>IF(T&lt;=AC$11,"",IF($A21&gt;AC$12,"",IF(T=AD$11,EXP(-IRTree!AC22*h)*AC88,EXP(-IRTree!AC22*h)*((AD21+AD22)/2+AC88))))</f>
        <v>29.854661976991686</v>
      </c>
      <c r="AD21" s="3">
        <f>IF(T&lt;=AD$11,"",IF($A21&gt;AD$12,"",IF(T=AE$11,EXP(-IRTree!AD22*h)*AD88,EXP(-IRTree!AD22*h)*((AE21+AE22)/2+AD88))))</f>
        <v>31.220289452441193</v>
      </c>
      <c r="AE21" s="3">
        <f>IF(T&lt;=AE$11,"",IF($A21&gt;AE$12,"",IF(T=AF$11,EXP(-IRTree!AE22*h)*AE88,EXP(-IRTree!AE22*h)*((AF21+AF22)/2+AE88))))</f>
        <v>32.271761527913995</v>
      </c>
      <c r="AF21" s="3">
        <f>IF(T&lt;=AF$11,"",IF($A21&gt;AF$12,"",IF(T=AG$11,EXP(-IRTree!AF22*h)*AF88,EXP(-IRTree!AF22*h)*((AG21+AG22)/2+AF88))))</f>
        <v>32.924103874362366</v>
      </c>
      <c r="AG21" s="3">
        <f>IF(T&lt;=AG$11,"",IF($A21&gt;AG$12,"",IF(T=AH$11,EXP(-IRTree!AG22*h)*AG88,EXP(-IRTree!AG22*h)*((AH21+AH22)/2+AG88))))</f>
        <v>33.087592010697513</v>
      </c>
      <c r="AH21" s="3">
        <f>IF(T&lt;=AH$11,"",IF($A21&gt;AH$12,"",IF(T=AI$11,EXP(-IRTree!AH22*h)*AH88,EXP(-IRTree!AH22*h)*((AI21+AI22)/2+AH88))))</f>
        <v>32.723157425672255</v>
      </c>
      <c r="AI21" s="3">
        <f>IF(T&lt;=AI$11,"",IF($A21&gt;AI$12,"",IF(T=AJ$11,EXP(-IRTree!AI22*h)*AI88,EXP(-IRTree!AI22*h)*((AJ21+AJ22)/2+AI88))))</f>
        <v>31.674016562611705</v>
      </c>
      <c r="AJ21" s="3">
        <f>IF(T&lt;=AJ$11,"",IF($A21&gt;AJ$12,"",IF(T=AK$11,EXP(-IRTree!AJ22*h)*AJ88,EXP(-IRTree!AJ22*h)*((AK21+AK22)/2+AJ88))))</f>
        <v>30.018712043620088</v>
      </c>
      <c r="AK21" s="3">
        <f>IF(T&lt;=AK$11,"",IF($A21&gt;AK$12,"",IF(T=AL$11,EXP(-IRTree!AK22*h)*AK88,EXP(-IRTree!AK22*h)*((AL21+AL22)/2+AK88))))</f>
        <v>27.60173748354093</v>
      </c>
      <c r="AL21" s="3">
        <f>IF(T&lt;=AL$11,"",IF($A21&gt;AL$12,"",IF(T=AM$11,EXP(-IRTree!AL22*h)*AL88,EXP(-IRTree!AL22*h)*((AM21+AM22)/2+AL88))))</f>
        <v>24.408192612939462</v>
      </c>
      <c r="AM21" s="3">
        <f>IF(T&lt;=AM$11,"",IF($A21&gt;AM$12,"",IF(T=AN$11,EXP(-IRTree!AM22*h)*AM88,EXP(-IRTree!AM22*h)*((AN21+AN22)/2+AM88))))</f>
        <v>20.001616557232872</v>
      </c>
      <c r="AN21" s="3">
        <f>IF(T&lt;=AN$11,"",IF($A21&gt;AN$12,"",IF(T=AO$11,EXP(-IRTree!AN22*h)*AN88,EXP(-IRTree!AN22*h)*((AO21+AO22)/2+AN88))))</f>
        <v>14.567511203679905</v>
      </c>
      <c r="AO21" s="3">
        <f>IF(T&lt;=AO$11,"",IF($A21&gt;AO$12,"",IF(T=AP$11,EXP(-IRTree!AO22*h)*AO88,EXP(-IRTree!AO22*h)*((AP21+AP22)/2+AO88))))</f>
        <v>7.9676500660473497</v>
      </c>
      <c r="AP21" s="3" t="str">
        <f>IF(T&lt;=AP$11,"",IF($A21&gt;AP$12,"",IF(T=AQ$11,EXP(-IRTree!AP22*h)*AP88,EXP(-IRTree!AP22*h)*((AQ21+AQ22)/2+AP88))))</f>
        <v/>
      </c>
      <c r="AQ21" s="3" t="str">
        <f>IF(T&lt;=AQ$11,"",IF($A21&gt;AQ$12,"",IF(T=AR$11,EXP(-IRTree!AQ22*h)*AQ88,EXP(-IRTree!AQ22*h)*((AR21+AR22)/2+AQ88))))</f>
        <v/>
      </c>
      <c r="AR21" s="3" t="str">
        <f>IF(T&lt;=AR$11,"",IF($A21&gt;AR$12,"",IF(T=AS$11,EXP(-IRTree!AR22*h)*AR88,EXP(-IRTree!AR22*h)*((AS21+AS22)/2+AR88))))</f>
        <v/>
      </c>
      <c r="AS21" s="3" t="str">
        <f>IF(T&lt;=AS$11,"",IF($A21&gt;AS$12,"",IF(T=AT$11,EXP(-IRTree!AS22*h)*AS88,EXP(-IRTree!AS22*h)*((AT21+AT22)/2+AS88))))</f>
        <v/>
      </c>
      <c r="AT21" s="3" t="str">
        <f>IF(T&lt;=AT$11,"",IF($A21&gt;AT$12,"",IF(T=AU$11,EXP(-IRTree!AT22*h)*AT88,EXP(-IRTree!AT22*h)*((AU21+AU22)/2+AT88))))</f>
        <v/>
      </c>
      <c r="AU21" s="3" t="str">
        <f>IF(T&lt;=AU$11,"",IF($A21&gt;AU$12,"",IF(T=AV$11,EXP(-IRTree!AU22*h)*AU88,EXP(-IRTree!AU22*h)*((AV21+AV22)/2+AU88))))</f>
        <v/>
      </c>
      <c r="AV21" s="3" t="str">
        <f>IF(T&lt;=AV$11,"",IF($A21&gt;AV$12,"",IF(T=AW$11,EXP(-IRTree!AV22*h)*AV88,EXP(-IRTree!AV22*h)*((AW21+AW22)/2+AV88))))</f>
        <v/>
      </c>
      <c r="AW21" s="3" t="str">
        <f>IF(T&lt;=AW$11,"",IF($A21&gt;AW$12,"",IF(T=AX$11,EXP(-IRTree!AW22*h)*AW88,EXP(-IRTree!AW22*h)*((AX21+AX22)/2+AW88))))</f>
        <v/>
      </c>
      <c r="AX21" s="3" t="str">
        <f>IF(T&lt;=AX$11,"",IF($A21&gt;AX$12,"",IF(T=AY$11,EXP(-IRTree!AX22*h)*AX88,EXP(-IRTree!AX22*h)*((AY21+AY22)/2+AX88))))</f>
        <v/>
      </c>
      <c r="AY21" s="3" t="str">
        <f>IF(T&lt;=AY$11,"",IF($A21&gt;AY$12,"",IF(T=AZ$11,EXP(-IRTree!AY22*h)*AY88,EXP(-IRTree!AY22*h)*((AZ21+AZ22)/2+AY88))))</f>
        <v/>
      </c>
      <c r="AZ21" s="3" t="str">
        <f>IF(T&lt;=AZ$11,"",IF($A21&gt;AZ$12,"",IF(T=BA$11,EXP(-IRTree!AZ22*h)*AZ88,EXP(-IRTree!AZ22*h)*((BA21+BA22)/2+AZ88))))</f>
        <v/>
      </c>
      <c r="BA21" s="3" t="str">
        <f>IF(T&lt;=BA$11,"",IF($A21&gt;BA$12,"",IF(T=BB$11,EXP(-IRTree!BA22*h)*BA88,EXP(-IRTree!BA22*h)*((BB21+BB22)/2+BA88))))</f>
        <v/>
      </c>
      <c r="BB21" s="3" t="str">
        <f>IF(T&lt;=BB$11,"",IF($A21&gt;BB$12,"",IF(T=BC$11,EXP(-IRTree!BB22*h)*BB88,EXP(-IRTree!BB22*h)*((BC21+BC22)/2+BB88))))</f>
        <v/>
      </c>
      <c r="BC21" s="3" t="str">
        <f>IF(T&lt;=BC$11,"",IF($A21&gt;BC$12,"",IF(T=BD$11,EXP(-IRTree!BC22*h)*BC88,EXP(-IRTree!BC22*h)*((BD21+BD22)/2+BC88))))</f>
        <v/>
      </c>
      <c r="BD21" s="3" t="str">
        <f>IF(T&lt;=BD$11,"",IF($A21&gt;BD$12,"",IF(T=BE$11,EXP(-IRTree!BD22*h)*BD88,EXP(-IRTree!BD22*h)*((BE21+BE22)/2+BD88))))</f>
        <v/>
      </c>
      <c r="BE21" s="3" t="str">
        <f>IF(T&lt;=BE$11,"",IF($A21&gt;BE$12,"",IF(T=BF$11,EXP(-IRTree!BE22*h)*BE88,EXP(-IRTree!BE22*h)*((BF21+BF22)/2+BE88))))</f>
        <v/>
      </c>
      <c r="BF21" s="3" t="str">
        <f>IF(T&lt;=BF$11,"",IF($A21&gt;BF$12,"",IF(T=BG$11,EXP(-IRTree!BF22*h)*BF88,EXP(-IRTree!BF22*h)*((BG21+BG22)/2+BF88))))</f>
        <v/>
      </c>
      <c r="BG21" s="3" t="str">
        <f>IF(T&lt;=BG$11,"",IF($A21&gt;BG$12,"",IF(T=BH$11,EXP(-IRTree!BG22*h)*BG88,EXP(-IRTree!BG22*h)*((BH21+BH22)/2+BG88))))</f>
        <v/>
      </c>
      <c r="BH21" s="3" t="str">
        <f>IF(T&lt;=BH$11,"",IF($A21&gt;BH$12,"",IF(T=BI$11,EXP(-IRTree!BH22*h)*BH88,EXP(-IRTree!BH22*h)*((BI21+BI22)/2+BH88))))</f>
        <v/>
      </c>
      <c r="BI21" s="3" t="str">
        <f>IF(T&lt;=BI$11,"",IF($A21&gt;BI$12,"",IF(T=BJ$11,EXP(-IRTree!BI22*h)*BI88,EXP(-IRTree!BI22*h)*((BJ21+BJ22)/2+BI88))))</f>
        <v/>
      </c>
      <c r="BJ21" s="3" t="str">
        <f>IF(T&lt;=BJ$11,"",IF($A21&gt;BJ$12,"",IF(T=BK$11,EXP(-IRTree!BJ22*h)*BJ88,EXP(-IRTree!BJ22*h)*((BK21+BK22)/2+BJ88))))</f>
        <v/>
      </c>
    </row>
    <row r="22" spans="1:62">
      <c r="A22" s="12">
        <f t="shared" si="2"/>
        <v>9</v>
      </c>
      <c r="B22" s="3" t="str">
        <f>IF(T&lt;=B$11,"",IF($A22&gt;B$12,"",IF(T=C$11,EXP(-IRTree!B23*h)*B89,EXP(-IRTree!B23*h)*((C22+C23)/2+B89))))</f>
        <v/>
      </c>
      <c r="C22" s="3" t="str">
        <f>IF(T&lt;=C$11,"",IF($A22&gt;C$12,"",IF(T=D$11,EXP(-IRTree!C23*h)*C89,EXP(-IRTree!C23*h)*((D22+D23)/2+C89))))</f>
        <v/>
      </c>
      <c r="D22" s="3" t="str">
        <f>IF(T&lt;=D$11,"",IF($A22&gt;D$12,"",IF(T=E$11,EXP(-IRTree!D23*h)*D89,EXP(-IRTree!D23*h)*((E22+E23)/2+D89))))</f>
        <v/>
      </c>
      <c r="E22" s="3" t="str">
        <f>IF(T&lt;=E$11,"",IF($A22&gt;E$12,"",IF(T=F$11,EXP(-IRTree!E23*h)*E89,EXP(-IRTree!E23*h)*((F22+F23)/2+E89))))</f>
        <v/>
      </c>
      <c r="F22" s="3" t="str">
        <f>IF(T&lt;=F$11,"",IF($A22&gt;F$12,"",IF(T=G$11,EXP(-IRTree!F23*h)*F89,EXP(-IRTree!F23*h)*((G22+G23)/2+F89))))</f>
        <v/>
      </c>
      <c r="G22" s="3" t="str">
        <f>IF(T&lt;=G$11,"",IF($A22&gt;G$12,"",IF(T=H$11,EXP(-IRTree!G23*h)*G89,EXP(-IRTree!G23*h)*((H22+H23)/2+G89))))</f>
        <v/>
      </c>
      <c r="H22" s="3" t="str">
        <f>IF(T&lt;=H$11,"",IF($A22&gt;H$12,"",IF(T=I$11,EXP(-IRTree!H23*h)*H89,EXP(-IRTree!H23*h)*((I22+I23)/2+H89))))</f>
        <v/>
      </c>
      <c r="I22" s="3" t="str">
        <f>IF(T&lt;=I$11,"",IF($A22&gt;I$12,"",IF(T=J$11,EXP(-IRTree!I23*h)*I89,EXP(-IRTree!I23*h)*((J22+J23)/2+I89))))</f>
        <v/>
      </c>
      <c r="J22" s="3" t="str">
        <f>IF(T&lt;=J$11,"",IF($A22&gt;J$12,"",IF(T=K$11,EXP(-IRTree!J23*h)*J89,EXP(-IRTree!J23*h)*((K22+K23)/2+J89))))</f>
        <v/>
      </c>
      <c r="K22" s="3">
        <f>IF(T&lt;=K$11,"",IF($A22&gt;K$12,"",IF(T=L$11,EXP(-IRTree!K23*h)*K89,EXP(-IRTree!K23*h)*((L22+L23)/2+K89))))</f>
        <v>0.21428133560401469</v>
      </c>
      <c r="L22" s="3">
        <f>IF(T&lt;=L$11,"",IF($A22&gt;L$12,"",IF(T=M$11,EXP(-IRTree!L23*h)*L89,EXP(-IRTree!L23*h)*((M22+M23)/2+L89))))</f>
        <v>0.31121298370010869</v>
      </c>
      <c r="M22" s="3">
        <f>IF(T&lt;=M$11,"",IF($A22&gt;M$12,"",IF(T=N$11,EXP(-IRTree!M23*h)*M89,EXP(-IRTree!M23*h)*((N22+N23)/2+M89))))</f>
        <v>0.4488898443050558</v>
      </c>
      <c r="N22" s="3">
        <f>IF(T&lt;=N$11,"",IF($A22&gt;N$12,"",IF(T=O$11,EXP(-IRTree!N23*h)*N89,EXP(-IRTree!N23*h)*((O22+O23)/2+N89))))</f>
        <v>0.6429603780039963</v>
      </c>
      <c r="O22" s="3">
        <f>IF(T&lt;=O$11,"",IF($A22&gt;O$12,"",IF(T=P$11,EXP(-IRTree!O23*h)*O89,EXP(-IRTree!O23*h)*((P22+P23)/2+O89))))</f>
        <v>0.9145376493681231</v>
      </c>
      <c r="P22" s="3">
        <f>IF(T&lt;=P$11,"",IF($A22&gt;P$12,"",IF(T=Q$11,EXP(-IRTree!P23*h)*P89,EXP(-IRTree!P23*h)*((Q22+Q23)/2+P89))))</f>
        <v>1.2910807326057732</v>
      </c>
      <c r="Q22" s="3">
        <f>IF(T&lt;=Q$11,"",IF($A22&gt;Q$12,"",IF(T=R$11,EXP(-IRTree!Q23*h)*Q89,EXP(-IRTree!Q23*h)*((R22+R23)/2+Q89))))</f>
        <v>1.8099176245525244</v>
      </c>
      <c r="R22" s="3">
        <f>IF(T&lt;=R$11,"",IF($A22&gt;R$12,"",IF(T=S$11,EXP(-IRTree!R23*h)*R89,EXP(-IRTree!R23*h)*((S22+S23)/2+R89))))</f>
        <v>2.5188861111364065</v>
      </c>
      <c r="S22" s="3">
        <f>IF(T&lt;=S$11,"",IF($A22&gt;S$12,"",IF(T=T$11,EXP(-IRTree!S23*h)*S89,EXP(-IRTree!S23*h)*((T22+T23)/2+S89))))</f>
        <v>3.482148910641651</v>
      </c>
      <c r="T22" s="3">
        <f>IF(T&lt;=T$11,"",IF($A22&gt;T$12,"",IF(T=U$11,EXP(-IRTree!T23*h)*T89,EXP(-IRTree!T23*h)*((U22+U23)/2+T89))))</f>
        <v>4.7823599093196316</v>
      </c>
      <c r="U22" s="3">
        <f>IF(T&lt;=U$11,"",IF($A22&gt;U$12,"",IF(T=V$11,EXP(-IRTree!U23*h)*U89,EXP(-IRTree!U23*h)*((V22+V23)/2+U89))))</f>
        <v>6.5279298121602176</v>
      </c>
      <c r="V22" s="3">
        <f>IF(T&lt;=V$11,"",IF($A22&gt;V$12,"",IF(T=W$11,EXP(-IRTree!V23*h)*V89,EXP(-IRTree!V23*h)*((W22+W23)/2+V89))))</f>
        <v>8.6251592400777088</v>
      </c>
      <c r="W22" s="3">
        <f>IF(T&lt;=W$11,"",IF($A22&gt;W$12,"",IF(T=X$11,EXP(-IRTree!W23*h)*W89,EXP(-IRTree!W23*h)*((X22+X23)/2+W89))))</f>
        <v>10.892194987180055</v>
      </c>
      <c r="X22" s="3">
        <f>IF(T&lt;=X$11,"",IF($A22&gt;X$12,"",IF(T=Y$11,EXP(-IRTree!X23*h)*X89,EXP(-IRTree!X23*h)*((Y22+Y23)/2+X89))))</f>
        <v>13.202799167941169</v>
      </c>
      <c r="Y22" s="3">
        <f>IF(T&lt;=Y$11,"",IF($A22&gt;Y$12,"",IF(T=Z$11,EXP(-IRTree!Y23*h)*Y89,EXP(-IRTree!Y23*h)*((Z22+Z23)/2+Y89))))</f>
        <v>15.488219062396496</v>
      </c>
      <c r="Z22" s="3">
        <f>IF(T&lt;=Z$11,"",IF($A22&gt;Z$12,"",IF(T=AA$11,EXP(-IRTree!Z23*h)*Z89,EXP(-IRTree!Z23*h)*((AA22+AA23)/2+Z89))))</f>
        <v>17.672643768444988</v>
      </c>
      <c r="AA22" s="3">
        <f>IF(T&lt;=AA$11,"",IF($A22&gt;AA$12,"",IF(T=AB$11,EXP(-IRTree!AA23*h)*AA89,EXP(-IRTree!AA23*h)*((AB22+AB23)/2+AA89))))</f>
        <v>19.721684965788935</v>
      </c>
      <c r="AB22" s="3">
        <f>IF(T&lt;=AB$11,"",IF($A22&gt;AB$12,"",IF(T=AC$11,EXP(-IRTree!AB23*h)*AB89,EXP(-IRTree!AB23*h)*((AC22+AC23)/2+AB89))))</f>
        <v>21.607333548496001</v>
      </c>
      <c r="AC22" s="3">
        <f>IF(T&lt;=AC$11,"",IF($A22&gt;AC$12,"",IF(T=AD$11,EXP(-IRTree!AC23*h)*AC89,EXP(-IRTree!AC23*h)*((AD22+AD23)/2+AC89))))</f>
        <v>23.264957791137448</v>
      </c>
      <c r="AD22" s="3">
        <f>IF(T&lt;=AD$11,"",IF($A22&gt;AD$12,"",IF(T=AE$11,EXP(-IRTree!AD23*h)*AD89,EXP(-IRTree!AD23*h)*((AE22+AE23)/2+AD89))))</f>
        <v>24.676205857915953</v>
      </c>
      <c r="AE22" s="3">
        <f>IF(T&lt;=AE$11,"",IF($A22&gt;AE$12,"",IF(T=AF$11,EXP(-IRTree!AE23*h)*AE89,EXP(-IRTree!AE23*h)*((AF22+AF23)/2+AE89))))</f>
        <v>25.80676329501517</v>
      </c>
      <c r="AF22" s="3">
        <f>IF(T&lt;=AF$11,"",IF($A22&gt;AF$12,"",IF(T=AG$11,EXP(-IRTree!AF23*h)*AF89,EXP(-IRTree!AF23*h)*((AG22+AG23)/2+AF89))))</f>
        <v>26.585789734592709</v>
      </c>
      <c r="AG22" s="3">
        <f>IF(T&lt;=AG$11,"",IF($A22&gt;AG$12,"",IF(T=AH$11,EXP(-IRTree!AG23*h)*AG89,EXP(-IRTree!AG23*h)*((AH22+AH23)/2+AG89))))</f>
        <v>26.936756818641175</v>
      </c>
      <c r="AH22" s="3">
        <f>IF(T&lt;=AH$11,"",IF($A22&gt;AH$12,"",IF(T=AI$11,EXP(-IRTree!AH23*h)*AH89,EXP(-IRTree!AH23*h)*((AI22+AI23)/2+AH89))))</f>
        <v>26.819115808803485</v>
      </c>
      <c r="AI22" s="3">
        <f>IF(T&lt;=AI$11,"",IF($A22&gt;AI$12,"",IF(T=AJ$11,EXP(-IRTree!AI23*h)*AI89,EXP(-IRTree!AI23*h)*((AJ22+AJ23)/2+AI89))))</f>
        <v>26.105904142295273</v>
      </c>
      <c r="AJ22" s="3">
        <f>IF(T&lt;=AJ$11,"",IF($A22&gt;AJ$12,"",IF(T=AK$11,EXP(-IRTree!AJ23*h)*AJ89,EXP(-IRTree!AJ23*h)*((AK22+AK23)/2+AJ89))))</f>
        <v>24.846995717142615</v>
      </c>
      <c r="AK22" s="3">
        <f>IF(T&lt;=AK$11,"",IF($A22&gt;AK$12,"",IF(T=AL$11,EXP(-IRTree!AK23*h)*AK89,EXP(-IRTree!AK23*h)*((AL22+AL23)/2+AK89))))</f>
        <v>22.918573449554678</v>
      </c>
      <c r="AL22" s="3">
        <f>IF(T&lt;=AL$11,"",IF($A22&gt;AL$12,"",IF(T=AM$11,EXP(-IRTree!AL23*h)*AL89,EXP(-IRTree!AL23*h)*((AM22+AM23)/2+AL89))))</f>
        <v>20.304330199722884</v>
      </c>
      <c r="AM22" s="3">
        <f>IF(T&lt;=AM$11,"",IF($A22&gt;AM$12,"",IF(T=AN$11,EXP(-IRTree!AM23*h)*AM89,EXP(-IRTree!AM23*h)*((AN22+AN23)/2+AM89))))</f>
        <v>16.666350618840532</v>
      </c>
      <c r="AN22" s="3">
        <f>IF(T&lt;=AN$11,"",IF($A22&gt;AN$12,"",IF(T=AO$11,EXP(-IRTree!AN23*h)*AN89,EXP(-IRTree!AN23*h)*((AO22+AO23)/2+AN89))))</f>
        <v>12.147036436675711</v>
      </c>
      <c r="AO22" s="3">
        <f>IF(T&lt;=AO$11,"",IF($A22&gt;AO$12,"",IF(T=AP$11,EXP(-IRTree!AO23*h)*AO89,EXP(-IRTree!AO23*h)*((AP22+AP23)/2+AO89))))</f>
        <v>6.6423384130721148</v>
      </c>
      <c r="AP22" s="3" t="str">
        <f>IF(T&lt;=AP$11,"",IF($A22&gt;AP$12,"",IF(T=AQ$11,EXP(-IRTree!AP23*h)*AP89,EXP(-IRTree!AP23*h)*((AQ22+AQ23)/2+AP89))))</f>
        <v/>
      </c>
      <c r="AQ22" s="3" t="str">
        <f>IF(T&lt;=AQ$11,"",IF($A22&gt;AQ$12,"",IF(T=AR$11,EXP(-IRTree!AQ23*h)*AQ89,EXP(-IRTree!AQ23*h)*((AR22+AR23)/2+AQ89))))</f>
        <v/>
      </c>
      <c r="AR22" s="3" t="str">
        <f>IF(T&lt;=AR$11,"",IF($A22&gt;AR$12,"",IF(T=AS$11,EXP(-IRTree!AR23*h)*AR89,EXP(-IRTree!AR23*h)*((AS22+AS23)/2+AR89))))</f>
        <v/>
      </c>
      <c r="AS22" s="3" t="str">
        <f>IF(T&lt;=AS$11,"",IF($A22&gt;AS$12,"",IF(T=AT$11,EXP(-IRTree!AS23*h)*AS89,EXP(-IRTree!AS23*h)*((AT22+AT23)/2+AS89))))</f>
        <v/>
      </c>
      <c r="AT22" s="3" t="str">
        <f>IF(T&lt;=AT$11,"",IF($A22&gt;AT$12,"",IF(T=AU$11,EXP(-IRTree!AT23*h)*AT89,EXP(-IRTree!AT23*h)*((AU22+AU23)/2+AT89))))</f>
        <v/>
      </c>
      <c r="AU22" s="3" t="str">
        <f>IF(T&lt;=AU$11,"",IF($A22&gt;AU$12,"",IF(T=AV$11,EXP(-IRTree!AU23*h)*AU89,EXP(-IRTree!AU23*h)*((AV22+AV23)/2+AU89))))</f>
        <v/>
      </c>
      <c r="AV22" s="3" t="str">
        <f>IF(T&lt;=AV$11,"",IF($A22&gt;AV$12,"",IF(T=AW$11,EXP(-IRTree!AV23*h)*AV89,EXP(-IRTree!AV23*h)*((AW22+AW23)/2+AV89))))</f>
        <v/>
      </c>
      <c r="AW22" s="3" t="str">
        <f>IF(T&lt;=AW$11,"",IF($A22&gt;AW$12,"",IF(T=AX$11,EXP(-IRTree!AW23*h)*AW89,EXP(-IRTree!AW23*h)*((AX22+AX23)/2+AW89))))</f>
        <v/>
      </c>
      <c r="AX22" s="3" t="str">
        <f>IF(T&lt;=AX$11,"",IF($A22&gt;AX$12,"",IF(T=AY$11,EXP(-IRTree!AX23*h)*AX89,EXP(-IRTree!AX23*h)*((AY22+AY23)/2+AX89))))</f>
        <v/>
      </c>
      <c r="AY22" s="3" t="str">
        <f>IF(T&lt;=AY$11,"",IF($A22&gt;AY$12,"",IF(T=AZ$11,EXP(-IRTree!AY23*h)*AY89,EXP(-IRTree!AY23*h)*((AZ22+AZ23)/2+AY89))))</f>
        <v/>
      </c>
      <c r="AZ22" s="3" t="str">
        <f>IF(T&lt;=AZ$11,"",IF($A22&gt;AZ$12,"",IF(T=BA$11,EXP(-IRTree!AZ23*h)*AZ89,EXP(-IRTree!AZ23*h)*((BA22+BA23)/2+AZ89))))</f>
        <v/>
      </c>
      <c r="BA22" s="3" t="str">
        <f>IF(T&lt;=BA$11,"",IF($A22&gt;BA$12,"",IF(T=BB$11,EXP(-IRTree!BA23*h)*BA89,EXP(-IRTree!BA23*h)*((BB22+BB23)/2+BA89))))</f>
        <v/>
      </c>
      <c r="BB22" s="3" t="str">
        <f>IF(T&lt;=BB$11,"",IF($A22&gt;BB$12,"",IF(T=BC$11,EXP(-IRTree!BB23*h)*BB89,EXP(-IRTree!BB23*h)*((BC22+BC23)/2+BB89))))</f>
        <v/>
      </c>
      <c r="BC22" s="3" t="str">
        <f>IF(T&lt;=BC$11,"",IF($A22&gt;BC$12,"",IF(T=BD$11,EXP(-IRTree!BC23*h)*BC89,EXP(-IRTree!BC23*h)*((BD22+BD23)/2+BC89))))</f>
        <v/>
      </c>
      <c r="BD22" s="3" t="str">
        <f>IF(T&lt;=BD$11,"",IF($A22&gt;BD$12,"",IF(T=BE$11,EXP(-IRTree!BD23*h)*BD89,EXP(-IRTree!BD23*h)*((BE22+BE23)/2+BD89))))</f>
        <v/>
      </c>
      <c r="BE22" s="3" t="str">
        <f>IF(T&lt;=BE$11,"",IF($A22&gt;BE$12,"",IF(T=BF$11,EXP(-IRTree!BE23*h)*BE89,EXP(-IRTree!BE23*h)*((BF22+BF23)/2+BE89))))</f>
        <v/>
      </c>
      <c r="BF22" s="3" t="str">
        <f>IF(T&lt;=BF$11,"",IF($A22&gt;BF$12,"",IF(T=BG$11,EXP(-IRTree!BF23*h)*BF89,EXP(-IRTree!BF23*h)*((BG22+BG23)/2+BF89))))</f>
        <v/>
      </c>
      <c r="BG22" s="3" t="str">
        <f>IF(T&lt;=BG$11,"",IF($A22&gt;BG$12,"",IF(T=BH$11,EXP(-IRTree!BG23*h)*BG89,EXP(-IRTree!BG23*h)*((BH22+BH23)/2+BG89))))</f>
        <v/>
      </c>
      <c r="BH22" s="3" t="str">
        <f>IF(T&lt;=BH$11,"",IF($A22&gt;BH$12,"",IF(T=BI$11,EXP(-IRTree!BH23*h)*BH89,EXP(-IRTree!BH23*h)*((BI22+BI23)/2+BH89))))</f>
        <v/>
      </c>
      <c r="BI22" s="3" t="str">
        <f>IF(T&lt;=BI$11,"",IF($A22&gt;BI$12,"",IF(T=BJ$11,EXP(-IRTree!BI23*h)*BI89,EXP(-IRTree!BI23*h)*((BJ22+BJ23)/2+BI89))))</f>
        <v/>
      </c>
      <c r="BJ22" s="3" t="str">
        <f>IF(T&lt;=BJ$11,"",IF($A22&gt;BJ$12,"",IF(T=BK$11,EXP(-IRTree!BJ23*h)*BJ89,EXP(-IRTree!BJ23*h)*((BK22+BK23)/2+BJ89))))</f>
        <v/>
      </c>
    </row>
    <row r="23" spans="1:62">
      <c r="A23" s="12">
        <f t="shared" si="2"/>
        <v>10</v>
      </c>
      <c r="B23" s="3" t="str">
        <f>IF(T&lt;=B$11,"",IF($A23&gt;B$12,"",IF(T=C$11,EXP(-IRTree!B24*h)*B90,EXP(-IRTree!B24*h)*((C23+C24)/2+B90))))</f>
        <v/>
      </c>
      <c r="C23" s="3" t="str">
        <f>IF(T&lt;=C$11,"",IF($A23&gt;C$12,"",IF(T=D$11,EXP(-IRTree!C24*h)*C90,EXP(-IRTree!C24*h)*((D23+D24)/2+C90))))</f>
        <v/>
      </c>
      <c r="D23" s="3" t="str">
        <f>IF(T&lt;=D$11,"",IF($A23&gt;D$12,"",IF(T=E$11,EXP(-IRTree!D24*h)*D90,EXP(-IRTree!D24*h)*((E23+E24)/2+D90))))</f>
        <v/>
      </c>
      <c r="E23" s="3" t="str">
        <f>IF(T&lt;=E$11,"",IF($A23&gt;E$12,"",IF(T=F$11,EXP(-IRTree!E24*h)*E90,EXP(-IRTree!E24*h)*((F23+F24)/2+E90))))</f>
        <v/>
      </c>
      <c r="F23" s="3" t="str">
        <f>IF(T&lt;=F$11,"",IF($A23&gt;F$12,"",IF(T=G$11,EXP(-IRTree!F24*h)*F90,EXP(-IRTree!F24*h)*((G23+G24)/2+F90))))</f>
        <v/>
      </c>
      <c r="G23" s="3" t="str">
        <f>IF(T&lt;=G$11,"",IF($A23&gt;G$12,"",IF(T=H$11,EXP(-IRTree!G24*h)*G90,EXP(-IRTree!G24*h)*((H23+H24)/2+G90))))</f>
        <v/>
      </c>
      <c r="H23" s="3" t="str">
        <f>IF(T&lt;=H$11,"",IF($A23&gt;H$12,"",IF(T=I$11,EXP(-IRTree!H24*h)*H90,EXP(-IRTree!H24*h)*((I23+I24)/2+H90))))</f>
        <v/>
      </c>
      <c r="I23" s="3" t="str">
        <f>IF(T&lt;=I$11,"",IF($A23&gt;I$12,"",IF(T=J$11,EXP(-IRTree!I24*h)*I90,EXP(-IRTree!I24*h)*((J23+J24)/2+I90))))</f>
        <v/>
      </c>
      <c r="J23" s="3" t="str">
        <f>IF(T&lt;=J$11,"",IF($A23&gt;J$12,"",IF(T=K$11,EXP(-IRTree!J24*h)*J90,EXP(-IRTree!J24*h)*((K23+K24)/2+J90))))</f>
        <v/>
      </c>
      <c r="K23" s="3" t="str">
        <f>IF(T&lt;=K$11,"",IF($A23&gt;K$12,"",IF(T=L$11,EXP(-IRTree!K24*h)*K90,EXP(-IRTree!K24*h)*((L23+L24)/2+K90))))</f>
        <v/>
      </c>
      <c r="L23" s="3">
        <f>IF(T&lt;=L$11,"",IF($A23&gt;L$12,"",IF(T=M$11,EXP(-IRTree!L24*h)*L90,EXP(-IRTree!L24*h)*((M23+M24)/2+L90))))</f>
        <v>0.11823029142688003</v>
      </c>
      <c r="M23" s="3">
        <f>IF(T&lt;=M$11,"",IF($A23&gt;M$12,"",IF(T=N$11,EXP(-IRTree!M24*h)*M90,EXP(-IRTree!M24*h)*((N23+N24)/2+M90))))</f>
        <v>0.17520677607202287</v>
      </c>
      <c r="N23" s="3">
        <f>IF(T&lt;=N$11,"",IF($A23&gt;N$12,"",IF(T=O$11,EXP(-IRTree!N24*h)*N90,EXP(-IRTree!N24*h)*((O23+O24)/2+N90))))</f>
        <v>0.25785014244959942</v>
      </c>
      <c r="O23" s="3">
        <f>IF(T&lt;=O$11,"",IF($A23&gt;O$12,"",IF(T=P$11,EXP(-IRTree!O24*h)*O90,EXP(-IRTree!O24*h)*((P23+P24)/2+O90))))</f>
        <v>0.37684001977224024</v>
      </c>
      <c r="P23" s="3">
        <f>IF(T&lt;=P$11,"",IF($A23&gt;P$12,"",IF(T=Q$11,EXP(-IRTree!P24*h)*P90,EXP(-IRTree!P24*h)*((Q23+Q24)/2+P90))))</f>
        <v>0.54656929157157386</v>
      </c>
      <c r="Q23" s="3">
        <f>IF(T&lt;=Q$11,"",IF($A23&gt;Q$12,"",IF(T=R$11,EXP(-IRTree!Q24*h)*Q90,EXP(-IRTree!Q24*h)*((R23+R24)/2+Q90))))</f>
        <v>0.78703126917618571</v>
      </c>
      <c r="R23" s="3">
        <f>IF(T&lt;=R$11,"",IF($A23&gt;R$12,"",IF(T=S$11,EXP(-IRTree!R24*h)*R90,EXP(-IRTree!R24*h)*((S23+S24)/2+R90))))</f>
        <v>1.1246326736007488</v>
      </c>
      <c r="S23" s="3">
        <f>IF(T&lt;=S$11,"",IF($A23&gt;S$12,"",IF(T=T$11,EXP(-IRTree!S24*h)*S90,EXP(-IRTree!S24*h)*((T23+T24)/2+S90))))</f>
        <v>1.5953914717056505</v>
      </c>
      <c r="T23" s="3">
        <f>IF(T&lt;=T$11,"",IF($A23&gt;T$12,"",IF(T=U$11,EXP(-IRTree!T24*h)*T90,EXP(-IRTree!T24*h)*((U23+U24)/2+T90))))</f>
        <v>2.2465197608655161</v>
      </c>
      <c r="U23" s="3">
        <f>IF(T&lt;=U$11,"",IF($A23&gt;U$12,"",IF(T=V$11,EXP(-IRTree!U24*h)*U90,EXP(-IRTree!U24*h)*((V23+V24)/2+U90))))</f>
        <v>3.1403239069110538</v>
      </c>
      <c r="V23" s="3">
        <f>IF(T&lt;=V$11,"",IF($A23&gt;V$12,"",IF(T=W$11,EXP(-IRTree!V24*h)*V90,EXP(-IRTree!V24*h)*((W23+W24)/2+V90))))</f>
        <v>4.3575077532820945</v>
      </c>
      <c r="W23" s="3">
        <f>IF(T&lt;=W$11,"",IF($A23&gt;W$12,"",IF(T=X$11,EXP(-IRTree!W24*h)*W90,EXP(-IRTree!W24*h)*((X23+X24)/2+W90))))</f>
        <v>6.0032804818960566</v>
      </c>
      <c r="X23" s="3">
        <f>IF(T&lt;=X$11,"",IF($A23&gt;X$12,"",IF(T=Y$11,EXP(-IRTree!X24*h)*X90,EXP(-IRTree!X24*h)*((Y23+Y24)/2+X90))))</f>
        <v>7.9224911581196942</v>
      </c>
      <c r="Y23" s="3">
        <f>IF(T&lt;=Y$11,"",IF($A23&gt;Y$12,"",IF(T=Z$11,EXP(-IRTree!Y24*h)*Y90,EXP(-IRTree!Y24*h)*((Z23+Z24)/2+Y90))))</f>
        <v>9.9507768365439642</v>
      </c>
      <c r="Z23" s="3">
        <f>IF(T&lt;=Z$11,"",IF($A23&gt;Z$12,"",IF(T=AA$11,EXP(-IRTree!Z24*h)*Z90,EXP(-IRTree!Z24*h)*((AA23+AA24)/2+Z90))))</f>
        <v>11.980624507608001</v>
      </c>
      <c r="AA23" s="3">
        <f>IF(T&lt;=AA$11,"",IF($A23&gt;AA$12,"",IF(T=AB$11,EXP(-IRTree!AA24*h)*AA90,EXP(-IRTree!AA24*h)*((AB23+AB24)/2+AA90))))</f>
        <v>13.936275430083214</v>
      </c>
      <c r="AB23" s="3">
        <f>IF(T&lt;=AB$11,"",IF($A23&gt;AB$12,"",IF(T=AC$11,EXP(-IRTree!AB24*h)*AB90,EXP(-IRTree!AB24*h)*((AC23+AC24)/2+AB90))))</f>
        <v>15.76768227240615</v>
      </c>
      <c r="AC23" s="3">
        <f>IF(T&lt;=AC$11,"",IF($A23&gt;AC$12,"",IF(T=AD$11,EXP(-IRTree!AC24*h)*AC90,EXP(-IRTree!AC24*h)*((AD23+AD24)/2+AC90))))</f>
        <v>17.415972951106536</v>
      </c>
      <c r="AD23" s="3">
        <f>IF(T&lt;=AD$11,"",IF($A23&gt;AD$12,"",IF(T=AE$11,EXP(-IRTree!AD24*h)*AD90,EXP(-IRTree!AD24*h)*((AE23+AE24)/2+AD90))))</f>
        <v>18.852525597889933</v>
      </c>
      <c r="AE23" s="3">
        <f>IF(T&lt;=AE$11,"",IF($A23&gt;AE$12,"",IF(T=AF$11,EXP(-IRTree!AE24*h)*AE90,EXP(-IRTree!AE24*h)*((AF23+AF24)/2+AE90))))</f>
        <v>20.043169198892109</v>
      </c>
      <c r="AF23" s="3">
        <f>IF(T&lt;=AF$11,"",IF($A23&gt;AF$12,"",IF(T=AG$11,EXP(-IRTree!AF24*h)*AF90,EXP(-IRTree!AF24*h)*((AG23+AG24)/2+AF90))))</f>
        <v>20.929581332223059</v>
      </c>
      <c r="AG23" s="3">
        <f>IF(T&lt;=AG$11,"",IF($A23&gt;AG$12,"",IF(T=AH$11,EXP(-IRTree!AG24*h)*AG90,EXP(-IRTree!AG24*h)*((AH23+AH24)/2+AG90))))</f>
        <v>21.447141506855274</v>
      </c>
      <c r="AH23" s="3">
        <f>IF(T&lt;=AH$11,"",IF($A23&gt;AH$12,"",IF(T=AI$11,EXP(-IRTree!AH24*h)*AH90,EXP(-IRTree!AH24*h)*((AI23+AI24)/2+AH90))))</f>
        <v>21.554646889207152</v>
      </c>
      <c r="AI23" s="3">
        <f>IF(T&lt;=AI$11,"",IF($A23&gt;AI$12,"",IF(T=AJ$11,EXP(-IRTree!AI24*h)*AI90,EXP(-IRTree!AI24*h)*((AJ23+AJ24)/2+AI90))))</f>
        <v>21.150112609563891</v>
      </c>
      <c r="AJ23" s="3">
        <f>IF(T&lt;=AJ$11,"",IF($A23&gt;AJ$12,"",IF(T=AK$11,EXP(-IRTree!AJ24*h)*AJ90,EXP(-IRTree!AJ24*h)*((AK23+AK24)/2+AJ90))))</f>
        <v>20.258627345020102</v>
      </c>
      <c r="AK23" s="3">
        <f>IF(T&lt;=AK$11,"",IF($A23&gt;AK$12,"",IF(T=AL$11,EXP(-IRTree!AK24*h)*AK90,EXP(-IRTree!AK24*h)*((AL23+AL24)/2+AK90))))</f>
        <v>18.781788197220269</v>
      </c>
      <c r="AL23" s="3">
        <f>IF(T&lt;=AL$11,"",IF($A23&gt;AL$12,"",IF(T=AM$11,EXP(-IRTree!AL24*h)*AL90,EXP(-IRTree!AL24*h)*((AM23+AM24)/2+AL90))))</f>
        <v>16.700307841153851</v>
      </c>
      <c r="AM23" s="3">
        <f>IF(T&lt;=AM$11,"",IF($A23&gt;AM$12,"",IF(T=AN$11,EXP(-IRTree!AM24*h)*AM90,EXP(-IRTree!AM24*h)*((AN23+AN24)/2+AM90))))</f>
        <v>13.75541601911794</v>
      </c>
      <c r="AN23" s="3">
        <f>IF(T&lt;=AN$11,"",IF($A23&gt;AN$12,"",IF(T=AO$11,EXP(-IRTree!AN24*h)*AN90,EXP(-IRTree!AN24*h)*((AO23+AO24)/2+AN90))))</f>
        <v>10.049610204839146</v>
      </c>
      <c r="AO23" s="3">
        <f>IF(T&lt;=AO$11,"",IF($A23&gt;AO$12,"",IF(T=AP$11,EXP(-IRTree!AO24*h)*AO90,EXP(-IRTree!AO24*h)*((AP23+AP24)/2+AO90))))</f>
        <v>5.5031708650884896</v>
      </c>
      <c r="AP23" s="3" t="str">
        <f>IF(T&lt;=AP$11,"",IF($A23&gt;AP$12,"",IF(T=AQ$11,EXP(-IRTree!AP24*h)*AP90,EXP(-IRTree!AP24*h)*((AQ23+AQ24)/2+AP90))))</f>
        <v/>
      </c>
      <c r="AQ23" s="3" t="str">
        <f>IF(T&lt;=AQ$11,"",IF($A23&gt;AQ$12,"",IF(T=AR$11,EXP(-IRTree!AQ24*h)*AQ90,EXP(-IRTree!AQ24*h)*((AR23+AR24)/2+AQ90))))</f>
        <v/>
      </c>
      <c r="AR23" s="3" t="str">
        <f>IF(T&lt;=AR$11,"",IF($A23&gt;AR$12,"",IF(T=AS$11,EXP(-IRTree!AR24*h)*AR90,EXP(-IRTree!AR24*h)*((AS23+AS24)/2+AR90))))</f>
        <v/>
      </c>
      <c r="AS23" s="3" t="str">
        <f>IF(T&lt;=AS$11,"",IF($A23&gt;AS$12,"",IF(T=AT$11,EXP(-IRTree!AS24*h)*AS90,EXP(-IRTree!AS24*h)*((AT23+AT24)/2+AS90))))</f>
        <v/>
      </c>
      <c r="AT23" s="3" t="str">
        <f>IF(T&lt;=AT$11,"",IF($A23&gt;AT$12,"",IF(T=AU$11,EXP(-IRTree!AT24*h)*AT90,EXP(-IRTree!AT24*h)*((AU23+AU24)/2+AT90))))</f>
        <v/>
      </c>
      <c r="AU23" s="3" t="str">
        <f>IF(T&lt;=AU$11,"",IF($A23&gt;AU$12,"",IF(T=AV$11,EXP(-IRTree!AU24*h)*AU90,EXP(-IRTree!AU24*h)*((AV23+AV24)/2+AU90))))</f>
        <v/>
      </c>
      <c r="AV23" s="3" t="str">
        <f>IF(T&lt;=AV$11,"",IF($A23&gt;AV$12,"",IF(T=AW$11,EXP(-IRTree!AV24*h)*AV90,EXP(-IRTree!AV24*h)*((AW23+AW24)/2+AV90))))</f>
        <v/>
      </c>
      <c r="AW23" s="3" t="str">
        <f>IF(T&lt;=AW$11,"",IF($A23&gt;AW$12,"",IF(T=AX$11,EXP(-IRTree!AW24*h)*AW90,EXP(-IRTree!AW24*h)*((AX23+AX24)/2+AW90))))</f>
        <v/>
      </c>
      <c r="AX23" s="3" t="str">
        <f>IF(T&lt;=AX$11,"",IF($A23&gt;AX$12,"",IF(T=AY$11,EXP(-IRTree!AX24*h)*AX90,EXP(-IRTree!AX24*h)*((AY23+AY24)/2+AX90))))</f>
        <v/>
      </c>
      <c r="AY23" s="3" t="str">
        <f>IF(T&lt;=AY$11,"",IF($A23&gt;AY$12,"",IF(T=AZ$11,EXP(-IRTree!AY24*h)*AY90,EXP(-IRTree!AY24*h)*((AZ23+AZ24)/2+AY90))))</f>
        <v/>
      </c>
      <c r="AZ23" s="3" t="str">
        <f>IF(T&lt;=AZ$11,"",IF($A23&gt;AZ$12,"",IF(T=BA$11,EXP(-IRTree!AZ24*h)*AZ90,EXP(-IRTree!AZ24*h)*((BA23+BA24)/2+AZ90))))</f>
        <v/>
      </c>
      <c r="BA23" s="3" t="str">
        <f>IF(T&lt;=BA$11,"",IF($A23&gt;BA$12,"",IF(T=BB$11,EXP(-IRTree!BA24*h)*BA90,EXP(-IRTree!BA24*h)*((BB23+BB24)/2+BA90))))</f>
        <v/>
      </c>
      <c r="BB23" s="3" t="str">
        <f>IF(T&lt;=BB$11,"",IF($A23&gt;BB$12,"",IF(T=BC$11,EXP(-IRTree!BB24*h)*BB90,EXP(-IRTree!BB24*h)*((BC23+BC24)/2+BB90))))</f>
        <v/>
      </c>
      <c r="BC23" s="3" t="str">
        <f>IF(T&lt;=BC$11,"",IF($A23&gt;BC$12,"",IF(T=BD$11,EXP(-IRTree!BC24*h)*BC90,EXP(-IRTree!BC24*h)*((BD23+BD24)/2+BC90))))</f>
        <v/>
      </c>
      <c r="BD23" s="3" t="str">
        <f>IF(T&lt;=BD$11,"",IF($A23&gt;BD$12,"",IF(T=BE$11,EXP(-IRTree!BD24*h)*BD90,EXP(-IRTree!BD24*h)*((BE23+BE24)/2+BD90))))</f>
        <v/>
      </c>
      <c r="BE23" s="3" t="str">
        <f>IF(T&lt;=BE$11,"",IF($A23&gt;BE$12,"",IF(T=BF$11,EXP(-IRTree!BE24*h)*BE90,EXP(-IRTree!BE24*h)*((BF23+BF24)/2+BE90))))</f>
        <v/>
      </c>
      <c r="BF23" s="3" t="str">
        <f>IF(T&lt;=BF$11,"",IF($A23&gt;BF$12,"",IF(T=BG$11,EXP(-IRTree!BF24*h)*BF90,EXP(-IRTree!BF24*h)*((BG23+BG24)/2+BF90))))</f>
        <v/>
      </c>
      <c r="BG23" s="3" t="str">
        <f>IF(T&lt;=BG$11,"",IF($A23&gt;BG$12,"",IF(T=BH$11,EXP(-IRTree!BG24*h)*BG90,EXP(-IRTree!BG24*h)*((BH23+BH24)/2+BG90))))</f>
        <v/>
      </c>
      <c r="BH23" s="3" t="str">
        <f>IF(T&lt;=BH$11,"",IF($A23&gt;BH$12,"",IF(T=BI$11,EXP(-IRTree!BH24*h)*BH90,EXP(-IRTree!BH24*h)*((BI23+BI24)/2+BH90))))</f>
        <v/>
      </c>
      <c r="BI23" s="3" t="str">
        <f>IF(T&lt;=BI$11,"",IF($A23&gt;BI$12,"",IF(T=BJ$11,EXP(-IRTree!BI24*h)*BI90,EXP(-IRTree!BI24*h)*((BJ23+BJ24)/2+BI90))))</f>
        <v/>
      </c>
      <c r="BJ23" s="3" t="str">
        <f>IF(T&lt;=BJ$11,"",IF($A23&gt;BJ$12,"",IF(T=BK$11,EXP(-IRTree!BJ24*h)*BJ90,EXP(-IRTree!BJ24*h)*((BK23+BK24)/2+BJ90))))</f>
        <v/>
      </c>
    </row>
    <row r="24" spans="1:62">
      <c r="A24" s="12">
        <f t="shared" si="2"/>
        <v>11</v>
      </c>
      <c r="B24" s="3" t="str">
        <f>IF(T&lt;=B$11,"",IF($A24&gt;B$12,"",IF(T=C$11,EXP(-IRTree!B25*h)*B91,EXP(-IRTree!B25*h)*((C24+C25)/2+B91))))</f>
        <v/>
      </c>
      <c r="C24" s="3" t="str">
        <f>IF(T&lt;=C$11,"",IF($A24&gt;C$12,"",IF(T=D$11,EXP(-IRTree!C25*h)*C91,EXP(-IRTree!C25*h)*((D24+D25)/2+C91))))</f>
        <v/>
      </c>
      <c r="D24" s="3" t="str">
        <f>IF(T&lt;=D$11,"",IF($A24&gt;D$12,"",IF(T=E$11,EXP(-IRTree!D25*h)*D91,EXP(-IRTree!D25*h)*((E24+E25)/2+D91))))</f>
        <v/>
      </c>
      <c r="E24" s="3" t="str">
        <f>IF(T&lt;=E$11,"",IF($A24&gt;E$12,"",IF(T=F$11,EXP(-IRTree!E25*h)*E91,EXP(-IRTree!E25*h)*((F24+F25)/2+E91))))</f>
        <v/>
      </c>
      <c r="F24" s="3" t="str">
        <f>IF(T&lt;=F$11,"",IF($A24&gt;F$12,"",IF(T=G$11,EXP(-IRTree!F25*h)*F91,EXP(-IRTree!F25*h)*((G24+G25)/2+F91))))</f>
        <v/>
      </c>
      <c r="G24" s="3" t="str">
        <f>IF(T&lt;=G$11,"",IF($A24&gt;G$12,"",IF(T=H$11,EXP(-IRTree!G25*h)*G91,EXP(-IRTree!G25*h)*((H24+H25)/2+G91))))</f>
        <v/>
      </c>
      <c r="H24" s="3" t="str">
        <f>IF(T&lt;=H$11,"",IF($A24&gt;H$12,"",IF(T=I$11,EXP(-IRTree!H25*h)*H91,EXP(-IRTree!H25*h)*((I24+I25)/2+H91))))</f>
        <v/>
      </c>
      <c r="I24" s="3" t="str">
        <f>IF(T&lt;=I$11,"",IF($A24&gt;I$12,"",IF(T=J$11,EXP(-IRTree!I25*h)*I91,EXP(-IRTree!I25*h)*((J24+J25)/2+I91))))</f>
        <v/>
      </c>
      <c r="J24" s="3" t="str">
        <f>IF(T&lt;=J$11,"",IF($A24&gt;J$12,"",IF(T=K$11,EXP(-IRTree!J25*h)*J91,EXP(-IRTree!J25*h)*((K24+K25)/2+J91))))</f>
        <v/>
      </c>
      <c r="K24" s="3" t="str">
        <f>IF(T&lt;=K$11,"",IF($A24&gt;K$12,"",IF(T=L$11,EXP(-IRTree!K25*h)*K91,EXP(-IRTree!K25*h)*((L24+L25)/2+K91))))</f>
        <v/>
      </c>
      <c r="L24" s="3" t="str">
        <f>IF(T&lt;=L$11,"",IF($A24&gt;L$12,"",IF(T=M$11,EXP(-IRTree!L25*h)*L91,EXP(-IRTree!L25*h)*((M24+M25)/2+L91))))</f>
        <v/>
      </c>
      <c r="M24" s="3">
        <f>IF(T&lt;=M$11,"",IF($A24&gt;M$12,"",IF(T=N$11,EXP(-IRTree!M25*h)*M91,EXP(-IRTree!M25*h)*((N24+N25)/2+M91))))</f>
        <v>6.1722544617855674E-2</v>
      </c>
      <c r="N24" s="3">
        <f>IF(T&lt;=N$11,"",IF($A24&gt;N$12,"",IF(T=O$11,EXP(-IRTree!N25*h)*N91,EXP(-IRTree!N25*h)*((O24+O25)/2+N91))))</f>
        <v>9.3448722646967783E-2</v>
      </c>
      <c r="O24" s="3">
        <f>IF(T&lt;=O$11,"",IF($A24&gt;O$12,"",IF(T=P$11,EXP(-IRTree!O25*h)*O91,EXP(-IRTree!O25*h)*((P24+P25)/2+O91))))</f>
        <v>0.14052712275446705</v>
      </c>
      <c r="P24" s="3">
        <f>IF(T&lt;=P$11,"",IF($A24&gt;P$12,"",IF(T=Q$11,EXP(-IRTree!P25*h)*P91,EXP(-IRTree!P25*h)*((Q24+Q25)/2+P91))))</f>
        <v>0.20975949154031359</v>
      </c>
      <c r="Q24" s="3">
        <f>IF(T&lt;=Q$11,"",IF($A24&gt;Q$12,"",IF(T=R$11,EXP(-IRTree!Q25*h)*Q91,EXP(-IRTree!Q25*h)*((R24+R25)/2+Q91))))</f>
        <v>0.31086594919197297</v>
      </c>
      <c r="R24" s="3">
        <f>IF(T&lt;=R$11,"",IF($A24&gt;R$12,"",IF(T=S$11,EXP(-IRTree!R25*h)*R91,EXP(-IRTree!R25*h)*((S24+S25)/2+R91))))</f>
        <v>0.45719255764229416</v>
      </c>
      <c r="S24" s="3">
        <f>IF(T&lt;=S$11,"",IF($A24&gt;S$12,"",IF(T=T$11,EXP(-IRTree!S25*h)*S91,EXP(-IRTree!S25*h)*((T24+T25)/2+S91))))</f>
        <v>0.66745633686925765</v>
      </c>
      <c r="T24" s="3">
        <f>IF(T&lt;=T$11,"",IF($A24&gt;T$12,"",IF(T=U$11,EXP(-IRTree!T25*h)*T91,EXP(-IRTree!T25*h)*((U24+U25)/2+T91))))</f>
        <v>0.96706019917192765</v>
      </c>
      <c r="U24" s="3">
        <f>IF(T&lt;=U$11,"",IF($A24&gt;U$12,"",IF(T=V$11,EXP(-IRTree!U25*h)*U91,EXP(-IRTree!U25*h)*((V24+V25)/2+U91))))</f>
        <v>1.3905462372943151</v>
      </c>
      <c r="V24" s="3">
        <f>IF(T&lt;=V$11,"",IF($A24&gt;V$12,"",IF(T=W$11,EXP(-IRTree!V25*h)*V91,EXP(-IRTree!V25*h)*((W24+W25)/2+V91))))</f>
        <v>1.9839525802907112</v>
      </c>
      <c r="W24" s="3">
        <f>IF(T&lt;=W$11,"",IF($A24&gt;W$12,"",IF(T=X$11,EXP(-IRTree!W25*h)*W91,EXP(-IRTree!W25*h)*((X24+X25)/2+W91))))</f>
        <v>2.8087378529531426</v>
      </c>
      <c r="X24" s="3">
        <f>IF(T&lt;=X$11,"",IF($A24&gt;X$12,"",IF(T=Y$11,EXP(-IRTree!X25*h)*X91,EXP(-IRTree!X25*h)*((Y24+Y25)/2+X91))))</f>
        <v>3.945693481547671</v>
      </c>
      <c r="Y24" s="3">
        <f>IF(T&lt;=Y$11,"",IF($A24&gt;Y$12,"",IF(T=Z$11,EXP(-IRTree!Y25*h)*Y91,EXP(-IRTree!Y25*h)*((Z24+Z25)/2+Y91))))</f>
        <v>5.4635977529615793</v>
      </c>
      <c r="Z24" s="3">
        <f>IF(T&lt;=Z$11,"",IF($A24&gt;Z$12,"",IF(T=AA$11,EXP(-IRTree!Z25*h)*Z91,EXP(-IRTree!Z25*h)*((AA24+AA25)/2+Z91))))</f>
        <v>7.184772298474317</v>
      </c>
      <c r="AA24" s="3">
        <f>IF(T&lt;=AA$11,"",IF($A24&gt;AA$12,"",IF(T=AB$11,EXP(-IRTree!AA25*h)*AA91,EXP(-IRTree!AA25*h)*((AB24+AB25)/2+AA91))))</f>
        <v>8.961551401072823</v>
      </c>
      <c r="AB24" s="3">
        <f>IF(T&lt;=AB$11,"",IF($A24&gt;AB$12,"",IF(T=AC$11,EXP(-IRTree!AB25*h)*AB91,EXP(-IRTree!AB25*h)*((AC24+AC25)/2+AB91))))</f>
        <v>10.695302807049389</v>
      </c>
      <c r="AC24" s="3">
        <f>IF(T&lt;=AC$11,"",IF($A24&gt;AC$12,"",IF(T=AD$11,EXP(-IRTree!AC25*h)*AC91,EXP(-IRTree!AC25*h)*((AD24+AD25)/2+AC91))))</f>
        <v>12.308273578271521</v>
      </c>
      <c r="AD24" s="3">
        <f>IF(T&lt;=AD$11,"",IF($A24&gt;AD$12,"",IF(T=AE$11,EXP(-IRTree!AD25*h)*AD91,EXP(-IRTree!AD25*h)*((AE24+AE25)/2+AD91))))</f>
        <v>13.750964857027141</v>
      </c>
      <c r="AE24" s="3">
        <f>IF(T&lt;=AE$11,"",IF($A24&gt;AE$12,"",IF(T=AF$11,EXP(-IRTree!AE25*h)*AE91,EXP(-IRTree!AE25*h)*((AF24+AF25)/2+AE91))))</f>
        <v>14.984026383134706</v>
      </c>
      <c r="AF24" s="3">
        <f>IF(T&lt;=AF$11,"",IF($A24&gt;AF$12,"",IF(T=AG$11,EXP(-IRTree!AF25*h)*AF91,EXP(-IRTree!AF25*h)*((AG24+AG25)/2+AF91))))</f>
        <v>15.957970173941941</v>
      </c>
      <c r="AG24" s="3">
        <f>IF(T&lt;=AG$11,"",IF($A24&gt;AG$12,"",IF(T=AH$11,EXP(-IRTree!AG25*h)*AG91,EXP(-IRTree!AG25*h)*((AH24+AH25)/2+AG91))))</f>
        <v>16.618323715796059</v>
      </c>
      <c r="AH24" s="3">
        <f>IF(T&lt;=AH$11,"",IF($A24&gt;AH$12,"",IF(T=AI$11,EXP(-IRTree!AH25*h)*AH91,EXP(-IRTree!AH25*h)*((AI24+AI25)/2+AH91))))</f>
        <v>16.924162791881471</v>
      </c>
      <c r="AI24" s="3">
        <f>IF(T&lt;=AI$11,"",IF($A24&gt;AI$12,"",IF(T=AJ$11,EXP(-IRTree!AI25*h)*AI91,EXP(-IRTree!AI25*h)*((AJ24+AJ25)/2+AI91))))</f>
        <v>16.794081691766696</v>
      </c>
      <c r="AJ24" s="3">
        <f>IF(T&lt;=AJ$11,"",IF($A24&gt;AJ$12,"",IF(T=AK$11,EXP(-IRTree!AJ25*h)*AJ91,EXP(-IRTree!AJ25*h)*((AK24+AK25)/2+AJ91))))</f>
        <v>16.232984710264507</v>
      </c>
      <c r="AK24" s="3">
        <f>IF(T&lt;=AK$11,"",IF($A24&gt;AK$12,"",IF(T=AL$11,EXP(-IRTree!AK25*h)*AK91,EXP(-IRTree!AK25*h)*((AL24+AL25)/2+AK91))))</f>
        <v>15.162608225605192</v>
      </c>
      <c r="AL24" s="3">
        <f>IF(T&lt;=AL$11,"",IF($A24&gt;AL$12,"",IF(T=AM$11,EXP(-IRTree!AL25*h)*AL91,EXP(-IRTree!AL25*h)*((AM24+AM25)/2+AL91))))</f>
        <v>13.560278486585888</v>
      </c>
      <c r="AM24" s="3">
        <f>IF(T&lt;=AM$11,"",IF($A24&gt;AM$12,"",IF(T=AN$11,EXP(-IRTree!AM25*h)*AM91,EXP(-IRTree!AM25*h)*((AN24+AN25)/2+AM91))))</f>
        <v>11.229999172937099</v>
      </c>
      <c r="AN24" s="3">
        <f>IF(T&lt;=AN$11,"",IF($A24&gt;AN$12,"",IF(T=AO$11,EXP(-IRTree!AN25*h)*AN91,EXP(-IRTree!AN25*h)*((AO24+AO25)/2+AN91))))</f>
        <v>8.2393750314198666</v>
      </c>
      <c r="AO24" s="3">
        <f>IF(T&lt;=AO$11,"",IF($A24&gt;AO$12,"",IF(T=AP$11,EXP(-IRTree!AO25*h)*AO91,EXP(-IRTree!AO25*h)*((AP24+AP25)/2+AO91))))</f>
        <v>4.5259633886981332</v>
      </c>
      <c r="AP24" s="3" t="str">
        <f>IF(T&lt;=AP$11,"",IF($A24&gt;AP$12,"",IF(T=AQ$11,EXP(-IRTree!AP25*h)*AP91,EXP(-IRTree!AP25*h)*((AQ24+AQ25)/2+AP91))))</f>
        <v/>
      </c>
      <c r="AQ24" s="3" t="str">
        <f>IF(T&lt;=AQ$11,"",IF($A24&gt;AQ$12,"",IF(T=AR$11,EXP(-IRTree!AQ25*h)*AQ91,EXP(-IRTree!AQ25*h)*((AR24+AR25)/2+AQ91))))</f>
        <v/>
      </c>
      <c r="AR24" s="3" t="str">
        <f>IF(T&lt;=AR$11,"",IF($A24&gt;AR$12,"",IF(T=AS$11,EXP(-IRTree!AR25*h)*AR91,EXP(-IRTree!AR25*h)*((AS24+AS25)/2+AR91))))</f>
        <v/>
      </c>
      <c r="AS24" s="3" t="str">
        <f>IF(T&lt;=AS$11,"",IF($A24&gt;AS$12,"",IF(T=AT$11,EXP(-IRTree!AS25*h)*AS91,EXP(-IRTree!AS25*h)*((AT24+AT25)/2+AS91))))</f>
        <v/>
      </c>
      <c r="AT24" s="3" t="str">
        <f>IF(T&lt;=AT$11,"",IF($A24&gt;AT$12,"",IF(T=AU$11,EXP(-IRTree!AT25*h)*AT91,EXP(-IRTree!AT25*h)*((AU24+AU25)/2+AT91))))</f>
        <v/>
      </c>
      <c r="AU24" s="3" t="str">
        <f>IF(T&lt;=AU$11,"",IF($A24&gt;AU$12,"",IF(T=AV$11,EXP(-IRTree!AU25*h)*AU91,EXP(-IRTree!AU25*h)*((AV24+AV25)/2+AU91))))</f>
        <v/>
      </c>
      <c r="AV24" s="3" t="str">
        <f>IF(T&lt;=AV$11,"",IF($A24&gt;AV$12,"",IF(T=AW$11,EXP(-IRTree!AV25*h)*AV91,EXP(-IRTree!AV25*h)*((AW24+AW25)/2+AV91))))</f>
        <v/>
      </c>
      <c r="AW24" s="3" t="str">
        <f>IF(T&lt;=AW$11,"",IF($A24&gt;AW$12,"",IF(T=AX$11,EXP(-IRTree!AW25*h)*AW91,EXP(-IRTree!AW25*h)*((AX24+AX25)/2+AW91))))</f>
        <v/>
      </c>
      <c r="AX24" s="3" t="str">
        <f>IF(T&lt;=AX$11,"",IF($A24&gt;AX$12,"",IF(T=AY$11,EXP(-IRTree!AX25*h)*AX91,EXP(-IRTree!AX25*h)*((AY24+AY25)/2+AX91))))</f>
        <v/>
      </c>
      <c r="AY24" s="3" t="str">
        <f>IF(T&lt;=AY$11,"",IF($A24&gt;AY$12,"",IF(T=AZ$11,EXP(-IRTree!AY25*h)*AY91,EXP(-IRTree!AY25*h)*((AZ24+AZ25)/2+AY91))))</f>
        <v/>
      </c>
      <c r="AZ24" s="3" t="str">
        <f>IF(T&lt;=AZ$11,"",IF($A24&gt;AZ$12,"",IF(T=BA$11,EXP(-IRTree!AZ25*h)*AZ91,EXP(-IRTree!AZ25*h)*((BA24+BA25)/2+AZ91))))</f>
        <v/>
      </c>
      <c r="BA24" s="3" t="str">
        <f>IF(T&lt;=BA$11,"",IF($A24&gt;BA$12,"",IF(T=BB$11,EXP(-IRTree!BA25*h)*BA91,EXP(-IRTree!BA25*h)*((BB24+BB25)/2+BA91))))</f>
        <v/>
      </c>
      <c r="BB24" s="3" t="str">
        <f>IF(T&lt;=BB$11,"",IF($A24&gt;BB$12,"",IF(T=BC$11,EXP(-IRTree!BB25*h)*BB91,EXP(-IRTree!BB25*h)*((BC24+BC25)/2+BB91))))</f>
        <v/>
      </c>
      <c r="BC24" s="3" t="str">
        <f>IF(T&lt;=BC$11,"",IF($A24&gt;BC$12,"",IF(T=BD$11,EXP(-IRTree!BC25*h)*BC91,EXP(-IRTree!BC25*h)*((BD24+BD25)/2+BC91))))</f>
        <v/>
      </c>
      <c r="BD24" s="3" t="str">
        <f>IF(T&lt;=BD$11,"",IF($A24&gt;BD$12,"",IF(T=BE$11,EXP(-IRTree!BD25*h)*BD91,EXP(-IRTree!BD25*h)*((BE24+BE25)/2+BD91))))</f>
        <v/>
      </c>
      <c r="BE24" s="3" t="str">
        <f>IF(T&lt;=BE$11,"",IF($A24&gt;BE$12,"",IF(T=BF$11,EXP(-IRTree!BE25*h)*BE91,EXP(-IRTree!BE25*h)*((BF24+BF25)/2+BE91))))</f>
        <v/>
      </c>
      <c r="BF24" s="3" t="str">
        <f>IF(T&lt;=BF$11,"",IF($A24&gt;BF$12,"",IF(T=BG$11,EXP(-IRTree!BF25*h)*BF91,EXP(-IRTree!BF25*h)*((BG24+BG25)/2+BF91))))</f>
        <v/>
      </c>
      <c r="BG24" s="3" t="str">
        <f>IF(T&lt;=BG$11,"",IF($A24&gt;BG$12,"",IF(T=BH$11,EXP(-IRTree!BG25*h)*BG91,EXP(-IRTree!BG25*h)*((BH24+BH25)/2+BG91))))</f>
        <v/>
      </c>
      <c r="BH24" s="3" t="str">
        <f>IF(T&lt;=BH$11,"",IF($A24&gt;BH$12,"",IF(T=BI$11,EXP(-IRTree!BH25*h)*BH91,EXP(-IRTree!BH25*h)*((BI24+BI25)/2+BH91))))</f>
        <v/>
      </c>
      <c r="BI24" s="3" t="str">
        <f>IF(T&lt;=BI$11,"",IF($A24&gt;BI$12,"",IF(T=BJ$11,EXP(-IRTree!BI25*h)*BI91,EXP(-IRTree!BI25*h)*((BJ24+BJ25)/2+BI91))))</f>
        <v/>
      </c>
      <c r="BJ24" s="3" t="str">
        <f>IF(T&lt;=BJ$11,"",IF($A24&gt;BJ$12,"",IF(T=BK$11,EXP(-IRTree!BJ25*h)*BJ91,EXP(-IRTree!BJ25*h)*((BK24+BK25)/2+BJ91))))</f>
        <v/>
      </c>
    </row>
    <row r="25" spans="1:62">
      <c r="A25" s="12">
        <f t="shared" si="2"/>
        <v>12</v>
      </c>
      <c r="B25" s="3" t="str">
        <f>IF(T&lt;=B$11,"",IF($A25&gt;B$12,"",IF(T=C$11,EXP(-IRTree!B26*h)*B92,EXP(-IRTree!B26*h)*((C25+C26)/2+B92))))</f>
        <v/>
      </c>
      <c r="C25" s="3" t="str">
        <f>IF(T&lt;=C$11,"",IF($A25&gt;C$12,"",IF(T=D$11,EXP(-IRTree!C26*h)*C92,EXP(-IRTree!C26*h)*((D25+D26)/2+C92))))</f>
        <v/>
      </c>
      <c r="D25" s="3" t="str">
        <f>IF(T&lt;=D$11,"",IF($A25&gt;D$12,"",IF(T=E$11,EXP(-IRTree!D26*h)*D92,EXP(-IRTree!D26*h)*((E25+E26)/2+D92))))</f>
        <v/>
      </c>
      <c r="E25" s="3" t="str">
        <f>IF(T&lt;=E$11,"",IF($A25&gt;E$12,"",IF(T=F$11,EXP(-IRTree!E26*h)*E92,EXP(-IRTree!E26*h)*((F25+F26)/2+E92))))</f>
        <v/>
      </c>
      <c r="F25" s="3" t="str">
        <f>IF(T&lt;=F$11,"",IF($A25&gt;F$12,"",IF(T=G$11,EXP(-IRTree!F26*h)*F92,EXP(-IRTree!F26*h)*((G25+G26)/2+F92))))</f>
        <v/>
      </c>
      <c r="G25" s="3" t="str">
        <f>IF(T&lt;=G$11,"",IF($A25&gt;G$12,"",IF(T=H$11,EXP(-IRTree!G26*h)*G92,EXP(-IRTree!G26*h)*((H25+H26)/2+G92))))</f>
        <v/>
      </c>
      <c r="H25" s="3" t="str">
        <f>IF(T&lt;=H$11,"",IF($A25&gt;H$12,"",IF(T=I$11,EXP(-IRTree!H26*h)*H92,EXP(-IRTree!H26*h)*((I25+I26)/2+H92))))</f>
        <v/>
      </c>
      <c r="I25" s="3" t="str">
        <f>IF(T&lt;=I$11,"",IF($A25&gt;I$12,"",IF(T=J$11,EXP(-IRTree!I26*h)*I92,EXP(-IRTree!I26*h)*((J25+J26)/2+I92))))</f>
        <v/>
      </c>
      <c r="J25" s="3" t="str">
        <f>IF(T&lt;=J$11,"",IF($A25&gt;J$12,"",IF(T=K$11,EXP(-IRTree!J26*h)*J92,EXP(-IRTree!J26*h)*((K25+K26)/2+J92))))</f>
        <v/>
      </c>
      <c r="K25" s="3" t="str">
        <f>IF(T&lt;=K$11,"",IF($A25&gt;K$12,"",IF(T=L$11,EXP(-IRTree!K26*h)*K92,EXP(-IRTree!K26*h)*((L25+L26)/2+K92))))</f>
        <v/>
      </c>
      <c r="L25" s="3" t="str">
        <f>IF(T&lt;=L$11,"",IF($A25&gt;L$12,"",IF(T=M$11,EXP(-IRTree!L26*h)*L92,EXP(-IRTree!L26*h)*((M25+M26)/2+L92))))</f>
        <v/>
      </c>
      <c r="M25" s="3" t="str">
        <f>IF(T&lt;=M$11,"",IF($A25&gt;M$12,"",IF(T=N$11,EXP(-IRTree!M26*h)*M92,EXP(-IRTree!M26*h)*((N25+N26)/2+M92))))</f>
        <v/>
      </c>
      <c r="N25" s="3">
        <f>IF(T&lt;=N$11,"",IF($A25&gt;N$12,"",IF(T=O$11,EXP(-IRTree!N26*h)*N92,EXP(-IRTree!N26*h)*((O25+O26)/2+N92))))</f>
        <v>3.0229798301635222E-2</v>
      </c>
      <c r="O25" s="3">
        <f>IF(T&lt;=O$11,"",IF($A25&gt;O$12,"",IF(T=P$11,EXP(-IRTree!O26*h)*O92,EXP(-IRTree!O26*h)*((P25+P26)/2+O92))))</f>
        <v>4.6830499551659958E-2</v>
      </c>
      <c r="P25" s="3">
        <f>IF(T&lt;=P$11,"",IF($A25&gt;P$12,"",IF(T=Q$11,EXP(-IRTree!P26*h)*P92,EXP(-IRTree!P26*h)*((Q25+Q26)/2+P92))))</f>
        <v>7.2035331984702827E-2</v>
      </c>
      <c r="Q25" s="3">
        <f>IF(T&lt;=Q$11,"",IF($A25&gt;Q$12,"",IF(T=R$11,EXP(-IRTree!Q26*h)*Q92,EXP(-IRTree!Q26*h)*((R25+R26)/2+Q92))))</f>
        <v>0.11004147629735749</v>
      </c>
      <c r="R25" s="3">
        <f>IF(T&lt;=R$11,"",IF($A25&gt;R$12,"",IF(T=S$11,EXP(-IRTree!R26*h)*R92,EXP(-IRTree!R26*h)*((S25+S26)/2+R92))))</f>
        <v>0.16685093627875794</v>
      </c>
      <c r="S25" s="3">
        <f>IF(T&lt;=S$11,"",IF($A25&gt;S$12,"",IF(T=T$11,EXP(-IRTree!S26*h)*S92,EXP(-IRTree!S26*h)*((T25+T26)/2+S92))))</f>
        <v>0.2511535350548062</v>
      </c>
      <c r="T25" s="3">
        <f>IF(T&lt;=T$11,"",IF($A25&gt;T$12,"",IF(T=U$11,EXP(-IRTree!T26*h)*T92,EXP(-IRTree!T26*h)*((U25+U26)/2+T92))))</f>
        <v>0.37520245769808142</v>
      </c>
      <c r="U25" s="3">
        <f>IF(T&lt;=U$11,"",IF($A25&gt;U$12,"",IF(T=V$11,EXP(-IRTree!U26*h)*U92,EXP(-IRTree!U26*h)*((V25+V26)/2+U92))))</f>
        <v>0.55624468061967292</v>
      </c>
      <c r="V25" s="3">
        <f>IF(T&lt;=V$11,"",IF($A25&gt;V$12,"",IF(T=W$11,EXP(-IRTree!V26*h)*V92,EXP(-IRTree!V26*h)*((W25+W26)/2+V92))))</f>
        <v>0.81810433132109173</v>
      </c>
      <c r="W25" s="3">
        <f>IF(T&lt;=W$11,"",IF($A25&gt;W$12,"",IF(T=X$11,EXP(-IRTree!W26*h)*W92,EXP(-IRTree!W26*h)*((X25+X26)/2+W92))))</f>
        <v>1.1936340167702066</v>
      </c>
      <c r="X25" s="3">
        <f>IF(T&lt;=X$11,"",IF($A25&gt;X$12,"",IF(T=Y$11,EXP(-IRTree!X26*h)*X92,EXP(-IRTree!X26*h)*((Y25+Y26)/2+X92))))</f>
        <v>1.7274181631635195</v>
      </c>
      <c r="Y25" s="3">
        <f>IF(T&lt;=Y$11,"",IF($A25&gt;Y$12,"",IF(T=Z$11,EXP(-IRTree!Y26*h)*Y92,EXP(-IRTree!Y26*h)*((Z25+Z26)/2+Y92))))</f>
        <v>2.4802098101892947</v>
      </c>
      <c r="Z25" s="3">
        <f>IF(T&lt;=Z$11,"",IF($A25&gt;Z$12,"",IF(T=AA$11,EXP(-IRTree!Z26*h)*Z92,EXP(-IRTree!Z26*h)*((AA25+AA26)/2+Z92))))</f>
        <v>3.5325150731962678</v>
      </c>
      <c r="AA25" s="3">
        <f>IF(T&lt;=AA$11,"",IF($A25&gt;AA$12,"",IF(T=AB$11,EXP(-IRTree!AA26*h)*AA92,EXP(-IRTree!AA26*h)*((AB25+AB26)/2+AA92))))</f>
        <v>4.9064676261191789</v>
      </c>
      <c r="AB25" s="3">
        <f>IF(T&lt;=AB$11,"",IF($A25&gt;AB$12,"",IF(T=AC$11,EXP(-IRTree!AB26*h)*AB92,EXP(-IRTree!AB26*h)*((AC25+AC26)/2+AB92))))</f>
        <v>6.4161151568828343</v>
      </c>
      <c r="AC25" s="3">
        <f>IF(T&lt;=AC$11,"",IF($A25&gt;AC$12,"",IF(T=AD$11,EXP(-IRTree!AC26*h)*AC92,EXP(-IRTree!AC26*h)*((AD25+AD26)/2+AC92))))</f>
        <v>7.9283438980578183</v>
      </c>
      <c r="AD25" s="3">
        <f>IF(T&lt;=AD$11,"",IF($A25&gt;AD$12,"",IF(T=AE$11,EXP(-IRTree!AD26*h)*AD92,EXP(-IRTree!AD26*h)*((AE25+AE26)/2+AD92))))</f>
        <v>9.3445619300164608</v>
      </c>
      <c r="AE25" s="3">
        <f>IF(T&lt;=AE$11,"",IF($A25&gt;AE$12,"",IF(T=AF$11,EXP(-IRTree!AE26*h)*AE92,EXP(-IRTree!AE26*h)*((AF25+AF26)/2+AE92))))</f>
        <v>10.599944613968946</v>
      </c>
      <c r="AF25" s="3">
        <f>IF(T&lt;=AF$11,"",IF($A25&gt;AF$12,"",IF(T=AG$11,EXP(-IRTree!AF26*h)*AF92,EXP(-IRTree!AF26*h)*((AG25+AG26)/2+AF92))))</f>
        <v>11.64194600325451</v>
      </c>
      <c r="AG25" s="3">
        <f>IF(T&lt;=AG$11,"",IF($A25&gt;AG$12,"",IF(T=AH$11,EXP(-IRTree!AG26*h)*AG92,EXP(-IRTree!AG26*h)*((AH25+AH26)/2+AG92))))</f>
        <v>12.421069107946858</v>
      </c>
      <c r="AH25" s="3">
        <f>IF(T&lt;=AH$11,"",IF($A25&gt;AH$12,"",IF(T=AI$11,EXP(-IRTree!AH26*h)*AH92,EXP(-IRTree!AH26*h)*((AI25+AI26)/2+AH92))))</f>
        <v>12.896823245915478</v>
      </c>
      <c r="AI25" s="3">
        <f>IF(T&lt;=AI$11,"",IF($A25&gt;AI$12,"",IF(T=AJ$11,EXP(-IRTree!AI26*h)*AI92,EXP(-IRTree!AI26*h)*((AJ25+AJ26)/2+AI92))))</f>
        <v>13.004533086155105</v>
      </c>
      <c r="AJ25" s="3">
        <f>IF(T&lt;=AJ$11,"",IF($A25&gt;AJ$12,"",IF(T=AK$11,EXP(-IRTree!AJ26*h)*AJ92,EXP(-IRTree!AJ26*h)*((AK25+AK26)/2+AJ92))))</f>
        <v>12.73356826425923</v>
      </c>
      <c r="AK25" s="3">
        <f>IF(T&lt;=AK$11,"",IF($A25&gt;AK$12,"",IF(T=AL$11,EXP(-IRTree!AK26*h)*AK92,EXP(-IRTree!AK26*h)*((AL25+AL26)/2+AK92))))</f>
        <v>12.021499993771336</v>
      </c>
      <c r="AL25" s="3">
        <f>IF(T&lt;=AL$11,"",IF($A25&gt;AL$12,"",IF(T=AM$11,EXP(-IRTree!AL26*h)*AL92,EXP(-IRTree!AL26*h)*((AM25+AM26)/2+AL92))))</f>
        <v>10.842575566563388</v>
      </c>
      <c r="AM25" s="3">
        <f>IF(T&lt;=AM$11,"",IF($A25&gt;AM$12,"",IF(T=AN$11,EXP(-IRTree!AM26*h)*AM92,EXP(-IRTree!AM26*h)*((AN25+AN26)/2+AM92))))</f>
        <v>9.0500294112912378</v>
      </c>
      <c r="AN25" s="3">
        <f>IF(T&lt;=AN$11,"",IF($A25&gt;AN$12,"",IF(T=AO$11,EXP(-IRTree!AN26*h)*AN92,EXP(-IRTree!AN26*h)*((AO25+AO26)/2+AN92))))</f>
        <v>6.6822738418418393</v>
      </c>
      <c r="AO25" s="3">
        <f>IF(T&lt;=AO$11,"",IF($A25&gt;AO$12,"",IF(T=AP$11,EXP(-IRTree!AO26*h)*AO92,EXP(-IRTree!AO26*h)*((AP25+AP26)/2+AO92))))</f>
        <v>3.68911346809274</v>
      </c>
      <c r="AP25" s="3" t="str">
        <f>IF(T&lt;=AP$11,"",IF($A25&gt;AP$12,"",IF(T=AQ$11,EXP(-IRTree!AP26*h)*AP92,EXP(-IRTree!AP26*h)*((AQ25+AQ26)/2+AP92))))</f>
        <v/>
      </c>
      <c r="AQ25" s="3" t="str">
        <f>IF(T&lt;=AQ$11,"",IF($A25&gt;AQ$12,"",IF(T=AR$11,EXP(-IRTree!AQ26*h)*AQ92,EXP(-IRTree!AQ26*h)*((AR25+AR26)/2+AQ92))))</f>
        <v/>
      </c>
      <c r="AR25" s="3" t="str">
        <f>IF(T&lt;=AR$11,"",IF($A25&gt;AR$12,"",IF(T=AS$11,EXP(-IRTree!AR26*h)*AR92,EXP(-IRTree!AR26*h)*((AS25+AS26)/2+AR92))))</f>
        <v/>
      </c>
      <c r="AS25" s="3" t="str">
        <f>IF(T&lt;=AS$11,"",IF($A25&gt;AS$12,"",IF(T=AT$11,EXP(-IRTree!AS26*h)*AS92,EXP(-IRTree!AS26*h)*((AT25+AT26)/2+AS92))))</f>
        <v/>
      </c>
      <c r="AT25" s="3" t="str">
        <f>IF(T&lt;=AT$11,"",IF($A25&gt;AT$12,"",IF(T=AU$11,EXP(-IRTree!AT26*h)*AT92,EXP(-IRTree!AT26*h)*((AU25+AU26)/2+AT92))))</f>
        <v/>
      </c>
      <c r="AU25" s="3" t="str">
        <f>IF(T&lt;=AU$11,"",IF($A25&gt;AU$12,"",IF(T=AV$11,EXP(-IRTree!AU26*h)*AU92,EXP(-IRTree!AU26*h)*((AV25+AV26)/2+AU92))))</f>
        <v/>
      </c>
      <c r="AV25" s="3" t="str">
        <f>IF(T&lt;=AV$11,"",IF($A25&gt;AV$12,"",IF(T=AW$11,EXP(-IRTree!AV26*h)*AV92,EXP(-IRTree!AV26*h)*((AW25+AW26)/2+AV92))))</f>
        <v/>
      </c>
      <c r="AW25" s="3" t="str">
        <f>IF(T&lt;=AW$11,"",IF($A25&gt;AW$12,"",IF(T=AX$11,EXP(-IRTree!AW26*h)*AW92,EXP(-IRTree!AW26*h)*((AX25+AX26)/2+AW92))))</f>
        <v/>
      </c>
      <c r="AX25" s="3" t="str">
        <f>IF(T&lt;=AX$11,"",IF($A25&gt;AX$12,"",IF(T=AY$11,EXP(-IRTree!AX26*h)*AX92,EXP(-IRTree!AX26*h)*((AY25+AY26)/2+AX92))))</f>
        <v/>
      </c>
      <c r="AY25" s="3" t="str">
        <f>IF(T&lt;=AY$11,"",IF($A25&gt;AY$12,"",IF(T=AZ$11,EXP(-IRTree!AY26*h)*AY92,EXP(-IRTree!AY26*h)*((AZ25+AZ26)/2+AY92))))</f>
        <v/>
      </c>
      <c r="AZ25" s="3" t="str">
        <f>IF(T&lt;=AZ$11,"",IF($A25&gt;AZ$12,"",IF(T=BA$11,EXP(-IRTree!AZ26*h)*AZ92,EXP(-IRTree!AZ26*h)*((BA25+BA26)/2+AZ92))))</f>
        <v/>
      </c>
      <c r="BA25" s="3" t="str">
        <f>IF(T&lt;=BA$11,"",IF($A25&gt;BA$12,"",IF(T=BB$11,EXP(-IRTree!BA26*h)*BA92,EXP(-IRTree!BA26*h)*((BB25+BB26)/2+BA92))))</f>
        <v/>
      </c>
      <c r="BB25" s="3" t="str">
        <f>IF(T&lt;=BB$11,"",IF($A25&gt;BB$12,"",IF(T=BC$11,EXP(-IRTree!BB26*h)*BB92,EXP(-IRTree!BB26*h)*((BC25+BC26)/2+BB92))))</f>
        <v/>
      </c>
      <c r="BC25" s="3" t="str">
        <f>IF(T&lt;=BC$11,"",IF($A25&gt;BC$12,"",IF(T=BD$11,EXP(-IRTree!BC26*h)*BC92,EXP(-IRTree!BC26*h)*((BD25+BD26)/2+BC92))))</f>
        <v/>
      </c>
      <c r="BD25" s="3" t="str">
        <f>IF(T&lt;=BD$11,"",IF($A25&gt;BD$12,"",IF(T=BE$11,EXP(-IRTree!BD26*h)*BD92,EXP(-IRTree!BD26*h)*((BE25+BE26)/2+BD92))))</f>
        <v/>
      </c>
      <c r="BE25" s="3" t="str">
        <f>IF(T&lt;=BE$11,"",IF($A25&gt;BE$12,"",IF(T=BF$11,EXP(-IRTree!BE26*h)*BE92,EXP(-IRTree!BE26*h)*((BF25+BF26)/2+BE92))))</f>
        <v/>
      </c>
      <c r="BF25" s="3" t="str">
        <f>IF(T&lt;=BF$11,"",IF($A25&gt;BF$12,"",IF(T=BG$11,EXP(-IRTree!BF26*h)*BF92,EXP(-IRTree!BF26*h)*((BG25+BG26)/2+BF92))))</f>
        <v/>
      </c>
      <c r="BG25" s="3" t="str">
        <f>IF(T&lt;=BG$11,"",IF($A25&gt;BG$12,"",IF(T=BH$11,EXP(-IRTree!BG26*h)*BG92,EXP(-IRTree!BG26*h)*((BH25+BH26)/2+BG92))))</f>
        <v/>
      </c>
      <c r="BH25" s="3" t="str">
        <f>IF(T&lt;=BH$11,"",IF($A25&gt;BH$12,"",IF(T=BI$11,EXP(-IRTree!BH26*h)*BH92,EXP(-IRTree!BH26*h)*((BI25+BI26)/2+BH92))))</f>
        <v/>
      </c>
      <c r="BI25" s="3" t="str">
        <f>IF(T&lt;=BI$11,"",IF($A25&gt;BI$12,"",IF(T=BJ$11,EXP(-IRTree!BI26*h)*BI92,EXP(-IRTree!BI26*h)*((BJ25+BJ26)/2+BI92))))</f>
        <v/>
      </c>
      <c r="BJ25" s="3" t="str">
        <f>IF(T&lt;=BJ$11,"",IF($A25&gt;BJ$12,"",IF(T=BK$11,EXP(-IRTree!BJ26*h)*BJ92,EXP(-IRTree!BJ26*h)*((BK25+BK26)/2+BJ92))))</f>
        <v/>
      </c>
    </row>
    <row r="26" spans="1:62">
      <c r="A26" s="12">
        <f t="shared" si="2"/>
        <v>13</v>
      </c>
      <c r="B26" s="3" t="str">
        <f>IF(T&lt;=B$11,"",IF($A26&gt;B$12,"",IF(T=C$11,EXP(-IRTree!B27*h)*B93,EXP(-IRTree!B27*h)*((C26+C27)/2+B93))))</f>
        <v/>
      </c>
      <c r="C26" s="3" t="str">
        <f>IF(T&lt;=C$11,"",IF($A26&gt;C$12,"",IF(T=D$11,EXP(-IRTree!C27*h)*C93,EXP(-IRTree!C27*h)*((D26+D27)/2+C93))))</f>
        <v/>
      </c>
      <c r="D26" s="3" t="str">
        <f>IF(T&lt;=D$11,"",IF($A26&gt;D$12,"",IF(T=E$11,EXP(-IRTree!D27*h)*D93,EXP(-IRTree!D27*h)*((E26+E27)/2+D93))))</f>
        <v/>
      </c>
      <c r="E26" s="3" t="str">
        <f>IF(T&lt;=E$11,"",IF($A26&gt;E$12,"",IF(T=F$11,EXP(-IRTree!E27*h)*E93,EXP(-IRTree!E27*h)*((F26+F27)/2+E93))))</f>
        <v/>
      </c>
      <c r="F26" s="3" t="str">
        <f>IF(T&lt;=F$11,"",IF($A26&gt;F$12,"",IF(T=G$11,EXP(-IRTree!F27*h)*F93,EXP(-IRTree!F27*h)*((G26+G27)/2+F93))))</f>
        <v/>
      </c>
      <c r="G26" s="3" t="str">
        <f>IF(T&lt;=G$11,"",IF($A26&gt;G$12,"",IF(T=H$11,EXP(-IRTree!G27*h)*G93,EXP(-IRTree!G27*h)*((H26+H27)/2+G93))))</f>
        <v/>
      </c>
      <c r="H26" s="3" t="str">
        <f>IF(T&lt;=H$11,"",IF($A26&gt;H$12,"",IF(T=I$11,EXP(-IRTree!H27*h)*H93,EXP(-IRTree!H27*h)*((I26+I27)/2+H93))))</f>
        <v/>
      </c>
      <c r="I26" s="3" t="str">
        <f>IF(T&lt;=I$11,"",IF($A26&gt;I$12,"",IF(T=J$11,EXP(-IRTree!I27*h)*I93,EXP(-IRTree!I27*h)*((J26+J27)/2+I93))))</f>
        <v/>
      </c>
      <c r="J26" s="3" t="str">
        <f>IF(T&lt;=J$11,"",IF($A26&gt;J$12,"",IF(T=K$11,EXP(-IRTree!J27*h)*J93,EXP(-IRTree!J27*h)*((K26+K27)/2+J93))))</f>
        <v/>
      </c>
      <c r="K26" s="3" t="str">
        <f>IF(T&lt;=K$11,"",IF($A26&gt;K$12,"",IF(T=L$11,EXP(-IRTree!K27*h)*K93,EXP(-IRTree!K27*h)*((L26+L27)/2+K93))))</f>
        <v/>
      </c>
      <c r="L26" s="3" t="str">
        <f>IF(T&lt;=L$11,"",IF($A26&gt;L$12,"",IF(T=M$11,EXP(-IRTree!L27*h)*L93,EXP(-IRTree!L27*h)*((M26+M27)/2+L93))))</f>
        <v/>
      </c>
      <c r="M26" s="3" t="str">
        <f>IF(T&lt;=M$11,"",IF($A26&gt;M$12,"",IF(T=N$11,EXP(-IRTree!M27*h)*M93,EXP(-IRTree!M27*h)*((N26+N27)/2+M93))))</f>
        <v/>
      </c>
      <c r="N26" s="3" t="str">
        <f>IF(T&lt;=N$11,"",IF($A26&gt;N$12,"",IF(T=O$11,EXP(-IRTree!N27*h)*N93,EXP(-IRTree!N27*h)*((O26+O27)/2+N93))))</f>
        <v/>
      </c>
      <c r="O26" s="3">
        <f>IF(T&lt;=O$11,"",IF($A26&gt;O$12,"",IF(T=P$11,EXP(-IRTree!O27*h)*O93,EXP(-IRTree!O27*h)*((P26+P27)/2+O93))))</f>
        <v>1.3742505896359083E-2</v>
      </c>
      <c r="P26" s="3">
        <f>IF(T&lt;=P$11,"",IF($A26&gt;P$12,"",IF(T=Q$11,EXP(-IRTree!P27*h)*P93,EXP(-IRTree!P27*h)*((Q26+Q27)/2+P93))))</f>
        <v>2.1810728088866152E-2</v>
      </c>
      <c r="Q26" s="3">
        <f>IF(T&lt;=Q$11,"",IF($A26&gt;Q$12,"",IF(T=R$11,EXP(-IRTree!Q27*h)*Q93,EXP(-IRTree!Q27*h)*((R26+R27)/2+Q93))))</f>
        <v>3.4391743558649553E-2</v>
      </c>
      <c r="R26" s="3">
        <f>IF(T&lt;=R$11,"",IF($A26&gt;R$12,"",IF(T=S$11,EXP(-IRTree!R27*h)*R93,EXP(-IRTree!R27*h)*((S26+S27)/2+R93))))</f>
        <v>5.3849006016296178E-2</v>
      </c>
      <c r="S26" s="3">
        <f>IF(T&lt;=S$11,"",IF($A26&gt;S$12,"",IF(T=T$11,EXP(-IRTree!S27*h)*S93,EXP(-IRTree!S27*h)*((T26+T27)/2+S93))))</f>
        <v>8.3728217543981409E-2</v>
      </c>
      <c r="T26" s="3">
        <f>IF(T&lt;=T$11,"",IF($A26&gt;T$12,"",IF(T=U$11,EXP(-IRTree!T27*h)*T93,EXP(-IRTree!T27*h)*((U26+U27)/2+T93))))</f>
        <v>0.12923636371879982</v>
      </c>
      <c r="U26" s="3">
        <f>IF(T&lt;=U$11,"",IF($A26&gt;U$12,"",IF(T=V$11,EXP(-IRTree!U27*h)*U93,EXP(-IRTree!U27*h)*((V26+V27)/2+U93))))</f>
        <v>0.19798587004870918</v>
      </c>
      <c r="V26" s="3">
        <f>IF(T&lt;=V$11,"",IF($A26&gt;V$12,"",IF(T=W$11,EXP(-IRTree!V27*h)*V93,EXP(-IRTree!V27*h)*((W26+W27)/2+V93))))</f>
        <v>0.30091550797351296</v>
      </c>
      <c r="W26" s="3">
        <f>IF(T&lt;=W$11,"",IF($A26&gt;W$12,"",IF(T=X$11,EXP(-IRTree!W27*h)*W93,EXP(-IRTree!W27*h)*((X26+X27)/2+W93))))</f>
        <v>0.45366932557139827</v>
      </c>
      <c r="X26" s="3">
        <f>IF(T&lt;=X$11,"",IF($A26&gt;X$12,"",IF(T=Y$11,EXP(-IRTree!X27*h)*X93,EXP(-IRTree!X27*h)*((Y26+Y27)/2+X93))))</f>
        <v>0.67826813289312815</v>
      </c>
      <c r="Y26" s="3">
        <f>IF(T&lt;=Y$11,"",IF($A26&gt;Y$12,"",IF(T=Z$11,EXP(-IRTree!Y27*h)*Y93,EXP(-IRTree!Y27*h)*((Z26+Z27)/2+Y93))))</f>
        <v>1.0057364215452489</v>
      </c>
      <c r="Z26" s="3">
        <f>IF(T&lt;=Z$11,"",IF($A26&gt;Z$12,"",IF(T=AA$11,EXP(-IRTree!Z27*h)*Z93,EXP(-IRTree!Z27*h)*((AA26+AA27)/2+Z93))))</f>
        <v>1.4786244431790219</v>
      </c>
      <c r="AA26" s="3">
        <f>IF(T&lt;=AA$11,"",IF($A26&gt;AA$12,"",IF(T=AB$11,EXP(-IRTree!AA27*h)*AA93,EXP(-IRTree!AA27*h)*((AB26+AB27)/2+AA93))))</f>
        <v>2.155611693841196</v>
      </c>
      <c r="AB26" s="3">
        <f>IF(T&lt;=AB$11,"",IF($A26&gt;AB$12,"",IF(T=AC$11,EXP(-IRTree!AB27*h)*AB93,EXP(-IRTree!AB27*h)*((AC26+AC27)/2+AB93))))</f>
        <v>3.1163931419411259</v>
      </c>
      <c r="AC26" s="3">
        <f>IF(T&lt;=AC$11,"",IF($A26&gt;AC$12,"",IF(T=AD$11,EXP(-IRTree!AC27*h)*AC93,EXP(-IRTree!AC27*h)*((AD26+AD27)/2+AC93))))</f>
        <v>4.3324424787356319</v>
      </c>
      <c r="AD26" s="3">
        <f>IF(T&lt;=AD$11,"",IF($A26&gt;AD$12,"",IF(T=AE$11,EXP(-IRTree!AD27*h)*AD93,EXP(-IRTree!AD27*h)*((AE26+AE27)/2+AD93))))</f>
        <v>5.6206952398619912</v>
      </c>
      <c r="AE26" s="3">
        <f>IF(T&lt;=AE$11,"",IF($A26&gt;AE$12,"",IF(T=AF$11,EXP(-IRTree!AE27*h)*AE93,EXP(-IRTree!AE27*h)*((AF26+AF27)/2+AE93))))</f>
        <v>6.8509480551504307</v>
      </c>
      <c r="AF26" s="3">
        <f>IF(T&lt;=AF$11,"",IF($A26&gt;AF$12,"",IF(T=AG$11,EXP(-IRTree!AF27*h)*AF93,EXP(-IRTree!AF27*h)*((AG26+AG27)/2+AF93))))</f>
        <v>7.9343783041581375</v>
      </c>
      <c r="AG26" s="3">
        <f>IF(T&lt;=AG$11,"",IF($A26&gt;AG$12,"",IF(T=AH$11,EXP(-IRTree!AG27*h)*AG93,EXP(-IRTree!AG27*h)*((AH26+AH27)/2+AG93))))</f>
        <v>8.808234968621516</v>
      </c>
      <c r="AH26" s="3">
        <f>IF(T&lt;=AH$11,"",IF($A26&gt;AH$12,"",IF(T=AI$11,EXP(-IRTree!AH27*h)*AH93,EXP(-IRTree!AH27*h)*((AI26+AI27)/2+AH93))))</f>
        <v>9.426246180301554</v>
      </c>
      <c r="AI26" s="3">
        <f>IF(T&lt;=AI$11,"",IF($A26&gt;AI$12,"",IF(T=AJ$11,EXP(-IRTree!AI27*h)*AI93,EXP(-IRTree!AI27*h)*((AJ26+AJ27)/2+AI93))))</f>
        <v>9.7357399028590006</v>
      </c>
      <c r="AJ26" s="3">
        <f>IF(T&lt;=AJ$11,"",IF($A26&gt;AJ$12,"",IF(T=AK$11,EXP(-IRTree!AJ27*h)*AJ93,EXP(-IRTree!AJ27*h)*((AK26+AK27)/2+AJ93))))</f>
        <v>9.7147965136040266</v>
      </c>
      <c r="AK26" s="3">
        <f>IF(T&lt;=AK$11,"",IF($A26&gt;AK$12,"",IF(T=AL$11,EXP(-IRTree!AK27*h)*AK93,EXP(-IRTree!AK27*h)*((AL26+AL27)/2+AK93))))</f>
        <v>9.3133855209837488</v>
      </c>
      <c r="AL26" s="3">
        <f>IF(T&lt;=AL$11,"",IF($A26&gt;AL$12,"",IF(T=AM$11,EXP(-IRTree!AL27*h)*AL93,EXP(-IRTree!AL27*h)*((AM26+AM27)/2+AL93))))</f>
        <v>8.5033627688953519</v>
      </c>
      <c r="AM26" s="3">
        <f>IF(T&lt;=AM$11,"",IF($A26&gt;AM$12,"",IF(T=AN$11,EXP(-IRTree!AM27*h)*AM93,EXP(-IRTree!AM27*h)*((AN26+AN27)/2+AM93))))</f>
        <v>7.1761734917355007</v>
      </c>
      <c r="AN26" s="3">
        <f>IF(T&lt;=AN$11,"",IF($A26&gt;AN$12,"",IF(T=AO$11,EXP(-IRTree!AN27*h)*AN93,EXP(-IRTree!AN27*h)*((AO26+AO27)/2+AN93))))</f>
        <v>5.3467199604482243</v>
      </c>
      <c r="AO26" s="3">
        <f>IF(T&lt;=AO$11,"",IF($A26&gt;AO$12,"",IF(T=AP$11,EXP(-IRTree!AO27*h)*AO93,EXP(-IRTree!AO27*h)*((AP26+AP27)/2+AO93))))</f>
        <v>2.9734942268872606</v>
      </c>
      <c r="AP26" s="3" t="str">
        <f>IF(T&lt;=AP$11,"",IF($A26&gt;AP$12,"",IF(T=AQ$11,EXP(-IRTree!AP27*h)*AP93,EXP(-IRTree!AP27*h)*((AQ26+AQ27)/2+AP93))))</f>
        <v/>
      </c>
      <c r="AQ26" s="3" t="str">
        <f>IF(T&lt;=AQ$11,"",IF($A26&gt;AQ$12,"",IF(T=AR$11,EXP(-IRTree!AQ27*h)*AQ93,EXP(-IRTree!AQ27*h)*((AR26+AR27)/2+AQ93))))</f>
        <v/>
      </c>
      <c r="AR26" s="3" t="str">
        <f>IF(T&lt;=AR$11,"",IF($A26&gt;AR$12,"",IF(T=AS$11,EXP(-IRTree!AR27*h)*AR93,EXP(-IRTree!AR27*h)*((AS26+AS27)/2+AR93))))</f>
        <v/>
      </c>
      <c r="AS26" s="3" t="str">
        <f>IF(T&lt;=AS$11,"",IF($A26&gt;AS$12,"",IF(T=AT$11,EXP(-IRTree!AS27*h)*AS93,EXP(-IRTree!AS27*h)*((AT26+AT27)/2+AS93))))</f>
        <v/>
      </c>
      <c r="AT26" s="3" t="str">
        <f>IF(T&lt;=AT$11,"",IF($A26&gt;AT$12,"",IF(T=AU$11,EXP(-IRTree!AT27*h)*AT93,EXP(-IRTree!AT27*h)*((AU26+AU27)/2+AT93))))</f>
        <v/>
      </c>
      <c r="AU26" s="3" t="str">
        <f>IF(T&lt;=AU$11,"",IF($A26&gt;AU$12,"",IF(T=AV$11,EXP(-IRTree!AU27*h)*AU93,EXP(-IRTree!AU27*h)*((AV26+AV27)/2+AU93))))</f>
        <v/>
      </c>
      <c r="AV26" s="3" t="str">
        <f>IF(T&lt;=AV$11,"",IF($A26&gt;AV$12,"",IF(T=AW$11,EXP(-IRTree!AV27*h)*AV93,EXP(-IRTree!AV27*h)*((AW26+AW27)/2+AV93))))</f>
        <v/>
      </c>
      <c r="AW26" s="3" t="str">
        <f>IF(T&lt;=AW$11,"",IF($A26&gt;AW$12,"",IF(T=AX$11,EXP(-IRTree!AW27*h)*AW93,EXP(-IRTree!AW27*h)*((AX26+AX27)/2+AW93))))</f>
        <v/>
      </c>
      <c r="AX26" s="3" t="str">
        <f>IF(T&lt;=AX$11,"",IF($A26&gt;AX$12,"",IF(T=AY$11,EXP(-IRTree!AX27*h)*AX93,EXP(-IRTree!AX27*h)*((AY26+AY27)/2+AX93))))</f>
        <v/>
      </c>
      <c r="AY26" s="3" t="str">
        <f>IF(T&lt;=AY$11,"",IF($A26&gt;AY$12,"",IF(T=AZ$11,EXP(-IRTree!AY27*h)*AY93,EXP(-IRTree!AY27*h)*((AZ26+AZ27)/2+AY93))))</f>
        <v/>
      </c>
      <c r="AZ26" s="3" t="str">
        <f>IF(T&lt;=AZ$11,"",IF($A26&gt;AZ$12,"",IF(T=BA$11,EXP(-IRTree!AZ27*h)*AZ93,EXP(-IRTree!AZ27*h)*((BA26+BA27)/2+AZ93))))</f>
        <v/>
      </c>
      <c r="BA26" s="3" t="str">
        <f>IF(T&lt;=BA$11,"",IF($A26&gt;BA$12,"",IF(T=BB$11,EXP(-IRTree!BA27*h)*BA93,EXP(-IRTree!BA27*h)*((BB26+BB27)/2+BA93))))</f>
        <v/>
      </c>
      <c r="BB26" s="3" t="str">
        <f>IF(T&lt;=BB$11,"",IF($A26&gt;BB$12,"",IF(T=BC$11,EXP(-IRTree!BB27*h)*BB93,EXP(-IRTree!BB27*h)*((BC26+BC27)/2+BB93))))</f>
        <v/>
      </c>
      <c r="BC26" s="3" t="str">
        <f>IF(T&lt;=BC$11,"",IF($A26&gt;BC$12,"",IF(T=BD$11,EXP(-IRTree!BC27*h)*BC93,EXP(-IRTree!BC27*h)*((BD26+BD27)/2+BC93))))</f>
        <v/>
      </c>
      <c r="BD26" s="3" t="str">
        <f>IF(T&lt;=BD$11,"",IF($A26&gt;BD$12,"",IF(T=BE$11,EXP(-IRTree!BD27*h)*BD93,EXP(-IRTree!BD27*h)*((BE26+BE27)/2+BD93))))</f>
        <v/>
      </c>
      <c r="BE26" s="3" t="str">
        <f>IF(T&lt;=BE$11,"",IF($A26&gt;BE$12,"",IF(T=BF$11,EXP(-IRTree!BE27*h)*BE93,EXP(-IRTree!BE27*h)*((BF26+BF27)/2+BE93))))</f>
        <v/>
      </c>
      <c r="BF26" s="3" t="str">
        <f>IF(T&lt;=BF$11,"",IF($A26&gt;BF$12,"",IF(T=BG$11,EXP(-IRTree!BF27*h)*BF93,EXP(-IRTree!BF27*h)*((BG26+BG27)/2+BF93))))</f>
        <v/>
      </c>
      <c r="BG26" s="3" t="str">
        <f>IF(T&lt;=BG$11,"",IF($A26&gt;BG$12,"",IF(T=BH$11,EXP(-IRTree!BG27*h)*BG93,EXP(-IRTree!BG27*h)*((BH26+BH27)/2+BG93))))</f>
        <v/>
      </c>
      <c r="BH26" s="3" t="str">
        <f>IF(T&lt;=BH$11,"",IF($A26&gt;BH$12,"",IF(T=BI$11,EXP(-IRTree!BH27*h)*BH93,EXP(-IRTree!BH27*h)*((BI26+BI27)/2+BH93))))</f>
        <v/>
      </c>
      <c r="BI26" s="3" t="str">
        <f>IF(T&lt;=BI$11,"",IF($A26&gt;BI$12,"",IF(T=BJ$11,EXP(-IRTree!BI27*h)*BI93,EXP(-IRTree!BI27*h)*((BJ26+BJ27)/2+BI93))))</f>
        <v/>
      </c>
      <c r="BJ26" s="3" t="str">
        <f>IF(T&lt;=BJ$11,"",IF($A26&gt;BJ$12,"",IF(T=BK$11,EXP(-IRTree!BJ27*h)*BJ93,EXP(-IRTree!BJ27*h)*((BK26+BK27)/2+BJ93))))</f>
        <v/>
      </c>
    </row>
    <row r="27" spans="1:62">
      <c r="A27" s="12">
        <f t="shared" si="2"/>
        <v>14</v>
      </c>
      <c r="B27" s="3" t="str">
        <f>IF(T&lt;=B$11,"",IF($A27&gt;B$12,"",IF(T=C$11,EXP(-IRTree!B28*h)*B94,EXP(-IRTree!B28*h)*((C27+C28)/2+B94))))</f>
        <v/>
      </c>
      <c r="C27" s="3" t="str">
        <f>IF(T&lt;=C$11,"",IF($A27&gt;C$12,"",IF(T=D$11,EXP(-IRTree!C28*h)*C94,EXP(-IRTree!C28*h)*((D27+D28)/2+C94))))</f>
        <v/>
      </c>
      <c r="D27" s="3" t="str">
        <f>IF(T&lt;=D$11,"",IF($A27&gt;D$12,"",IF(T=E$11,EXP(-IRTree!D28*h)*D94,EXP(-IRTree!D28*h)*((E27+E28)/2+D94))))</f>
        <v/>
      </c>
      <c r="E27" s="3" t="str">
        <f>IF(T&lt;=E$11,"",IF($A27&gt;E$12,"",IF(T=F$11,EXP(-IRTree!E28*h)*E94,EXP(-IRTree!E28*h)*((F27+F28)/2+E94))))</f>
        <v/>
      </c>
      <c r="F27" s="3" t="str">
        <f>IF(T&lt;=F$11,"",IF($A27&gt;F$12,"",IF(T=G$11,EXP(-IRTree!F28*h)*F94,EXP(-IRTree!F28*h)*((G27+G28)/2+F94))))</f>
        <v/>
      </c>
      <c r="G27" s="3" t="str">
        <f>IF(T&lt;=G$11,"",IF($A27&gt;G$12,"",IF(T=H$11,EXP(-IRTree!G28*h)*G94,EXP(-IRTree!G28*h)*((H27+H28)/2+G94))))</f>
        <v/>
      </c>
      <c r="H27" s="3" t="str">
        <f>IF(T&lt;=H$11,"",IF($A27&gt;H$12,"",IF(T=I$11,EXP(-IRTree!H28*h)*H94,EXP(-IRTree!H28*h)*((I27+I28)/2+H94))))</f>
        <v/>
      </c>
      <c r="I27" s="3" t="str">
        <f>IF(T&lt;=I$11,"",IF($A27&gt;I$12,"",IF(T=J$11,EXP(-IRTree!I28*h)*I94,EXP(-IRTree!I28*h)*((J27+J28)/2+I94))))</f>
        <v/>
      </c>
      <c r="J27" s="3" t="str">
        <f>IF(T&lt;=J$11,"",IF($A27&gt;J$12,"",IF(T=K$11,EXP(-IRTree!J28*h)*J94,EXP(-IRTree!J28*h)*((K27+K28)/2+J94))))</f>
        <v/>
      </c>
      <c r="K27" s="3" t="str">
        <f>IF(T&lt;=K$11,"",IF($A27&gt;K$12,"",IF(T=L$11,EXP(-IRTree!K28*h)*K94,EXP(-IRTree!K28*h)*((L27+L28)/2+K94))))</f>
        <v/>
      </c>
      <c r="L27" s="3" t="str">
        <f>IF(T&lt;=L$11,"",IF($A27&gt;L$12,"",IF(T=M$11,EXP(-IRTree!L28*h)*L94,EXP(-IRTree!L28*h)*((M27+M28)/2+L94))))</f>
        <v/>
      </c>
      <c r="M27" s="3" t="str">
        <f>IF(T&lt;=M$11,"",IF($A27&gt;M$12,"",IF(T=N$11,EXP(-IRTree!M28*h)*M94,EXP(-IRTree!M28*h)*((N27+N28)/2+M94))))</f>
        <v/>
      </c>
      <c r="N27" s="3" t="str">
        <f>IF(T&lt;=N$11,"",IF($A27&gt;N$12,"",IF(T=O$11,EXP(-IRTree!N28*h)*N94,EXP(-IRTree!N28*h)*((O27+O28)/2+N94))))</f>
        <v/>
      </c>
      <c r="O27" s="3" t="str">
        <f>IF(T&lt;=O$11,"",IF($A27&gt;O$12,"",IF(T=P$11,EXP(-IRTree!O28*h)*O94,EXP(-IRTree!O28*h)*((P27+P28)/2+O94))))</f>
        <v/>
      </c>
      <c r="P27" s="3">
        <f>IF(T&lt;=P$11,"",IF($A27&gt;P$12,"",IF(T=Q$11,EXP(-IRTree!P28*h)*P94,EXP(-IRTree!P28*h)*((Q27+Q28)/2+P94))))</f>
        <v>5.7150088891606702E-3</v>
      </c>
      <c r="Q27" s="3">
        <f>IF(T&lt;=Q$11,"",IF($A27&gt;Q$12,"",IF(T=R$11,EXP(-IRTree!Q28*h)*Q94,EXP(-IRTree!Q28*h)*((R27+R28)/2+Q94))))</f>
        <v>9.3131890447847952E-3</v>
      </c>
      <c r="R27" s="3">
        <f>IF(T&lt;=R$11,"",IF($A27&gt;R$12,"",IF(T=S$11,EXP(-IRTree!R28*h)*R94,EXP(-IRTree!R28*h)*((S27+S28)/2+R94))))</f>
        <v>1.5079895422734571E-2</v>
      </c>
      <c r="S27" s="3">
        <f>IF(T&lt;=S$11,"",IF($A27&gt;S$12,"",IF(T=T$11,EXP(-IRTree!S28*h)*S94,EXP(-IRTree!S28*h)*((T27+T28)/2+S94))))</f>
        <v>2.4261234107275081E-2</v>
      </c>
      <c r="T27" s="3">
        <f>IF(T&lt;=T$11,"",IF($A27&gt;T$12,"",IF(T=U$11,EXP(-IRTree!T28*h)*T94,EXP(-IRTree!T28*h)*((U27+U28)/2+T94))))</f>
        <v>3.8767925976108099E-2</v>
      </c>
      <c r="U27" s="3">
        <f>IF(T&lt;=U$11,"",IF($A27&gt;U$12,"",IF(T=V$11,EXP(-IRTree!U28*h)*U94,EXP(-IRTree!U28*h)*((V27+V28)/2+U94))))</f>
        <v>6.1512483587657159E-2</v>
      </c>
      <c r="V27" s="3">
        <f>IF(T&lt;=V$11,"",IF($A27&gt;V$12,"",IF(T=W$11,EXP(-IRTree!V28*h)*V94,EXP(-IRTree!V28*h)*((W27+W28)/2+V94))))</f>
        <v>9.6866630598445996E-2</v>
      </c>
      <c r="W27" s="3">
        <f>IF(T&lt;=W$11,"",IF($A27&gt;W$12,"",IF(T=X$11,EXP(-IRTree!W28*h)*W94,EXP(-IRTree!W28*h)*((X27+X28)/2+W94))))</f>
        <v>0.15134792813194245</v>
      </c>
      <c r="X27" s="3">
        <f>IF(T&lt;=X$11,"",IF($A27&gt;X$12,"",IF(T=Y$11,EXP(-IRTree!X28*h)*X94,EXP(-IRTree!X28*h)*((Y27+Y28)/2+X94))))</f>
        <v>0.23452500820048466</v>
      </c>
      <c r="Y27" s="3">
        <f>IF(T&lt;=Y$11,"",IF($A27&gt;Y$12,"",IF(T=Z$11,EXP(-IRTree!Y28*h)*Y94,EXP(-IRTree!Y28*h)*((Z27+Z28)/2+Y94))))</f>
        <v>0.36040699461234516</v>
      </c>
      <c r="Z27" s="3">
        <f>IF(T&lt;=Z$11,"",IF($A27&gt;Z$12,"",IF(T=AA$11,EXP(-IRTree!Z28*h)*Z94,EXP(-IRTree!Z28*h)*((AA27+AA28)/2+Z94))))</f>
        <v>0.54900061022593172</v>
      </c>
      <c r="AA27" s="3">
        <f>IF(T&lt;=AA$11,"",IF($A27&gt;AA$12,"",IF(T=AB$11,EXP(-IRTree!AA28*h)*AA94,EXP(-IRTree!AA28*h)*((AB27+AB28)/2+AA94))))</f>
        <v>0.8288865737637694</v>
      </c>
      <c r="AB27" s="3">
        <f>IF(T&lt;=AB$11,"",IF($A27&gt;AB$12,"",IF(T=AC$11,EXP(-IRTree!AB28*h)*AB94,EXP(-IRTree!AB28*h)*((AC27+AC28)/2+AB94))))</f>
        <v>1.240285087480349</v>
      </c>
      <c r="AC27" s="3">
        <f>IF(T&lt;=AC$11,"",IF($A27&gt;AC$12,"",IF(T=AD$11,EXP(-IRTree!AC28*h)*AC94,EXP(-IRTree!AC28*h)*((AD27+AD28)/2+AC94))))</f>
        <v>1.8391546259263725</v>
      </c>
      <c r="AD27" s="3">
        <f>IF(T&lt;=AD$11,"",IF($A27&gt;AD$12,"",IF(T=AE$11,EXP(-IRTree!AD28*h)*AD94,EXP(-IRTree!AD28*h)*((AE27+AE28)/2+AD94))))</f>
        <v>2.7033137172722803</v>
      </c>
      <c r="AE27" s="3">
        <f>IF(T&lt;=AE$11,"",IF($A27&gt;AE$12,"",IF(T=AF$11,EXP(-IRTree!AE28*h)*AE94,EXP(-IRTree!AE28*h)*((AF27+AF28)/2+AE94))))</f>
        <v>3.7475677401536838</v>
      </c>
      <c r="AF27" s="3">
        <f>IF(T&lt;=AF$11,"",IF($A27&gt;AF$12,"",IF(T=AG$11,EXP(-IRTree!AF28*h)*AF94,EXP(-IRTree!AF28*h)*((AG27+AG28)/2+AF94))))</f>
        <v>4.7965856182629292</v>
      </c>
      <c r="AG27" s="3">
        <f>IF(T&lt;=AG$11,"",IF($A27&gt;AG$12,"",IF(T=AH$11,EXP(-IRTree!AG28*h)*AG94,EXP(-IRTree!AG28*h)*((AH27+AH28)/2+AG94))))</f>
        <v>5.7263407420159016</v>
      </c>
      <c r="AH27" s="3">
        <f>IF(T&lt;=AH$11,"",IF($A27&gt;AH$12,"",IF(T=AI$11,EXP(-IRTree!AH28*h)*AH94,EXP(-IRTree!AH28*h)*((AI27+AI28)/2+AH94))))</f>
        <v>6.458092352359353</v>
      </c>
      <c r="AI27" s="3">
        <f>IF(T&lt;=AI$11,"",IF($A27&gt;AI$12,"",IF(T=AJ$11,EXP(-IRTree!AI28*h)*AI94,EXP(-IRTree!AI28*h)*((AJ27+AJ28)/2+AI94))))</f>
        <v>6.9358454483711762</v>
      </c>
      <c r="AJ27" s="3">
        <f>IF(T&lt;=AJ$11,"",IF($A27&gt;AJ$12,"",IF(T=AK$11,EXP(-IRTree!AJ28*h)*AJ94,EXP(-IRTree!AJ28*h)*((AK27+AK28)/2+AJ94))))</f>
        <v>7.1270980395981791</v>
      </c>
      <c r="AK27" s="3">
        <f>IF(T&lt;=AK$11,"",IF($A27&gt;AK$12,"",IF(T=AL$11,EXP(-IRTree!AK28*h)*AK94,EXP(-IRTree!AK28*h)*((AL27+AL28)/2+AK94))))</f>
        <v>6.9914435052374406</v>
      </c>
      <c r="AL27" s="3">
        <f>IF(T&lt;=AL$11,"",IF($A27&gt;AL$12,"",IF(T=AM$11,EXP(-IRTree!AL28*h)*AL94,EXP(-IRTree!AL28*h)*((AM27+AM28)/2+AL94))))</f>
        <v>6.4991841105716395</v>
      </c>
      <c r="AM27" s="3">
        <f>IF(T&lt;=AM$11,"",IF($A27&gt;AM$12,"",IF(T=AN$11,EXP(-IRTree!AM28*h)*AM94,EXP(-IRTree!AM28*h)*((AN27+AN28)/2+AM94))))</f>
        <v>5.5711337010427435</v>
      </c>
      <c r="AN27" s="3">
        <f>IF(T&lt;=AN$11,"",IF($A27&gt;AN$12,"",IF(T=AO$11,EXP(-IRTree!AN28*h)*AN94,EXP(-IRTree!AN28*h)*((AO27+AO28)/2+AN94))))</f>
        <v>4.2039407818147136</v>
      </c>
      <c r="AO27" s="3">
        <f>IF(T&lt;=AO$11,"",IF($A27&gt;AO$12,"",IF(T=AP$11,EXP(-IRTree!AO28*h)*AO94,EXP(-IRTree!AO28*h)*((AP27+AP28)/2+AO94))))</f>
        <v>2.3622917685251705</v>
      </c>
      <c r="AP27" s="3" t="str">
        <f>IF(T&lt;=AP$11,"",IF($A27&gt;AP$12,"",IF(T=AQ$11,EXP(-IRTree!AP28*h)*AP94,EXP(-IRTree!AP28*h)*((AQ27+AQ28)/2+AP94))))</f>
        <v/>
      </c>
      <c r="AQ27" s="3" t="str">
        <f>IF(T&lt;=AQ$11,"",IF($A27&gt;AQ$12,"",IF(T=AR$11,EXP(-IRTree!AQ28*h)*AQ94,EXP(-IRTree!AQ28*h)*((AR27+AR28)/2+AQ94))))</f>
        <v/>
      </c>
      <c r="AR27" s="3" t="str">
        <f>IF(T&lt;=AR$11,"",IF($A27&gt;AR$12,"",IF(T=AS$11,EXP(-IRTree!AR28*h)*AR94,EXP(-IRTree!AR28*h)*((AS27+AS28)/2+AR94))))</f>
        <v/>
      </c>
      <c r="AS27" s="3" t="str">
        <f>IF(T&lt;=AS$11,"",IF($A27&gt;AS$12,"",IF(T=AT$11,EXP(-IRTree!AS28*h)*AS94,EXP(-IRTree!AS28*h)*((AT27+AT28)/2+AS94))))</f>
        <v/>
      </c>
      <c r="AT27" s="3" t="str">
        <f>IF(T&lt;=AT$11,"",IF($A27&gt;AT$12,"",IF(T=AU$11,EXP(-IRTree!AT28*h)*AT94,EXP(-IRTree!AT28*h)*((AU27+AU28)/2+AT94))))</f>
        <v/>
      </c>
      <c r="AU27" s="3" t="str">
        <f>IF(T&lt;=AU$11,"",IF($A27&gt;AU$12,"",IF(T=AV$11,EXP(-IRTree!AU28*h)*AU94,EXP(-IRTree!AU28*h)*((AV27+AV28)/2+AU94))))</f>
        <v/>
      </c>
      <c r="AV27" s="3" t="str">
        <f>IF(T&lt;=AV$11,"",IF($A27&gt;AV$12,"",IF(T=AW$11,EXP(-IRTree!AV28*h)*AV94,EXP(-IRTree!AV28*h)*((AW27+AW28)/2+AV94))))</f>
        <v/>
      </c>
      <c r="AW27" s="3" t="str">
        <f>IF(T&lt;=AW$11,"",IF($A27&gt;AW$12,"",IF(T=AX$11,EXP(-IRTree!AW28*h)*AW94,EXP(-IRTree!AW28*h)*((AX27+AX28)/2+AW94))))</f>
        <v/>
      </c>
      <c r="AX27" s="3" t="str">
        <f>IF(T&lt;=AX$11,"",IF($A27&gt;AX$12,"",IF(T=AY$11,EXP(-IRTree!AX28*h)*AX94,EXP(-IRTree!AX28*h)*((AY27+AY28)/2+AX94))))</f>
        <v/>
      </c>
      <c r="AY27" s="3" t="str">
        <f>IF(T&lt;=AY$11,"",IF($A27&gt;AY$12,"",IF(T=AZ$11,EXP(-IRTree!AY28*h)*AY94,EXP(-IRTree!AY28*h)*((AZ27+AZ28)/2+AY94))))</f>
        <v/>
      </c>
      <c r="AZ27" s="3" t="str">
        <f>IF(T&lt;=AZ$11,"",IF($A27&gt;AZ$12,"",IF(T=BA$11,EXP(-IRTree!AZ28*h)*AZ94,EXP(-IRTree!AZ28*h)*((BA27+BA28)/2+AZ94))))</f>
        <v/>
      </c>
      <c r="BA27" s="3" t="str">
        <f>IF(T&lt;=BA$11,"",IF($A27&gt;BA$12,"",IF(T=BB$11,EXP(-IRTree!BA28*h)*BA94,EXP(-IRTree!BA28*h)*((BB27+BB28)/2+BA94))))</f>
        <v/>
      </c>
      <c r="BB27" s="3" t="str">
        <f>IF(T&lt;=BB$11,"",IF($A27&gt;BB$12,"",IF(T=BC$11,EXP(-IRTree!BB28*h)*BB94,EXP(-IRTree!BB28*h)*((BC27+BC28)/2+BB94))))</f>
        <v/>
      </c>
      <c r="BC27" s="3" t="str">
        <f>IF(T&lt;=BC$11,"",IF($A27&gt;BC$12,"",IF(T=BD$11,EXP(-IRTree!BC28*h)*BC94,EXP(-IRTree!BC28*h)*((BD27+BD28)/2+BC94))))</f>
        <v/>
      </c>
      <c r="BD27" s="3" t="str">
        <f>IF(T&lt;=BD$11,"",IF($A27&gt;BD$12,"",IF(T=BE$11,EXP(-IRTree!BD28*h)*BD94,EXP(-IRTree!BD28*h)*((BE27+BE28)/2+BD94))))</f>
        <v/>
      </c>
      <c r="BE27" s="3" t="str">
        <f>IF(T&lt;=BE$11,"",IF($A27&gt;BE$12,"",IF(T=BF$11,EXP(-IRTree!BE28*h)*BE94,EXP(-IRTree!BE28*h)*((BF27+BF28)/2+BE94))))</f>
        <v/>
      </c>
      <c r="BF27" s="3" t="str">
        <f>IF(T&lt;=BF$11,"",IF($A27&gt;BF$12,"",IF(T=BG$11,EXP(-IRTree!BF28*h)*BF94,EXP(-IRTree!BF28*h)*((BG27+BG28)/2+BF94))))</f>
        <v/>
      </c>
      <c r="BG27" s="3" t="str">
        <f>IF(T&lt;=BG$11,"",IF($A27&gt;BG$12,"",IF(T=BH$11,EXP(-IRTree!BG28*h)*BG94,EXP(-IRTree!BG28*h)*((BH27+BH28)/2+BG94))))</f>
        <v/>
      </c>
      <c r="BH27" s="3" t="str">
        <f>IF(T&lt;=BH$11,"",IF($A27&gt;BH$12,"",IF(T=BI$11,EXP(-IRTree!BH28*h)*BH94,EXP(-IRTree!BH28*h)*((BI27+BI28)/2+BH94))))</f>
        <v/>
      </c>
      <c r="BI27" s="3" t="str">
        <f>IF(T&lt;=BI$11,"",IF($A27&gt;BI$12,"",IF(T=BJ$11,EXP(-IRTree!BI28*h)*BI94,EXP(-IRTree!BI28*h)*((BJ27+BJ28)/2+BI94))))</f>
        <v/>
      </c>
      <c r="BJ27" s="3" t="str">
        <f>IF(T&lt;=BJ$11,"",IF($A27&gt;BJ$12,"",IF(T=BK$11,EXP(-IRTree!BJ28*h)*BJ94,EXP(-IRTree!BJ28*h)*((BK27+BK28)/2+BJ94))))</f>
        <v/>
      </c>
    </row>
    <row r="28" spans="1:62">
      <c r="A28" s="12">
        <f t="shared" si="2"/>
        <v>15</v>
      </c>
      <c r="B28" s="3" t="str">
        <f>IF(T&lt;=B$11,"",IF($A28&gt;B$12,"",IF(T=C$11,EXP(-IRTree!B29*h)*B95,EXP(-IRTree!B29*h)*((C28+C29)/2+B95))))</f>
        <v/>
      </c>
      <c r="C28" s="3" t="str">
        <f>IF(T&lt;=C$11,"",IF($A28&gt;C$12,"",IF(T=D$11,EXP(-IRTree!C29*h)*C95,EXP(-IRTree!C29*h)*((D28+D29)/2+C95))))</f>
        <v/>
      </c>
      <c r="D28" s="3" t="str">
        <f>IF(T&lt;=D$11,"",IF($A28&gt;D$12,"",IF(T=E$11,EXP(-IRTree!D29*h)*D95,EXP(-IRTree!D29*h)*((E28+E29)/2+D95))))</f>
        <v/>
      </c>
      <c r="E28" s="3" t="str">
        <f>IF(T&lt;=E$11,"",IF($A28&gt;E$12,"",IF(T=F$11,EXP(-IRTree!E29*h)*E95,EXP(-IRTree!E29*h)*((F28+F29)/2+E95))))</f>
        <v/>
      </c>
      <c r="F28" s="3" t="str">
        <f>IF(T&lt;=F$11,"",IF($A28&gt;F$12,"",IF(T=G$11,EXP(-IRTree!F29*h)*F95,EXP(-IRTree!F29*h)*((G28+G29)/2+F95))))</f>
        <v/>
      </c>
      <c r="G28" s="3" t="str">
        <f>IF(T&lt;=G$11,"",IF($A28&gt;G$12,"",IF(T=H$11,EXP(-IRTree!G29*h)*G95,EXP(-IRTree!G29*h)*((H28+H29)/2+G95))))</f>
        <v/>
      </c>
      <c r="H28" s="3" t="str">
        <f>IF(T&lt;=H$11,"",IF($A28&gt;H$12,"",IF(T=I$11,EXP(-IRTree!H29*h)*H95,EXP(-IRTree!H29*h)*((I28+I29)/2+H95))))</f>
        <v/>
      </c>
      <c r="I28" s="3" t="str">
        <f>IF(T&lt;=I$11,"",IF($A28&gt;I$12,"",IF(T=J$11,EXP(-IRTree!I29*h)*I95,EXP(-IRTree!I29*h)*((J28+J29)/2+I95))))</f>
        <v/>
      </c>
      <c r="J28" s="3" t="str">
        <f>IF(T&lt;=J$11,"",IF($A28&gt;J$12,"",IF(T=K$11,EXP(-IRTree!J29*h)*J95,EXP(-IRTree!J29*h)*((K28+K29)/2+J95))))</f>
        <v/>
      </c>
      <c r="K28" s="3" t="str">
        <f>IF(T&lt;=K$11,"",IF($A28&gt;K$12,"",IF(T=L$11,EXP(-IRTree!K29*h)*K95,EXP(-IRTree!K29*h)*((L28+L29)/2+K95))))</f>
        <v/>
      </c>
      <c r="L28" s="3" t="str">
        <f>IF(T&lt;=L$11,"",IF($A28&gt;L$12,"",IF(T=M$11,EXP(-IRTree!L29*h)*L95,EXP(-IRTree!L29*h)*((M28+M29)/2+L95))))</f>
        <v/>
      </c>
      <c r="M28" s="3" t="str">
        <f>IF(T&lt;=M$11,"",IF($A28&gt;M$12,"",IF(T=N$11,EXP(-IRTree!M29*h)*M95,EXP(-IRTree!M29*h)*((N28+N29)/2+M95))))</f>
        <v/>
      </c>
      <c r="N28" s="3" t="str">
        <f>IF(T&lt;=N$11,"",IF($A28&gt;N$12,"",IF(T=O$11,EXP(-IRTree!N29*h)*N95,EXP(-IRTree!N29*h)*((O28+O29)/2+N95))))</f>
        <v/>
      </c>
      <c r="O28" s="3" t="str">
        <f>IF(T&lt;=O$11,"",IF($A28&gt;O$12,"",IF(T=P$11,EXP(-IRTree!O29*h)*O95,EXP(-IRTree!O29*h)*((P28+P29)/2+O95))))</f>
        <v/>
      </c>
      <c r="P28" s="3" t="str">
        <f>IF(T&lt;=P$11,"",IF($A28&gt;P$12,"",IF(T=Q$11,EXP(-IRTree!P29*h)*P95,EXP(-IRTree!P29*h)*((Q28+Q29)/2+P95))))</f>
        <v/>
      </c>
      <c r="Q28" s="3">
        <f>IF(T&lt;=Q$11,"",IF($A28&gt;Q$12,"",IF(T=R$11,EXP(-IRTree!Q29*h)*Q95,EXP(-IRTree!Q29*h)*((R28+R29)/2+Q95))))</f>
        <v>2.133463095845208E-3</v>
      </c>
      <c r="R28" s="3">
        <f>IF(T&lt;=R$11,"",IF($A28&gt;R$12,"",IF(T=S$11,EXP(-IRTree!R29*h)*R95,EXP(-IRTree!R29*h)*((S28+S29)/2+R95))))</f>
        <v>3.576180146560963E-3</v>
      </c>
      <c r="S28" s="3">
        <f>IF(T&lt;=S$11,"",IF($A28&gt;S$12,"",IF(T=T$11,EXP(-IRTree!S29*h)*S95,EXP(-IRTree!S29*h)*((T28+T29)/2+S95))))</f>
        <v>5.9610269594260745E-3</v>
      </c>
      <c r="T28" s="3">
        <f>IF(T&lt;=T$11,"",IF($A28&gt;T$12,"",IF(T=U$11,EXP(-IRTree!T29*h)*T95,EXP(-IRTree!T29*h)*((U28+U29)/2+T95))))</f>
        <v>9.8769335968023411E-3</v>
      </c>
      <c r="U28" s="3">
        <f>IF(T&lt;=U$11,"",IF($A28&gt;U$12,"",IF(T=V$11,EXP(-IRTree!U29*h)*U95,EXP(-IRTree!U29*h)*((V28+V29)/2+U95))))</f>
        <v>1.6262863968391449E-2</v>
      </c>
      <c r="V28" s="3">
        <f>IF(T&lt;=V$11,"",IF($A28&gt;V$12,"",IF(T=W$11,EXP(-IRTree!V29*h)*V95,EXP(-IRTree!V29*h)*((W28+W29)/2+V95))))</f>
        <v>2.6596489870567935E-2</v>
      </c>
      <c r="W28" s="3">
        <f>IF(T&lt;=W$11,"",IF($A28&gt;W$12,"",IF(T=X$11,EXP(-IRTree!W29*h)*W95,EXP(-IRTree!W29*h)*((X28+X29)/2+W95))))</f>
        <v>4.3186283447157581E-2</v>
      </c>
      <c r="X28" s="3">
        <f>IF(T&lt;=X$11,"",IF($A28&gt;X$12,"",IF(T=Y$11,EXP(-IRTree!X29*h)*X95,EXP(-IRTree!X29*h)*((Y28+Y29)/2+X95))))</f>
        <v>6.9588956778090946E-2</v>
      </c>
      <c r="Y28" s="3">
        <f>IF(T&lt;=Y$11,"",IF($A28&gt;Y$12,"",IF(T=Z$11,EXP(-IRTree!Y29*h)*Y95,EXP(-IRTree!Y29*h)*((Z28+Z29)/2+Y95))))</f>
        <v>0.11125616149484681</v>
      </c>
      <c r="Z28" s="3">
        <f>IF(T&lt;=Z$11,"",IF($A28&gt;Z$12,"",IF(T=AA$11,EXP(-IRTree!Z29*h)*Z95,EXP(-IRTree!Z29*h)*((AA28+AA29)/2+Z95))))</f>
        <v>0.17636011874964685</v>
      </c>
      <c r="AA28" s="3">
        <f>IF(T&lt;=AA$11,"",IF($A28&gt;AA$12,"",IF(T=AB$11,EXP(-IRTree!AA29*h)*AA95,EXP(-IRTree!AA29*h)*((AB28+AB29)/2+AA95))))</f>
        <v>0.2770914789306374</v>
      </c>
      <c r="AB28" s="3">
        <f>IF(T&lt;=AB$11,"",IF($A28&gt;AB$12,"",IF(T=AC$11,EXP(-IRTree!AB29*h)*AB95,EXP(-IRTree!AB29*h)*((AC28+AC29)/2+AB95))))</f>
        <v>0.43132902908719922</v>
      </c>
      <c r="AC28" s="3">
        <f>IF(T&lt;=AC$11,"",IF($A28&gt;AC$12,"",IF(T=AD$11,EXP(-IRTree!AC29*h)*AC95,EXP(-IRTree!AC29*h)*((AD28+AD29)/2+AC95))))</f>
        <v>0.66486411769594012</v>
      </c>
      <c r="AD28" s="3">
        <f>IF(T&lt;=AD$11,"",IF($A28&gt;AD$12,"",IF(T=AE$11,EXP(-IRTree!AD29*h)*AD95,EXP(-IRTree!AD29*h)*((AE28+AE29)/2+AD95))))</f>
        <v>1.0145893767212044</v>
      </c>
      <c r="AE28" s="3">
        <f>IF(T&lt;=AE$11,"",IF($A28&gt;AE$12,"",IF(T=AF$11,EXP(-IRTree!AE29*h)*AE95,EXP(-IRTree!AE29*h)*((AF28+AF29)/2+AE95))))</f>
        <v>1.5325242984632621</v>
      </c>
      <c r="AF28" s="3">
        <f>IF(T&lt;=AF$11,"",IF($A28&gt;AF$12,"",IF(T=AG$11,EXP(-IRTree!AF29*h)*AF95,EXP(-IRTree!AF29*h)*((AG28+AG29)/2+AF95))))</f>
        <v>2.2913890590216943</v>
      </c>
      <c r="AG28" s="3">
        <f>IF(T&lt;=AG$11,"",IF($A28&gt;AG$12,"",IF(T=AH$11,EXP(-IRTree!AG29*h)*AG95,EXP(-IRTree!AG29*h)*((AH28+AH29)/2+AG95))))</f>
        <v>3.1537235814579123</v>
      </c>
      <c r="AH28" s="3">
        <f>IF(T&lt;=AH$11,"",IF($A28&gt;AH$12,"",IF(T=AI$11,EXP(-IRTree!AH29*h)*AH95,EXP(-IRTree!AH29*h)*((AI28+AI29)/2+AH95))))</f>
        <v>3.9417239206240882</v>
      </c>
      <c r="AI28" s="3">
        <f>IF(T&lt;=AI$11,"",IF($A28&gt;AI$12,"",IF(T=AJ$11,EXP(-IRTree!AI29*h)*AI95,EXP(-IRTree!AI29*h)*((AJ28+AJ29)/2+AI95))))</f>
        <v>4.5515389723834883</v>
      </c>
      <c r="AJ28" s="3">
        <f>IF(T&lt;=AJ$11,"",IF($A28&gt;AJ$12,"",IF(T=AK$11,EXP(-IRTree!AJ29*h)*AJ95,EXP(-IRTree!AJ29*h)*((AK28+AK29)/2+AJ95))))</f>
        <v>4.9204990426185633</v>
      </c>
      <c r="AK28" s="3">
        <f>IF(T&lt;=AK$11,"",IF($A28&gt;AK$12,"",IF(T=AL$11,EXP(-IRTree!AK29*h)*AK95,EXP(-IRTree!AK29*h)*((AL28+AL29)/2+AK95))))</f>
        <v>5.0097170092938104</v>
      </c>
      <c r="AL28" s="3">
        <f>IF(T&lt;=AL$11,"",IF($A28&gt;AL$12,"",IF(T=AM$11,EXP(-IRTree!AL29*h)*AL95,EXP(-IRTree!AL29*h)*((AM28+AM29)/2+AL95))))</f>
        <v>4.7886321198936903</v>
      </c>
      <c r="AM28" s="3">
        <f>IF(T&lt;=AM$11,"",IF($A28&gt;AM$12,"",IF(T=AN$11,EXP(-IRTree!AM29*h)*AM95,EXP(-IRTree!AM29*h)*((AN28+AN29)/2+AM95))))</f>
        <v>4.2004168692155268</v>
      </c>
      <c r="AN28" s="3">
        <f>IF(T&lt;=AN$11,"",IF($A28&gt;AN$12,"",IF(T=AO$11,EXP(-IRTree!AN29*h)*AN95,EXP(-IRTree!AN29*h)*((AO28+AO29)/2+AN95))))</f>
        <v>3.2280908184154686</v>
      </c>
      <c r="AO28" s="3">
        <f>IF(T&lt;=AO$11,"",IF($A28&gt;AO$12,"",IF(T=AP$11,EXP(-IRTree!AO29*h)*AO95,EXP(-IRTree!AO29*h)*((AP28+AP29)/2+AO95))))</f>
        <v>1.8408120311160803</v>
      </c>
      <c r="AP28" s="3" t="str">
        <f>IF(T&lt;=AP$11,"",IF($A28&gt;AP$12,"",IF(T=AQ$11,EXP(-IRTree!AP29*h)*AP95,EXP(-IRTree!AP29*h)*((AQ28+AQ29)/2+AP95))))</f>
        <v/>
      </c>
      <c r="AQ28" s="3" t="str">
        <f>IF(T&lt;=AQ$11,"",IF($A28&gt;AQ$12,"",IF(T=AR$11,EXP(-IRTree!AQ29*h)*AQ95,EXP(-IRTree!AQ29*h)*((AR28+AR29)/2+AQ95))))</f>
        <v/>
      </c>
      <c r="AR28" s="3" t="str">
        <f>IF(T&lt;=AR$11,"",IF($A28&gt;AR$12,"",IF(T=AS$11,EXP(-IRTree!AR29*h)*AR95,EXP(-IRTree!AR29*h)*((AS28+AS29)/2+AR95))))</f>
        <v/>
      </c>
      <c r="AS28" s="3" t="str">
        <f>IF(T&lt;=AS$11,"",IF($A28&gt;AS$12,"",IF(T=AT$11,EXP(-IRTree!AS29*h)*AS95,EXP(-IRTree!AS29*h)*((AT28+AT29)/2+AS95))))</f>
        <v/>
      </c>
      <c r="AT28" s="3" t="str">
        <f>IF(T&lt;=AT$11,"",IF($A28&gt;AT$12,"",IF(T=AU$11,EXP(-IRTree!AT29*h)*AT95,EXP(-IRTree!AT29*h)*((AU28+AU29)/2+AT95))))</f>
        <v/>
      </c>
      <c r="AU28" s="3" t="str">
        <f>IF(T&lt;=AU$11,"",IF($A28&gt;AU$12,"",IF(T=AV$11,EXP(-IRTree!AU29*h)*AU95,EXP(-IRTree!AU29*h)*((AV28+AV29)/2+AU95))))</f>
        <v/>
      </c>
      <c r="AV28" s="3" t="str">
        <f>IF(T&lt;=AV$11,"",IF($A28&gt;AV$12,"",IF(T=AW$11,EXP(-IRTree!AV29*h)*AV95,EXP(-IRTree!AV29*h)*((AW28+AW29)/2+AV95))))</f>
        <v/>
      </c>
      <c r="AW28" s="3" t="str">
        <f>IF(T&lt;=AW$11,"",IF($A28&gt;AW$12,"",IF(T=AX$11,EXP(-IRTree!AW29*h)*AW95,EXP(-IRTree!AW29*h)*((AX28+AX29)/2+AW95))))</f>
        <v/>
      </c>
      <c r="AX28" s="3" t="str">
        <f>IF(T&lt;=AX$11,"",IF($A28&gt;AX$12,"",IF(T=AY$11,EXP(-IRTree!AX29*h)*AX95,EXP(-IRTree!AX29*h)*((AY28+AY29)/2+AX95))))</f>
        <v/>
      </c>
      <c r="AY28" s="3" t="str">
        <f>IF(T&lt;=AY$11,"",IF($A28&gt;AY$12,"",IF(T=AZ$11,EXP(-IRTree!AY29*h)*AY95,EXP(-IRTree!AY29*h)*((AZ28+AZ29)/2+AY95))))</f>
        <v/>
      </c>
      <c r="AZ28" s="3" t="str">
        <f>IF(T&lt;=AZ$11,"",IF($A28&gt;AZ$12,"",IF(T=BA$11,EXP(-IRTree!AZ29*h)*AZ95,EXP(-IRTree!AZ29*h)*((BA28+BA29)/2+AZ95))))</f>
        <v/>
      </c>
      <c r="BA28" s="3" t="str">
        <f>IF(T&lt;=BA$11,"",IF($A28&gt;BA$12,"",IF(T=BB$11,EXP(-IRTree!BA29*h)*BA95,EXP(-IRTree!BA29*h)*((BB28+BB29)/2+BA95))))</f>
        <v/>
      </c>
      <c r="BB28" s="3" t="str">
        <f>IF(T&lt;=BB$11,"",IF($A28&gt;BB$12,"",IF(T=BC$11,EXP(-IRTree!BB29*h)*BB95,EXP(-IRTree!BB29*h)*((BC28+BC29)/2+BB95))))</f>
        <v/>
      </c>
      <c r="BC28" s="3" t="str">
        <f>IF(T&lt;=BC$11,"",IF($A28&gt;BC$12,"",IF(T=BD$11,EXP(-IRTree!BC29*h)*BC95,EXP(-IRTree!BC29*h)*((BD28+BD29)/2+BC95))))</f>
        <v/>
      </c>
      <c r="BD28" s="3" t="str">
        <f>IF(T&lt;=BD$11,"",IF($A28&gt;BD$12,"",IF(T=BE$11,EXP(-IRTree!BD29*h)*BD95,EXP(-IRTree!BD29*h)*((BE28+BE29)/2+BD95))))</f>
        <v/>
      </c>
      <c r="BE28" s="3" t="str">
        <f>IF(T&lt;=BE$11,"",IF($A28&gt;BE$12,"",IF(T=BF$11,EXP(-IRTree!BE29*h)*BE95,EXP(-IRTree!BE29*h)*((BF28+BF29)/2+BE95))))</f>
        <v/>
      </c>
      <c r="BF28" s="3" t="str">
        <f>IF(T&lt;=BF$11,"",IF($A28&gt;BF$12,"",IF(T=BG$11,EXP(-IRTree!BF29*h)*BF95,EXP(-IRTree!BF29*h)*((BG28+BG29)/2+BF95))))</f>
        <v/>
      </c>
      <c r="BG28" s="3" t="str">
        <f>IF(T&lt;=BG$11,"",IF($A28&gt;BG$12,"",IF(T=BH$11,EXP(-IRTree!BG29*h)*BG95,EXP(-IRTree!BG29*h)*((BH28+BH29)/2+BG95))))</f>
        <v/>
      </c>
      <c r="BH28" s="3" t="str">
        <f>IF(T&lt;=BH$11,"",IF($A28&gt;BH$12,"",IF(T=BI$11,EXP(-IRTree!BH29*h)*BH95,EXP(-IRTree!BH29*h)*((BI28+BI29)/2+BH95))))</f>
        <v/>
      </c>
      <c r="BI28" s="3" t="str">
        <f>IF(T&lt;=BI$11,"",IF($A28&gt;BI$12,"",IF(T=BJ$11,EXP(-IRTree!BI29*h)*BI95,EXP(-IRTree!BI29*h)*((BJ28+BJ29)/2+BI95))))</f>
        <v/>
      </c>
      <c r="BJ28" s="3" t="str">
        <f>IF(T&lt;=BJ$11,"",IF($A28&gt;BJ$12,"",IF(T=BK$11,EXP(-IRTree!BJ29*h)*BJ95,EXP(-IRTree!BJ29*h)*((BK28+BK29)/2+BJ95))))</f>
        <v/>
      </c>
    </row>
    <row r="29" spans="1:62">
      <c r="A29" s="12">
        <f t="shared" si="2"/>
        <v>16</v>
      </c>
      <c r="B29" s="3" t="str">
        <f>IF(T&lt;=B$11,"",IF($A29&gt;B$12,"",IF(T=C$11,EXP(-IRTree!B30*h)*B96,EXP(-IRTree!B30*h)*((C29+C30)/2+B96))))</f>
        <v/>
      </c>
      <c r="C29" s="3" t="str">
        <f>IF(T&lt;=C$11,"",IF($A29&gt;C$12,"",IF(T=D$11,EXP(-IRTree!C30*h)*C96,EXP(-IRTree!C30*h)*((D29+D30)/2+C96))))</f>
        <v/>
      </c>
      <c r="D29" s="3" t="str">
        <f>IF(T&lt;=D$11,"",IF($A29&gt;D$12,"",IF(T=E$11,EXP(-IRTree!D30*h)*D96,EXP(-IRTree!D30*h)*((E29+E30)/2+D96))))</f>
        <v/>
      </c>
      <c r="E29" s="3" t="str">
        <f>IF(T&lt;=E$11,"",IF($A29&gt;E$12,"",IF(T=F$11,EXP(-IRTree!E30*h)*E96,EXP(-IRTree!E30*h)*((F29+F30)/2+E96))))</f>
        <v/>
      </c>
      <c r="F29" s="3" t="str">
        <f>IF(T&lt;=F$11,"",IF($A29&gt;F$12,"",IF(T=G$11,EXP(-IRTree!F30*h)*F96,EXP(-IRTree!F30*h)*((G29+G30)/2+F96))))</f>
        <v/>
      </c>
      <c r="G29" s="3" t="str">
        <f>IF(T&lt;=G$11,"",IF($A29&gt;G$12,"",IF(T=H$11,EXP(-IRTree!G30*h)*G96,EXP(-IRTree!G30*h)*((H29+H30)/2+G96))))</f>
        <v/>
      </c>
      <c r="H29" s="3" t="str">
        <f>IF(T&lt;=H$11,"",IF($A29&gt;H$12,"",IF(T=I$11,EXP(-IRTree!H30*h)*H96,EXP(-IRTree!H30*h)*((I29+I30)/2+H96))))</f>
        <v/>
      </c>
      <c r="I29" s="3" t="str">
        <f>IF(T&lt;=I$11,"",IF($A29&gt;I$12,"",IF(T=J$11,EXP(-IRTree!I30*h)*I96,EXP(-IRTree!I30*h)*((J29+J30)/2+I96))))</f>
        <v/>
      </c>
      <c r="J29" s="3" t="str">
        <f>IF(T&lt;=J$11,"",IF($A29&gt;J$12,"",IF(T=K$11,EXP(-IRTree!J30*h)*J96,EXP(-IRTree!J30*h)*((K29+K30)/2+J96))))</f>
        <v/>
      </c>
      <c r="K29" s="3" t="str">
        <f>IF(T&lt;=K$11,"",IF($A29&gt;K$12,"",IF(T=L$11,EXP(-IRTree!K30*h)*K96,EXP(-IRTree!K30*h)*((L29+L30)/2+K96))))</f>
        <v/>
      </c>
      <c r="L29" s="3" t="str">
        <f>IF(T&lt;=L$11,"",IF($A29&gt;L$12,"",IF(T=M$11,EXP(-IRTree!L30*h)*L96,EXP(-IRTree!L30*h)*((M29+M30)/2+L96))))</f>
        <v/>
      </c>
      <c r="M29" s="3" t="str">
        <f>IF(T&lt;=M$11,"",IF($A29&gt;M$12,"",IF(T=N$11,EXP(-IRTree!M30*h)*M96,EXP(-IRTree!M30*h)*((N29+N30)/2+M96))))</f>
        <v/>
      </c>
      <c r="N29" s="3" t="str">
        <f>IF(T&lt;=N$11,"",IF($A29&gt;N$12,"",IF(T=O$11,EXP(-IRTree!N30*h)*N96,EXP(-IRTree!N30*h)*((O29+O30)/2+N96))))</f>
        <v/>
      </c>
      <c r="O29" s="3" t="str">
        <f>IF(T&lt;=O$11,"",IF($A29&gt;O$12,"",IF(T=P$11,EXP(-IRTree!O30*h)*O96,EXP(-IRTree!O30*h)*((P29+P30)/2+O96))))</f>
        <v/>
      </c>
      <c r="P29" s="3" t="str">
        <f>IF(T&lt;=P$11,"",IF($A29&gt;P$12,"",IF(T=Q$11,EXP(-IRTree!P30*h)*P96,EXP(-IRTree!P30*h)*((Q29+Q30)/2+P96))))</f>
        <v/>
      </c>
      <c r="Q29" s="3" t="str">
        <f>IF(T&lt;=Q$11,"",IF($A29&gt;Q$12,"",IF(T=R$11,EXP(-IRTree!Q30*h)*Q96,EXP(-IRTree!Q30*h)*((R29+R30)/2+Q96))))</f>
        <v/>
      </c>
      <c r="R29" s="3">
        <f>IF(T&lt;=R$11,"",IF($A29&gt;R$12,"",IF(T=S$11,EXP(-IRTree!R30*h)*R96,EXP(-IRTree!R30*h)*((S29+S30)/2+R96))))</f>
        <v>6.9587704712112863E-4</v>
      </c>
      <c r="S29" s="3">
        <f>IF(T&lt;=S$11,"",IF($A29&gt;S$12,"",IF(T=T$11,EXP(-IRTree!S30*h)*S96,EXP(-IRTree!S30*h)*((T29+T30)/2+S96))))</f>
        <v>1.2026737804294683E-3</v>
      </c>
      <c r="T29" s="3">
        <f>IF(T&lt;=T$11,"",IF($A29&gt;T$12,"",IF(T=U$11,EXP(-IRTree!T30*h)*T96,EXP(-IRTree!T30*h)*((U29+U30)/2+T96))))</f>
        <v>2.0683071043651651E-3</v>
      </c>
      <c r="U29" s="3">
        <f>IF(T&lt;=U$11,"",IF($A29&gt;U$12,"",IF(T=V$11,EXP(-IRTree!U30*h)*U96,EXP(-IRTree!U30*h)*((V29+V30)/2+U96))))</f>
        <v>3.5385050009839993E-3</v>
      </c>
      <c r="V29" s="3">
        <f>IF(T&lt;=V$11,"",IF($A29&gt;V$12,"",IF(T=W$11,EXP(-IRTree!V30*h)*V96,EXP(-IRTree!V30*h)*((W29+W30)/2+V96))))</f>
        <v>6.0194846902852884E-3</v>
      </c>
      <c r="W29" s="3">
        <f>IF(T&lt;=W$11,"",IF($A29&gt;W$12,"",IF(T=X$11,EXP(-IRTree!W30*h)*W96,EXP(-IRTree!W30*h)*((X29+X30)/2+W96))))</f>
        <v>1.0178450919889816E-2</v>
      </c>
      <c r="X29" s="3">
        <f>IF(T&lt;=X$11,"",IF($A29&gt;X$12,"",IF(T=Y$11,EXP(-IRTree!X30*h)*X96,EXP(-IRTree!X30*h)*((Y29+Y30)/2+X96))))</f>
        <v>1.7099009162537305E-2</v>
      </c>
      <c r="Y29" s="3">
        <f>IF(T&lt;=Y$11,"",IF($A29&gt;Y$12,"",IF(T=Z$11,EXP(-IRTree!Y30*h)*Y96,EXP(-IRTree!Y30*h)*((Z29+Z30)/2+Y96))))</f>
        <v>2.8531799472878858E-2</v>
      </c>
      <c r="Z29" s="3">
        <f>IF(T&lt;=Z$11,"",IF($A29&gt;Z$12,"",IF(T=AA$11,EXP(-IRTree!Z30*h)*Z96,EXP(-IRTree!Z30*h)*((AA29+AA30)/2+Z96))))</f>
        <v>4.7254935329624138E-2</v>
      </c>
      <c r="AA29" s="3">
        <f>IF(T&lt;=AA$11,"",IF($A29&gt;AA$12,"",IF(T=AB$11,EXP(-IRTree!AA30*h)*AA96,EXP(-IRTree!AA30*h)*((AB29+AB30)/2+AA96))))</f>
        <v>7.7649476129791589E-2</v>
      </c>
      <c r="AB29" s="3">
        <f>IF(T&lt;=AB$11,"",IF($A29&gt;AB$12,"",IF(T=AC$11,EXP(-IRTree!AB30*h)*AB96,EXP(-IRTree!AB30*h)*((AC29+AC30)/2+AB96))))</f>
        <v>0.12651876386545877</v>
      </c>
      <c r="AC29" s="3">
        <f>IF(T&lt;=AC$11,"",IF($A29&gt;AC$12,"",IF(T=AD$11,EXP(-IRTree!AC30*h)*AC96,EXP(-IRTree!AC30*h)*((AD29+AD30)/2+AC96))))</f>
        <v>0.20425129727542587</v>
      </c>
      <c r="AD29" s="3">
        <f>IF(T&lt;=AD$11,"",IF($A29&gt;AD$12,"",IF(T=AE$11,EXP(-IRTree!AD30*h)*AD96,EXP(-IRTree!AD30*h)*((AE29+AE30)/2+AD96))))</f>
        <v>0.32650921022381135</v>
      </c>
      <c r="AE29" s="3">
        <f>IF(T&lt;=AE$11,"",IF($A29&gt;AE$12,"",IF(T=AF$11,EXP(-IRTree!AE30*h)*AE96,EXP(-IRTree!AE30*h)*((AF29+AF30)/2+AE96))))</f>
        <v>0.51643339926601839</v>
      </c>
      <c r="AF29" s="3">
        <f>IF(T&lt;=AF$11,"",IF($A29&gt;AF$12,"",IF(T=AG$11,EXP(-IRTree!AF30*h)*AF96,EXP(-IRTree!AF30*h)*((AG29+AG30)/2+AF96))))</f>
        <v>0.8074851941295027</v>
      </c>
      <c r="AG29" s="3">
        <f>IF(T&lt;=AG$11,"",IF($A29&gt;AG$12,"",IF(T=AH$11,EXP(-IRTree!AG30*h)*AG96,EXP(-IRTree!AG30*h)*((AH29+AH30)/2+AG96))))</f>
        <v>1.246962157719786</v>
      </c>
      <c r="AH29" s="3">
        <f>IF(T&lt;=AH$11,"",IF($A29&gt;AH$12,"",IF(T=AI$11,EXP(-IRTree!AH30*h)*AH96,EXP(-IRTree!AH30*h)*((AI29+AI30)/2+AH96))))</f>
        <v>1.8924501502052946</v>
      </c>
      <c r="AI29" s="3">
        <f>IF(T&lt;=AI$11,"",IF($A29&gt;AI$12,"",IF(T=AJ$11,EXP(-IRTree!AI30*h)*AI96,EXP(-IRTree!AI30*h)*((AJ29+AJ30)/2+AI96))))</f>
        <v>2.5436029578797879</v>
      </c>
      <c r="AJ29" s="3">
        <f>IF(T&lt;=AJ$11,"",IF($A29&gt;AJ$12,"",IF(T=AK$11,EXP(-IRTree!AJ30*h)*AJ96,EXP(-IRTree!AJ30*h)*((AK29+AK30)/2+AJ96))))</f>
        <v>3.0472938401033187</v>
      </c>
      <c r="AK29" s="3">
        <f>IF(T&lt;=AK$11,"",IF($A29&gt;AK$12,"",IF(T=AL$11,EXP(-IRTree!AK30*h)*AK96,EXP(-IRTree!AK30*h)*((AL29+AL30)/2+AK96))))</f>
        <v>3.3247782759173634</v>
      </c>
      <c r="AL29" s="3">
        <f>IF(T&lt;=AL$11,"",IF($A29&gt;AL$12,"",IF(T=AM$11,EXP(-IRTree!AL30*h)*AL96,EXP(-IRTree!AL30*h)*((AM29+AM30)/2+AL96))))</f>
        <v>3.3333445657799232</v>
      </c>
      <c r="AM29" s="3">
        <f>IF(T&lt;=AM$11,"",IF($A29&gt;AM$12,"",IF(T=AN$11,EXP(-IRTree!AM30*h)*AM96,EXP(-IRTree!AM30*h)*((AN29+AN30)/2+AM96))))</f>
        <v>3.0327179903074089</v>
      </c>
      <c r="AN29" s="3">
        <f>IF(T&lt;=AN$11,"",IF($A29&gt;AN$12,"",IF(T=AO$11,EXP(-IRTree!AN30*h)*AN96,EXP(-IRTree!AN30*h)*((AO29+AO30)/2+AN96))))</f>
        <v>2.3962088916728601</v>
      </c>
      <c r="AO29" s="3">
        <f>IF(T&lt;=AO$11,"",IF($A29&gt;AO$12,"",IF(T=AP$11,EXP(-IRTree!AO30*h)*AO96,EXP(-IRTree!AO30*h)*((AP29+AP30)/2+AO96))))</f>
        <v>1.3962755283917507</v>
      </c>
      <c r="AP29" s="3" t="str">
        <f>IF(T&lt;=AP$11,"",IF($A29&gt;AP$12,"",IF(T=AQ$11,EXP(-IRTree!AP30*h)*AP96,EXP(-IRTree!AP30*h)*((AQ29+AQ30)/2+AP96))))</f>
        <v/>
      </c>
      <c r="AQ29" s="3" t="str">
        <f>IF(T&lt;=AQ$11,"",IF($A29&gt;AQ$12,"",IF(T=AR$11,EXP(-IRTree!AQ30*h)*AQ96,EXP(-IRTree!AQ30*h)*((AR29+AR30)/2+AQ96))))</f>
        <v/>
      </c>
      <c r="AR29" s="3" t="str">
        <f>IF(T&lt;=AR$11,"",IF($A29&gt;AR$12,"",IF(T=AS$11,EXP(-IRTree!AR30*h)*AR96,EXP(-IRTree!AR30*h)*((AS29+AS30)/2+AR96))))</f>
        <v/>
      </c>
      <c r="AS29" s="3" t="str">
        <f>IF(T&lt;=AS$11,"",IF($A29&gt;AS$12,"",IF(T=AT$11,EXP(-IRTree!AS30*h)*AS96,EXP(-IRTree!AS30*h)*((AT29+AT30)/2+AS96))))</f>
        <v/>
      </c>
      <c r="AT29" s="3" t="str">
        <f>IF(T&lt;=AT$11,"",IF($A29&gt;AT$12,"",IF(T=AU$11,EXP(-IRTree!AT30*h)*AT96,EXP(-IRTree!AT30*h)*((AU29+AU30)/2+AT96))))</f>
        <v/>
      </c>
      <c r="AU29" s="3" t="str">
        <f>IF(T&lt;=AU$11,"",IF($A29&gt;AU$12,"",IF(T=AV$11,EXP(-IRTree!AU30*h)*AU96,EXP(-IRTree!AU30*h)*((AV29+AV30)/2+AU96))))</f>
        <v/>
      </c>
      <c r="AV29" s="3" t="str">
        <f>IF(T&lt;=AV$11,"",IF($A29&gt;AV$12,"",IF(T=AW$11,EXP(-IRTree!AV30*h)*AV96,EXP(-IRTree!AV30*h)*((AW29+AW30)/2+AV96))))</f>
        <v/>
      </c>
      <c r="AW29" s="3" t="str">
        <f>IF(T&lt;=AW$11,"",IF($A29&gt;AW$12,"",IF(T=AX$11,EXP(-IRTree!AW30*h)*AW96,EXP(-IRTree!AW30*h)*((AX29+AX30)/2+AW96))))</f>
        <v/>
      </c>
      <c r="AX29" s="3" t="str">
        <f>IF(T&lt;=AX$11,"",IF($A29&gt;AX$12,"",IF(T=AY$11,EXP(-IRTree!AX30*h)*AX96,EXP(-IRTree!AX30*h)*((AY29+AY30)/2+AX96))))</f>
        <v/>
      </c>
      <c r="AY29" s="3" t="str">
        <f>IF(T&lt;=AY$11,"",IF($A29&gt;AY$12,"",IF(T=AZ$11,EXP(-IRTree!AY30*h)*AY96,EXP(-IRTree!AY30*h)*((AZ29+AZ30)/2+AY96))))</f>
        <v/>
      </c>
      <c r="AZ29" s="3" t="str">
        <f>IF(T&lt;=AZ$11,"",IF($A29&gt;AZ$12,"",IF(T=BA$11,EXP(-IRTree!AZ30*h)*AZ96,EXP(-IRTree!AZ30*h)*((BA29+BA30)/2+AZ96))))</f>
        <v/>
      </c>
      <c r="BA29" s="3" t="str">
        <f>IF(T&lt;=BA$11,"",IF($A29&gt;BA$12,"",IF(T=BB$11,EXP(-IRTree!BA30*h)*BA96,EXP(-IRTree!BA30*h)*((BB29+BB30)/2+BA96))))</f>
        <v/>
      </c>
      <c r="BB29" s="3" t="str">
        <f>IF(T&lt;=BB$11,"",IF($A29&gt;BB$12,"",IF(T=BC$11,EXP(-IRTree!BB30*h)*BB96,EXP(-IRTree!BB30*h)*((BC29+BC30)/2+BB96))))</f>
        <v/>
      </c>
      <c r="BC29" s="3" t="str">
        <f>IF(T&lt;=BC$11,"",IF($A29&gt;BC$12,"",IF(T=BD$11,EXP(-IRTree!BC30*h)*BC96,EXP(-IRTree!BC30*h)*((BD29+BD30)/2+BC96))))</f>
        <v/>
      </c>
      <c r="BD29" s="3" t="str">
        <f>IF(T&lt;=BD$11,"",IF($A29&gt;BD$12,"",IF(T=BE$11,EXP(-IRTree!BD30*h)*BD96,EXP(-IRTree!BD30*h)*((BE29+BE30)/2+BD96))))</f>
        <v/>
      </c>
      <c r="BE29" s="3" t="str">
        <f>IF(T&lt;=BE$11,"",IF($A29&gt;BE$12,"",IF(T=BF$11,EXP(-IRTree!BE30*h)*BE96,EXP(-IRTree!BE30*h)*((BF29+BF30)/2+BE96))))</f>
        <v/>
      </c>
      <c r="BF29" s="3" t="str">
        <f>IF(T&lt;=BF$11,"",IF($A29&gt;BF$12,"",IF(T=BG$11,EXP(-IRTree!BF30*h)*BF96,EXP(-IRTree!BF30*h)*((BG29+BG30)/2+BF96))))</f>
        <v/>
      </c>
      <c r="BG29" s="3" t="str">
        <f>IF(T&lt;=BG$11,"",IF($A29&gt;BG$12,"",IF(T=BH$11,EXP(-IRTree!BG30*h)*BG96,EXP(-IRTree!BG30*h)*((BH29+BH30)/2+BG96))))</f>
        <v/>
      </c>
      <c r="BH29" s="3" t="str">
        <f>IF(T&lt;=BH$11,"",IF($A29&gt;BH$12,"",IF(T=BI$11,EXP(-IRTree!BH30*h)*BH96,EXP(-IRTree!BH30*h)*((BI29+BI30)/2+BH96))))</f>
        <v/>
      </c>
      <c r="BI29" s="3" t="str">
        <f>IF(T&lt;=BI$11,"",IF($A29&gt;BI$12,"",IF(T=BJ$11,EXP(-IRTree!BI30*h)*BI96,EXP(-IRTree!BI30*h)*((BJ29+BJ30)/2+BI96))))</f>
        <v/>
      </c>
      <c r="BJ29" s="3" t="str">
        <f>IF(T&lt;=BJ$11,"",IF($A29&gt;BJ$12,"",IF(T=BK$11,EXP(-IRTree!BJ30*h)*BJ96,EXP(-IRTree!BJ30*h)*((BK29+BK30)/2+BJ96))))</f>
        <v/>
      </c>
    </row>
    <row r="30" spans="1:62">
      <c r="A30" s="12">
        <f t="shared" si="2"/>
        <v>17</v>
      </c>
      <c r="B30" s="3" t="str">
        <f>IF(T&lt;=B$11,"",IF($A30&gt;B$12,"",IF(T=C$11,EXP(-IRTree!B31*h)*B97,EXP(-IRTree!B31*h)*((C30+C31)/2+B97))))</f>
        <v/>
      </c>
      <c r="C30" s="3" t="str">
        <f>IF(T&lt;=C$11,"",IF($A30&gt;C$12,"",IF(T=D$11,EXP(-IRTree!C31*h)*C97,EXP(-IRTree!C31*h)*((D30+D31)/2+C97))))</f>
        <v/>
      </c>
      <c r="D30" s="3" t="str">
        <f>IF(T&lt;=D$11,"",IF($A30&gt;D$12,"",IF(T=E$11,EXP(-IRTree!D31*h)*D97,EXP(-IRTree!D31*h)*((E30+E31)/2+D97))))</f>
        <v/>
      </c>
      <c r="E30" s="3" t="str">
        <f>IF(T&lt;=E$11,"",IF($A30&gt;E$12,"",IF(T=F$11,EXP(-IRTree!E31*h)*E97,EXP(-IRTree!E31*h)*((F30+F31)/2+E97))))</f>
        <v/>
      </c>
      <c r="F30" s="3" t="str">
        <f>IF(T&lt;=F$11,"",IF($A30&gt;F$12,"",IF(T=G$11,EXP(-IRTree!F31*h)*F97,EXP(-IRTree!F31*h)*((G30+G31)/2+F97))))</f>
        <v/>
      </c>
      <c r="G30" s="3" t="str">
        <f>IF(T&lt;=G$11,"",IF($A30&gt;G$12,"",IF(T=H$11,EXP(-IRTree!G31*h)*G97,EXP(-IRTree!G31*h)*((H30+H31)/2+G97))))</f>
        <v/>
      </c>
      <c r="H30" s="3" t="str">
        <f>IF(T&lt;=H$11,"",IF($A30&gt;H$12,"",IF(T=I$11,EXP(-IRTree!H31*h)*H97,EXP(-IRTree!H31*h)*((I30+I31)/2+H97))))</f>
        <v/>
      </c>
      <c r="I30" s="3" t="str">
        <f>IF(T&lt;=I$11,"",IF($A30&gt;I$12,"",IF(T=J$11,EXP(-IRTree!I31*h)*I97,EXP(-IRTree!I31*h)*((J30+J31)/2+I97))))</f>
        <v/>
      </c>
      <c r="J30" s="3" t="str">
        <f>IF(T&lt;=J$11,"",IF($A30&gt;J$12,"",IF(T=K$11,EXP(-IRTree!J31*h)*J97,EXP(-IRTree!J31*h)*((K30+K31)/2+J97))))</f>
        <v/>
      </c>
      <c r="K30" s="3" t="str">
        <f>IF(T&lt;=K$11,"",IF($A30&gt;K$12,"",IF(T=L$11,EXP(-IRTree!K31*h)*K97,EXP(-IRTree!K31*h)*((L30+L31)/2+K97))))</f>
        <v/>
      </c>
      <c r="L30" s="3" t="str">
        <f>IF(T&lt;=L$11,"",IF($A30&gt;L$12,"",IF(T=M$11,EXP(-IRTree!L31*h)*L97,EXP(-IRTree!L31*h)*((M30+M31)/2+L97))))</f>
        <v/>
      </c>
      <c r="M30" s="3" t="str">
        <f>IF(T&lt;=M$11,"",IF($A30&gt;M$12,"",IF(T=N$11,EXP(-IRTree!M31*h)*M97,EXP(-IRTree!M31*h)*((N30+N31)/2+M97))))</f>
        <v/>
      </c>
      <c r="N30" s="3" t="str">
        <f>IF(T&lt;=N$11,"",IF($A30&gt;N$12,"",IF(T=O$11,EXP(-IRTree!N31*h)*N97,EXP(-IRTree!N31*h)*((O30+O31)/2+N97))))</f>
        <v/>
      </c>
      <c r="O30" s="3" t="str">
        <f>IF(T&lt;=O$11,"",IF($A30&gt;O$12,"",IF(T=P$11,EXP(-IRTree!O31*h)*O97,EXP(-IRTree!O31*h)*((P30+P31)/2+O97))))</f>
        <v/>
      </c>
      <c r="P30" s="3" t="str">
        <f>IF(T&lt;=P$11,"",IF($A30&gt;P$12,"",IF(T=Q$11,EXP(-IRTree!P31*h)*P97,EXP(-IRTree!P31*h)*((Q30+Q31)/2+P97))))</f>
        <v/>
      </c>
      <c r="Q30" s="3" t="str">
        <f>IF(T&lt;=Q$11,"",IF($A30&gt;Q$12,"",IF(T=R$11,EXP(-IRTree!Q31*h)*Q97,EXP(-IRTree!Q31*h)*((R30+R31)/2+Q97))))</f>
        <v/>
      </c>
      <c r="R30" s="3" t="str">
        <f>IF(T&lt;=R$11,"",IF($A30&gt;R$12,"",IF(T=S$11,EXP(-IRTree!R31*h)*R97,EXP(-IRTree!R31*h)*((S30+S31)/2+R97))))</f>
        <v/>
      </c>
      <c r="S30" s="3">
        <f>IF(T&lt;=S$11,"",IF($A30&gt;S$12,"",IF(T=T$11,EXP(-IRTree!S31*h)*S97,EXP(-IRTree!S31*h)*((T30+T31)/2+S97))))</f>
        <v>1.9076960312174992E-4</v>
      </c>
      <c r="T30" s="3">
        <f>IF(T&lt;=T$11,"",IF($A30&gt;T$12,"",IF(T=U$11,EXP(-IRTree!T31*h)*T97,EXP(-IRTree!T31*h)*((U30+U31)/2+T97))))</f>
        <v>3.406477162146461E-4</v>
      </c>
      <c r="U30" s="3">
        <f>IF(T&lt;=U$11,"",IF($A30&gt;U$12,"",IF(T=V$11,EXP(-IRTree!U31*h)*U97,EXP(-IRTree!U31*h)*((V30+V31)/2+U97))))</f>
        <v>6.0585379488210572E-4</v>
      </c>
      <c r="V30" s="3">
        <f>IF(T&lt;=V$11,"",IF($A30&gt;V$12,"",IF(T=W$11,EXP(-IRTree!V31*h)*V97,EXP(-IRTree!V31*h)*((W30+W31)/2+V97))))</f>
        <v>1.072824291852201E-3</v>
      </c>
      <c r="W30" s="3">
        <f>IF(T&lt;=W$11,"",IF($A30&gt;W$12,"",IF(T=X$11,EXP(-IRTree!W31*h)*W97,EXP(-IRTree!W31*h)*((X30+X31)/2+W97))))</f>
        <v>1.8908810642457245E-3</v>
      </c>
      <c r="X30" s="3">
        <f>IF(T&lt;=X$11,"",IF($A30&gt;X$12,"",IF(T=Y$11,EXP(-IRTree!X31*h)*X97,EXP(-IRTree!X31*h)*((Y30+Y31)/2+X97))))</f>
        <v>3.3158391475152827E-3</v>
      </c>
      <c r="Y30" s="3">
        <f>IF(T&lt;=Y$11,"",IF($A30&gt;Y$12,"",IF(T=Z$11,EXP(-IRTree!Y31*h)*Y97,EXP(-IRTree!Y31*h)*((Z30+Z31)/2+Y97))))</f>
        <v>5.7841690551285619E-3</v>
      </c>
      <c r="Z30" s="3">
        <f>IF(T&lt;=Z$11,"",IF($A30&gt;Z$12,"",IF(T=AA$11,EXP(-IRTree!Z31*h)*Z97,EXP(-IRTree!Z31*h)*((AA30+AA31)/2+Z97))))</f>
        <v>1.0030879905681698E-2</v>
      </c>
      <c r="AA30" s="3">
        <f>IF(T&lt;=AA$11,"",IF($A30&gt;AA$12,"",IF(T=AB$11,EXP(-IRTree!AA31*h)*AA97,EXP(-IRTree!AA31*h)*((AB30+AB31)/2+AA97))))</f>
        <v>1.728743594851806E-2</v>
      </c>
      <c r="AB30" s="3">
        <f>IF(T&lt;=AB$11,"",IF($A30&gt;AB$12,"",IF(T=AC$11,EXP(-IRTree!AB31*h)*AB97,EXP(-IRTree!AB31*h)*((AC30+AC31)/2+AB97))))</f>
        <v>2.9593781754009132E-2</v>
      </c>
      <c r="AC30" s="3">
        <f>IF(T&lt;=AC$11,"",IF($A30&gt;AC$12,"",IF(T=AD$11,EXP(-IRTree!AC31*h)*AC97,EXP(-IRTree!AC31*h)*((AD30+AD31)/2+AC97))))</f>
        <v>5.0286400138849108E-2</v>
      </c>
      <c r="AD30" s="3">
        <f>IF(T&lt;=AD$11,"",IF($A30&gt;AD$12,"",IF(T=AE$11,EXP(-IRTree!AD31*h)*AD97,EXP(-IRTree!AD31*h)*((AE30+AE31)/2+AD97))))</f>
        <v>8.4768845484756009E-2</v>
      </c>
      <c r="AE30" s="3">
        <f>IF(T&lt;=AE$11,"",IF($A30&gt;AE$12,"",IF(T=AF$11,EXP(-IRTree!AE31*h)*AE97,EXP(-IRTree!AE31*h)*((AF30+AF31)/2+AE97))))</f>
        <v>0.14166107152142288</v>
      </c>
      <c r="AF30" s="3">
        <f>IF(T&lt;=AF$11,"",IF($A30&gt;AF$12,"",IF(T=AG$11,EXP(-IRTree!AF31*h)*AF97,EXP(-IRTree!AF31*h)*((AG30+AG31)/2+AF97))))</f>
        <v>0.23448906455934929</v>
      </c>
      <c r="AG30" s="3">
        <f>IF(T&lt;=AG$11,"",IF($A30&gt;AG$12,"",IF(T=AH$11,EXP(-IRTree!AG31*h)*AG97,EXP(-IRTree!AG31*h)*((AH30+AH31)/2+AG97))))</f>
        <v>0.38410703523189488</v>
      </c>
      <c r="AH30" s="3">
        <f>IF(T&lt;=AH$11,"",IF($A30&gt;AH$12,"",IF(T=AI$11,EXP(-IRTree!AH31*h)*AH97,EXP(-IRTree!AH31*h)*((AI30+AI31)/2+AH97))))</f>
        <v>0.62204500867980883</v>
      </c>
      <c r="AI30" s="3">
        <f>IF(T&lt;=AI$11,"",IF($A30&gt;AI$12,"",IF(T=AJ$11,EXP(-IRTree!AI31*h)*AI97,EXP(-IRTree!AI31*h)*((AJ30+AJ31)/2+AI97))))</f>
        <v>0.99474421524991608</v>
      </c>
      <c r="AJ30" s="3">
        <f>IF(T&lt;=AJ$11,"",IF($A30&gt;AJ$12,"",IF(T=AK$11,EXP(-IRTree!AJ31*h)*AJ97,EXP(-IRTree!AJ31*h)*((AK30+AK31)/2+AJ97))))</f>
        <v>1.4885504884174079</v>
      </c>
      <c r="AK30" s="3">
        <f>IF(T&lt;=AK$11,"",IF($A30&gt;AK$12,"",IF(T=AL$11,EXP(-IRTree!AK31*h)*AK97,EXP(-IRTree!AK31*h)*((AL30+AL31)/2+AK97))))</f>
        <v>1.8973097690870586</v>
      </c>
      <c r="AL30" s="3">
        <f>IF(T&lt;=AL$11,"",IF($A30&gt;AL$12,"",IF(T=AM$11,EXP(-IRTree!AL31*h)*AL97,EXP(-IRTree!AL31*h)*((AM30+AM31)/2+AL97))))</f>
        <v>2.0985126014770201</v>
      </c>
      <c r="AM30" s="3">
        <f>IF(T&lt;=AM$11,"",IF($A30&gt;AM$12,"",IF(T=AN$11,EXP(-IRTree!AM31*h)*AM97,EXP(-IRTree!AM31*h)*((AN30+AN31)/2+AM97))))</f>
        <v>2.0400347372695506</v>
      </c>
      <c r="AN30" s="3">
        <f>IF(T&lt;=AN$11,"",IF($A30&gt;AN$12,"",IF(T=AO$11,EXP(-IRTree!AN31*h)*AN97,EXP(-IRTree!AN31*h)*((AO30+AO31)/2+AN97))))</f>
        <v>1.688075866357992</v>
      </c>
      <c r="AO30" s="3">
        <f>IF(T&lt;=AO$11,"",IF($A30&gt;AO$12,"",IF(T=AP$11,EXP(-IRTree!AO31*h)*AO97,EXP(-IRTree!AO31*h)*((AP30+AP31)/2+AO97))))</f>
        <v>1.0176123531786008</v>
      </c>
      <c r="AP30" s="3" t="str">
        <f>IF(T&lt;=AP$11,"",IF($A30&gt;AP$12,"",IF(T=AQ$11,EXP(-IRTree!AP31*h)*AP97,EXP(-IRTree!AP31*h)*((AQ30+AQ31)/2+AP97))))</f>
        <v/>
      </c>
      <c r="AQ30" s="3" t="str">
        <f>IF(T&lt;=AQ$11,"",IF($A30&gt;AQ$12,"",IF(T=AR$11,EXP(-IRTree!AQ31*h)*AQ97,EXP(-IRTree!AQ31*h)*((AR30+AR31)/2+AQ97))))</f>
        <v/>
      </c>
      <c r="AR30" s="3" t="str">
        <f>IF(T&lt;=AR$11,"",IF($A30&gt;AR$12,"",IF(T=AS$11,EXP(-IRTree!AR31*h)*AR97,EXP(-IRTree!AR31*h)*((AS30+AS31)/2+AR97))))</f>
        <v/>
      </c>
      <c r="AS30" s="3" t="str">
        <f>IF(T&lt;=AS$11,"",IF($A30&gt;AS$12,"",IF(T=AT$11,EXP(-IRTree!AS31*h)*AS97,EXP(-IRTree!AS31*h)*((AT30+AT31)/2+AS97))))</f>
        <v/>
      </c>
      <c r="AT30" s="3" t="str">
        <f>IF(T&lt;=AT$11,"",IF($A30&gt;AT$12,"",IF(T=AU$11,EXP(-IRTree!AT31*h)*AT97,EXP(-IRTree!AT31*h)*((AU30+AU31)/2+AT97))))</f>
        <v/>
      </c>
      <c r="AU30" s="3" t="str">
        <f>IF(T&lt;=AU$11,"",IF($A30&gt;AU$12,"",IF(T=AV$11,EXP(-IRTree!AU31*h)*AU97,EXP(-IRTree!AU31*h)*((AV30+AV31)/2+AU97))))</f>
        <v/>
      </c>
      <c r="AV30" s="3" t="str">
        <f>IF(T&lt;=AV$11,"",IF($A30&gt;AV$12,"",IF(T=AW$11,EXP(-IRTree!AV31*h)*AV97,EXP(-IRTree!AV31*h)*((AW30+AW31)/2+AV97))))</f>
        <v/>
      </c>
      <c r="AW30" s="3" t="str">
        <f>IF(T&lt;=AW$11,"",IF($A30&gt;AW$12,"",IF(T=AX$11,EXP(-IRTree!AW31*h)*AW97,EXP(-IRTree!AW31*h)*((AX30+AX31)/2+AW97))))</f>
        <v/>
      </c>
      <c r="AX30" s="3" t="str">
        <f>IF(T&lt;=AX$11,"",IF($A30&gt;AX$12,"",IF(T=AY$11,EXP(-IRTree!AX31*h)*AX97,EXP(-IRTree!AX31*h)*((AY30+AY31)/2+AX97))))</f>
        <v/>
      </c>
      <c r="AY30" s="3" t="str">
        <f>IF(T&lt;=AY$11,"",IF($A30&gt;AY$12,"",IF(T=AZ$11,EXP(-IRTree!AY31*h)*AY97,EXP(-IRTree!AY31*h)*((AZ30+AZ31)/2+AY97))))</f>
        <v/>
      </c>
      <c r="AZ30" s="3" t="str">
        <f>IF(T&lt;=AZ$11,"",IF($A30&gt;AZ$12,"",IF(T=BA$11,EXP(-IRTree!AZ31*h)*AZ97,EXP(-IRTree!AZ31*h)*((BA30+BA31)/2+AZ97))))</f>
        <v/>
      </c>
      <c r="BA30" s="3" t="str">
        <f>IF(T&lt;=BA$11,"",IF($A30&gt;BA$12,"",IF(T=BB$11,EXP(-IRTree!BA31*h)*BA97,EXP(-IRTree!BA31*h)*((BB30+BB31)/2+BA97))))</f>
        <v/>
      </c>
      <c r="BB30" s="3" t="str">
        <f>IF(T&lt;=BB$11,"",IF($A30&gt;BB$12,"",IF(T=BC$11,EXP(-IRTree!BB31*h)*BB97,EXP(-IRTree!BB31*h)*((BC30+BC31)/2+BB97))))</f>
        <v/>
      </c>
      <c r="BC30" s="3" t="str">
        <f>IF(T&lt;=BC$11,"",IF($A30&gt;BC$12,"",IF(T=BD$11,EXP(-IRTree!BC31*h)*BC97,EXP(-IRTree!BC31*h)*((BD30+BD31)/2+BC97))))</f>
        <v/>
      </c>
      <c r="BD30" s="3" t="str">
        <f>IF(T&lt;=BD$11,"",IF($A30&gt;BD$12,"",IF(T=BE$11,EXP(-IRTree!BD31*h)*BD97,EXP(-IRTree!BD31*h)*((BE30+BE31)/2+BD97))))</f>
        <v/>
      </c>
      <c r="BE30" s="3" t="str">
        <f>IF(T&lt;=BE$11,"",IF($A30&gt;BE$12,"",IF(T=BF$11,EXP(-IRTree!BE31*h)*BE97,EXP(-IRTree!BE31*h)*((BF30+BF31)/2+BE97))))</f>
        <v/>
      </c>
      <c r="BF30" s="3" t="str">
        <f>IF(T&lt;=BF$11,"",IF($A30&gt;BF$12,"",IF(T=BG$11,EXP(-IRTree!BF31*h)*BF97,EXP(-IRTree!BF31*h)*((BG30+BG31)/2+BF97))))</f>
        <v/>
      </c>
      <c r="BG30" s="3" t="str">
        <f>IF(T&lt;=BG$11,"",IF($A30&gt;BG$12,"",IF(T=BH$11,EXP(-IRTree!BG31*h)*BG97,EXP(-IRTree!BG31*h)*((BH30+BH31)/2+BG97))))</f>
        <v/>
      </c>
      <c r="BH30" s="3" t="str">
        <f>IF(T&lt;=BH$11,"",IF($A30&gt;BH$12,"",IF(T=BI$11,EXP(-IRTree!BH31*h)*BH97,EXP(-IRTree!BH31*h)*((BI30+BI31)/2+BH97))))</f>
        <v/>
      </c>
      <c r="BI30" s="3" t="str">
        <f>IF(T&lt;=BI$11,"",IF($A30&gt;BI$12,"",IF(T=BJ$11,EXP(-IRTree!BI31*h)*BI97,EXP(-IRTree!BI31*h)*((BJ30+BJ31)/2+BI97))))</f>
        <v/>
      </c>
      <c r="BJ30" s="3" t="str">
        <f>IF(T&lt;=BJ$11,"",IF($A30&gt;BJ$12,"",IF(T=BK$11,EXP(-IRTree!BJ31*h)*BJ97,EXP(-IRTree!BJ31*h)*((BK30+BK31)/2+BJ97))))</f>
        <v/>
      </c>
    </row>
    <row r="31" spans="1:62">
      <c r="A31" s="12">
        <f t="shared" si="2"/>
        <v>18</v>
      </c>
      <c r="B31" s="3" t="str">
        <f>IF(T&lt;=B$11,"",IF($A31&gt;B$12,"",IF(T=C$11,EXP(-IRTree!B32*h)*B98,EXP(-IRTree!B32*h)*((C31+C32)/2+B98))))</f>
        <v/>
      </c>
      <c r="C31" s="3" t="str">
        <f>IF(T&lt;=C$11,"",IF($A31&gt;C$12,"",IF(T=D$11,EXP(-IRTree!C32*h)*C98,EXP(-IRTree!C32*h)*((D31+D32)/2+C98))))</f>
        <v/>
      </c>
      <c r="D31" s="3" t="str">
        <f>IF(T&lt;=D$11,"",IF($A31&gt;D$12,"",IF(T=E$11,EXP(-IRTree!D32*h)*D98,EXP(-IRTree!D32*h)*((E31+E32)/2+D98))))</f>
        <v/>
      </c>
      <c r="E31" s="3" t="str">
        <f>IF(T&lt;=E$11,"",IF($A31&gt;E$12,"",IF(T=F$11,EXP(-IRTree!E32*h)*E98,EXP(-IRTree!E32*h)*((F31+F32)/2+E98))))</f>
        <v/>
      </c>
      <c r="F31" s="3" t="str">
        <f>IF(T&lt;=F$11,"",IF($A31&gt;F$12,"",IF(T=G$11,EXP(-IRTree!F32*h)*F98,EXP(-IRTree!F32*h)*((G31+G32)/2+F98))))</f>
        <v/>
      </c>
      <c r="G31" s="3" t="str">
        <f>IF(T&lt;=G$11,"",IF($A31&gt;G$12,"",IF(T=H$11,EXP(-IRTree!G32*h)*G98,EXP(-IRTree!G32*h)*((H31+H32)/2+G98))))</f>
        <v/>
      </c>
      <c r="H31" s="3" t="str">
        <f>IF(T&lt;=H$11,"",IF($A31&gt;H$12,"",IF(T=I$11,EXP(-IRTree!H32*h)*H98,EXP(-IRTree!H32*h)*((I31+I32)/2+H98))))</f>
        <v/>
      </c>
      <c r="I31" s="3" t="str">
        <f>IF(T&lt;=I$11,"",IF($A31&gt;I$12,"",IF(T=J$11,EXP(-IRTree!I32*h)*I98,EXP(-IRTree!I32*h)*((J31+J32)/2+I98))))</f>
        <v/>
      </c>
      <c r="J31" s="3" t="str">
        <f>IF(T&lt;=J$11,"",IF($A31&gt;J$12,"",IF(T=K$11,EXP(-IRTree!J32*h)*J98,EXP(-IRTree!J32*h)*((K31+K32)/2+J98))))</f>
        <v/>
      </c>
      <c r="K31" s="3" t="str">
        <f>IF(T&lt;=K$11,"",IF($A31&gt;K$12,"",IF(T=L$11,EXP(-IRTree!K32*h)*K98,EXP(-IRTree!K32*h)*((L31+L32)/2+K98))))</f>
        <v/>
      </c>
      <c r="L31" s="3" t="str">
        <f>IF(T&lt;=L$11,"",IF($A31&gt;L$12,"",IF(T=M$11,EXP(-IRTree!L32*h)*L98,EXP(-IRTree!L32*h)*((M31+M32)/2+L98))))</f>
        <v/>
      </c>
      <c r="M31" s="3" t="str">
        <f>IF(T&lt;=M$11,"",IF($A31&gt;M$12,"",IF(T=N$11,EXP(-IRTree!M32*h)*M98,EXP(-IRTree!M32*h)*((N31+N32)/2+M98))))</f>
        <v/>
      </c>
      <c r="N31" s="3" t="str">
        <f>IF(T&lt;=N$11,"",IF($A31&gt;N$12,"",IF(T=O$11,EXP(-IRTree!N32*h)*N98,EXP(-IRTree!N32*h)*((O31+O32)/2+N98))))</f>
        <v/>
      </c>
      <c r="O31" s="3" t="str">
        <f>IF(T&lt;=O$11,"",IF($A31&gt;O$12,"",IF(T=P$11,EXP(-IRTree!O32*h)*O98,EXP(-IRTree!O32*h)*((P31+P32)/2+O98))))</f>
        <v/>
      </c>
      <c r="P31" s="3" t="str">
        <f>IF(T&lt;=P$11,"",IF($A31&gt;P$12,"",IF(T=Q$11,EXP(-IRTree!P32*h)*P98,EXP(-IRTree!P32*h)*((Q31+Q32)/2+P98))))</f>
        <v/>
      </c>
      <c r="Q31" s="3" t="str">
        <f>IF(T&lt;=Q$11,"",IF($A31&gt;Q$12,"",IF(T=R$11,EXP(-IRTree!Q32*h)*Q98,EXP(-IRTree!Q32*h)*((R31+R32)/2+Q98))))</f>
        <v/>
      </c>
      <c r="R31" s="3" t="str">
        <f>IF(T&lt;=R$11,"",IF($A31&gt;R$12,"",IF(T=S$11,EXP(-IRTree!R32*h)*R98,EXP(-IRTree!R32*h)*((S31+S32)/2+R98))))</f>
        <v/>
      </c>
      <c r="S31" s="3" t="str">
        <f>IF(T&lt;=S$11,"",IF($A31&gt;S$12,"",IF(T=T$11,EXP(-IRTree!S32*h)*S98,EXP(-IRTree!S32*h)*((T31+T32)/2+S98))))</f>
        <v/>
      </c>
      <c r="T31" s="3">
        <f>IF(T&lt;=T$11,"",IF($A31&gt;T$12,"",IF(T=U$11,EXP(-IRTree!T32*h)*T98,EXP(-IRTree!T32*h)*((U31+U32)/2+T98))))</f>
        <v>4.1332726091742792E-5</v>
      </c>
      <c r="U31" s="3">
        <f>IF(T&lt;=U$11,"",IF($A31&gt;U$12,"",IF(T=V$11,EXP(-IRTree!U32*h)*U98,EXP(-IRTree!U32*h)*((V31+V32)/2+U98))))</f>
        <v>7.6434776017504779E-5</v>
      </c>
      <c r="V31" s="3">
        <f>IF(T&lt;=V$11,"",IF($A31&gt;V$12,"",IF(T=W$11,EXP(-IRTree!V32*h)*V98,EXP(-IRTree!V32*h)*((W31+W32)/2+V98))))</f>
        <v>1.409243239401214E-4</v>
      </c>
      <c r="W31" s="3">
        <f>IF(T&lt;=W$11,"",IF($A31&gt;W$12,"",IF(T=X$11,EXP(-IRTree!W32*h)*W98,EXP(-IRTree!W32*h)*((X31+X32)/2+W98))))</f>
        <v>2.5899456923746838E-4</v>
      </c>
      <c r="X31" s="3">
        <f>IF(T&lt;=X$11,"",IF($A31&gt;X$12,"",IF(T=Y$11,EXP(-IRTree!X32*h)*X98,EXP(-IRTree!X32*h)*((Y31+Y32)/2+X98))))</f>
        <v>4.7431523592146249E-4</v>
      </c>
      <c r="Y31" s="3">
        <f>IF(T&lt;=Y$11,"",IF($A31&gt;Y$12,"",IF(T=Z$11,EXP(-IRTree!Y32*h)*Y98,EXP(-IRTree!Y32*h)*((Z31+Z32)/2+Y98))))</f>
        <v>8.6550908335524684E-4</v>
      </c>
      <c r="Z31" s="3">
        <f>IF(T&lt;=Z$11,"",IF($A31&gt;Z$12,"",IF(T=AA$11,EXP(-IRTree!Z32*h)*Z98,EXP(-IRTree!Z32*h)*((AA31+AA32)/2+Z98))))</f>
        <v>1.5728610381797071E-3</v>
      </c>
      <c r="AA31" s="3">
        <f>IF(T&lt;=AA$11,"",IF($A31&gt;AA$12,"",IF(T=AB$11,EXP(-IRTree!AA32*h)*AA98,EXP(-IRTree!AA32*h)*((AB31+AB32)/2+AA98))))</f>
        <v>2.8458285753118497E-3</v>
      </c>
      <c r="AB31" s="3">
        <f>IF(T&lt;=AB$11,"",IF($A31&gt;AB$12,"",IF(T=AC$11,EXP(-IRTree!AB32*h)*AB98,EXP(-IRTree!AB32*h)*((AC31+AC32)/2+AB98))))</f>
        <v>5.1246055859242466E-3</v>
      </c>
      <c r="AC31" s="3">
        <f>IF(T&lt;=AC$11,"",IF($A31&gt;AC$12,"",IF(T=AD$11,EXP(-IRTree!AC32*h)*AC98,EXP(-IRTree!AC32*h)*((AD31+AD32)/2+AC98))))</f>
        <v>9.1791315149949218E-3</v>
      </c>
      <c r="AD31" s="3">
        <f>IF(T&lt;=AD$11,"",IF($A31&gt;AD$12,"",IF(T=AE$11,EXP(-IRTree!AD32*h)*AD98,EXP(-IRTree!AD32*h)*((AE31+AE32)/2+AD98))))</f>
        <v>1.6346989879781879E-2</v>
      </c>
      <c r="AE31" s="3">
        <f>IF(T&lt;=AE$11,"",IF($A31&gt;AE$12,"",IF(T=AF$11,EXP(-IRTree!AE32*h)*AE98,EXP(-IRTree!AE32*h)*((AF31+AF32)/2+AE98))))</f>
        <v>2.892778323722146E-2</v>
      </c>
      <c r="AF31" s="3">
        <f>IF(T&lt;=AF$11,"",IF($A31&gt;AF$12,"",IF(T=AG$11,EXP(-IRTree!AF32*h)*AF98,EXP(-IRTree!AF32*h)*((AG31+AG32)/2+AF98))))</f>
        <v>5.0829596859559803E-2</v>
      </c>
      <c r="AG31" s="3">
        <f>IF(T&lt;=AG$11,"",IF($A31&gt;AG$12,"",IF(T=AH$11,EXP(-IRTree!AG32*h)*AG98,EXP(-IRTree!AG32*h)*((AH31+AH32)/2+AG98))))</f>
        <v>8.8612664914436798E-2</v>
      </c>
      <c r="AH31" s="3">
        <f>IF(T&lt;=AH$11,"",IF($A31&gt;AH$12,"",IF(T=AI$11,EXP(-IRTree!AH32*h)*AH98,EXP(-IRTree!AH32*h)*((AI31+AI32)/2+AH98))))</f>
        <v>0.15314210328213246</v>
      </c>
      <c r="AI31" s="3">
        <f>IF(T&lt;=AI$11,"",IF($A31&gt;AI$12,"",IF(T=AJ$11,EXP(-IRTree!AI32*h)*AI98,EXP(-IRTree!AI32*h)*((AJ31+AJ32)/2+AI98))))</f>
        <v>0.26209970288853995</v>
      </c>
      <c r="AJ31" s="3">
        <f>IF(T&lt;=AJ$11,"",IF($A31&gt;AJ$12,"",IF(T=AK$11,EXP(-IRTree!AJ32*h)*AJ98,EXP(-IRTree!AJ32*h)*((AK31+AK32)/2+AJ98))))</f>
        <v>0.44382328373237417</v>
      </c>
      <c r="AK31" s="3">
        <f>IF(T&lt;=AK$11,"",IF($A31&gt;AK$12,"",IF(T=AL$11,EXP(-IRTree!AK32*h)*AK98,EXP(-IRTree!AK32*h)*((AL31+AL32)/2+AK98))))</f>
        <v>0.74273977199166086</v>
      </c>
      <c r="AL31" s="3">
        <f>IF(T&lt;=AL$11,"",IF($A31&gt;AL$12,"",IF(T=AM$11,EXP(-IRTree!AL32*h)*AL98,EXP(-IRTree!AL32*h)*((AM31+AM32)/2+AL98))))</f>
        <v>1.0543137890990484</v>
      </c>
      <c r="AM31" s="3">
        <f>IF(T&lt;=AM$11,"",IF($A31&gt;AM$12,"",IF(T=AN$11,EXP(-IRTree!AM32*h)*AM98,EXP(-IRTree!AM32*h)*((AN31+AN32)/2+AM98))))</f>
        <v>1.1976028738560889</v>
      </c>
      <c r="AN31" s="3">
        <f>IF(T&lt;=AN$11,"",IF($A31&gt;AN$12,"",IF(T=AO$11,EXP(-IRTree!AN32*h)*AN98,EXP(-IRTree!AN32*h)*((AO31+AO32)/2+AN98))))</f>
        <v>1.0860141501463534</v>
      </c>
      <c r="AO31" s="3">
        <f>IF(T&lt;=AO$11,"",IF($A31&gt;AO$12,"",IF(T=AP$11,EXP(-IRTree!AO32*h)*AO98,EXP(-IRTree!AO32*h)*((AP31+AP32)/2+AO98))))</f>
        <v>0.69526539332305404</v>
      </c>
      <c r="AP31" s="3" t="str">
        <f>IF(T&lt;=AP$11,"",IF($A31&gt;AP$12,"",IF(T=AQ$11,EXP(-IRTree!AP32*h)*AP98,EXP(-IRTree!AP32*h)*((AQ31+AQ32)/2+AP98))))</f>
        <v/>
      </c>
      <c r="AQ31" s="3" t="str">
        <f>IF(T&lt;=AQ$11,"",IF($A31&gt;AQ$12,"",IF(T=AR$11,EXP(-IRTree!AQ32*h)*AQ98,EXP(-IRTree!AQ32*h)*((AR31+AR32)/2+AQ98))))</f>
        <v/>
      </c>
      <c r="AR31" s="3" t="str">
        <f>IF(T&lt;=AR$11,"",IF($A31&gt;AR$12,"",IF(T=AS$11,EXP(-IRTree!AR32*h)*AR98,EXP(-IRTree!AR32*h)*((AS31+AS32)/2+AR98))))</f>
        <v/>
      </c>
      <c r="AS31" s="3" t="str">
        <f>IF(T&lt;=AS$11,"",IF($A31&gt;AS$12,"",IF(T=AT$11,EXP(-IRTree!AS32*h)*AS98,EXP(-IRTree!AS32*h)*((AT31+AT32)/2+AS98))))</f>
        <v/>
      </c>
      <c r="AT31" s="3" t="str">
        <f>IF(T&lt;=AT$11,"",IF($A31&gt;AT$12,"",IF(T=AU$11,EXP(-IRTree!AT32*h)*AT98,EXP(-IRTree!AT32*h)*((AU31+AU32)/2+AT98))))</f>
        <v/>
      </c>
      <c r="AU31" s="3" t="str">
        <f>IF(T&lt;=AU$11,"",IF($A31&gt;AU$12,"",IF(T=AV$11,EXP(-IRTree!AU32*h)*AU98,EXP(-IRTree!AU32*h)*((AV31+AV32)/2+AU98))))</f>
        <v/>
      </c>
      <c r="AV31" s="3" t="str">
        <f>IF(T&lt;=AV$11,"",IF($A31&gt;AV$12,"",IF(T=AW$11,EXP(-IRTree!AV32*h)*AV98,EXP(-IRTree!AV32*h)*((AW31+AW32)/2+AV98))))</f>
        <v/>
      </c>
      <c r="AW31" s="3" t="str">
        <f>IF(T&lt;=AW$11,"",IF($A31&gt;AW$12,"",IF(T=AX$11,EXP(-IRTree!AW32*h)*AW98,EXP(-IRTree!AW32*h)*((AX31+AX32)/2+AW98))))</f>
        <v/>
      </c>
      <c r="AX31" s="3" t="str">
        <f>IF(T&lt;=AX$11,"",IF($A31&gt;AX$12,"",IF(T=AY$11,EXP(-IRTree!AX32*h)*AX98,EXP(-IRTree!AX32*h)*((AY31+AY32)/2+AX98))))</f>
        <v/>
      </c>
      <c r="AY31" s="3" t="str">
        <f>IF(T&lt;=AY$11,"",IF($A31&gt;AY$12,"",IF(T=AZ$11,EXP(-IRTree!AY32*h)*AY98,EXP(-IRTree!AY32*h)*((AZ31+AZ32)/2+AY98))))</f>
        <v/>
      </c>
      <c r="AZ31" s="3" t="str">
        <f>IF(T&lt;=AZ$11,"",IF($A31&gt;AZ$12,"",IF(T=BA$11,EXP(-IRTree!AZ32*h)*AZ98,EXP(-IRTree!AZ32*h)*((BA31+BA32)/2+AZ98))))</f>
        <v/>
      </c>
      <c r="BA31" s="3" t="str">
        <f>IF(T&lt;=BA$11,"",IF($A31&gt;BA$12,"",IF(T=BB$11,EXP(-IRTree!BA32*h)*BA98,EXP(-IRTree!BA32*h)*((BB31+BB32)/2+BA98))))</f>
        <v/>
      </c>
      <c r="BB31" s="3" t="str">
        <f>IF(T&lt;=BB$11,"",IF($A31&gt;BB$12,"",IF(T=BC$11,EXP(-IRTree!BB32*h)*BB98,EXP(-IRTree!BB32*h)*((BC31+BC32)/2+BB98))))</f>
        <v/>
      </c>
      <c r="BC31" s="3" t="str">
        <f>IF(T&lt;=BC$11,"",IF($A31&gt;BC$12,"",IF(T=BD$11,EXP(-IRTree!BC32*h)*BC98,EXP(-IRTree!BC32*h)*((BD31+BD32)/2+BC98))))</f>
        <v/>
      </c>
      <c r="BD31" s="3" t="str">
        <f>IF(T&lt;=BD$11,"",IF($A31&gt;BD$12,"",IF(T=BE$11,EXP(-IRTree!BD32*h)*BD98,EXP(-IRTree!BD32*h)*((BE31+BE32)/2+BD98))))</f>
        <v/>
      </c>
      <c r="BE31" s="3" t="str">
        <f>IF(T&lt;=BE$11,"",IF($A31&gt;BE$12,"",IF(T=BF$11,EXP(-IRTree!BE32*h)*BE98,EXP(-IRTree!BE32*h)*((BF31+BF32)/2+BE98))))</f>
        <v/>
      </c>
      <c r="BF31" s="3" t="str">
        <f>IF(T&lt;=BF$11,"",IF($A31&gt;BF$12,"",IF(T=BG$11,EXP(-IRTree!BF32*h)*BF98,EXP(-IRTree!BF32*h)*((BG31+BG32)/2+BF98))))</f>
        <v/>
      </c>
      <c r="BG31" s="3" t="str">
        <f>IF(T&lt;=BG$11,"",IF($A31&gt;BG$12,"",IF(T=BH$11,EXP(-IRTree!BG32*h)*BG98,EXP(-IRTree!BG32*h)*((BH31+BH32)/2+BG98))))</f>
        <v/>
      </c>
      <c r="BH31" s="3" t="str">
        <f>IF(T&lt;=BH$11,"",IF($A31&gt;BH$12,"",IF(T=BI$11,EXP(-IRTree!BH32*h)*BH98,EXP(-IRTree!BH32*h)*((BI31+BI32)/2+BH98))))</f>
        <v/>
      </c>
      <c r="BI31" s="3" t="str">
        <f>IF(T&lt;=BI$11,"",IF($A31&gt;BI$12,"",IF(T=BJ$11,EXP(-IRTree!BI32*h)*BI98,EXP(-IRTree!BI32*h)*((BJ31+BJ32)/2+BI98))))</f>
        <v/>
      </c>
      <c r="BJ31" s="3" t="str">
        <f>IF(T&lt;=BJ$11,"",IF($A31&gt;BJ$12,"",IF(T=BK$11,EXP(-IRTree!BJ32*h)*BJ98,EXP(-IRTree!BJ32*h)*((BK31+BK32)/2+BJ98))))</f>
        <v/>
      </c>
    </row>
    <row r="32" spans="1:62">
      <c r="A32" s="12">
        <f t="shared" si="2"/>
        <v>19</v>
      </c>
      <c r="B32" s="3" t="str">
        <f>IF(T&lt;=B$11,"",IF($A32&gt;B$12,"",IF(T=C$11,EXP(-IRTree!B33*h)*B99,EXP(-IRTree!B33*h)*((C32+C33)/2+B99))))</f>
        <v/>
      </c>
      <c r="C32" s="3" t="str">
        <f>IF(T&lt;=C$11,"",IF($A32&gt;C$12,"",IF(T=D$11,EXP(-IRTree!C33*h)*C99,EXP(-IRTree!C33*h)*((D32+D33)/2+C99))))</f>
        <v/>
      </c>
      <c r="D32" s="3" t="str">
        <f>IF(T&lt;=D$11,"",IF($A32&gt;D$12,"",IF(T=E$11,EXP(-IRTree!D33*h)*D99,EXP(-IRTree!D33*h)*((E32+E33)/2+D99))))</f>
        <v/>
      </c>
      <c r="E32" s="3" t="str">
        <f>IF(T&lt;=E$11,"",IF($A32&gt;E$12,"",IF(T=F$11,EXP(-IRTree!E33*h)*E99,EXP(-IRTree!E33*h)*((F32+F33)/2+E99))))</f>
        <v/>
      </c>
      <c r="F32" s="3" t="str">
        <f>IF(T&lt;=F$11,"",IF($A32&gt;F$12,"",IF(T=G$11,EXP(-IRTree!F33*h)*F99,EXP(-IRTree!F33*h)*((G32+G33)/2+F99))))</f>
        <v/>
      </c>
      <c r="G32" s="3" t="str">
        <f>IF(T&lt;=G$11,"",IF($A32&gt;G$12,"",IF(T=H$11,EXP(-IRTree!G33*h)*G99,EXP(-IRTree!G33*h)*((H32+H33)/2+G99))))</f>
        <v/>
      </c>
      <c r="H32" s="3" t="str">
        <f>IF(T&lt;=H$11,"",IF($A32&gt;H$12,"",IF(T=I$11,EXP(-IRTree!H33*h)*H99,EXP(-IRTree!H33*h)*((I32+I33)/2+H99))))</f>
        <v/>
      </c>
      <c r="I32" s="3" t="str">
        <f>IF(T&lt;=I$11,"",IF($A32&gt;I$12,"",IF(T=J$11,EXP(-IRTree!I33*h)*I99,EXP(-IRTree!I33*h)*((J32+J33)/2+I99))))</f>
        <v/>
      </c>
      <c r="J32" s="3" t="str">
        <f>IF(T&lt;=J$11,"",IF($A32&gt;J$12,"",IF(T=K$11,EXP(-IRTree!J33*h)*J99,EXP(-IRTree!J33*h)*((K32+K33)/2+J99))))</f>
        <v/>
      </c>
      <c r="K32" s="3" t="str">
        <f>IF(T&lt;=K$11,"",IF($A32&gt;K$12,"",IF(T=L$11,EXP(-IRTree!K33*h)*K99,EXP(-IRTree!K33*h)*((L32+L33)/2+K99))))</f>
        <v/>
      </c>
      <c r="L32" s="3" t="str">
        <f>IF(T&lt;=L$11,"",IF($A32&gt;L$12,"",IF(T=M$11,EXP(-IRTree!L33*h)*L99,EXP(-IRTree!L33*h)*((M32+M33)/2+L99))))</f>
        <v/>
      </c>
      <c r="M32" s="3" t="str">
        <f>IF(T&lt;=M$11,"",IF($A32&gt;M$12,"",IF(T=N$11,EXP(-IRTree!M33*h)*M99,EXP(-IRTree!M33*h)*((N32+N33)/2+M99))))</f>
        <v/>
      </c>
      <c r="N32" s="3" t="str">
        <f>IF(T&lt;=N$11,"",IF($A32&gt;N$12,"",IF(T=O$11,EXP(-IRTree!N33*h)*N99,EXP(-IRTree!N33*h)*((O32+O33)/2+N99))))</f>
        <v/>
      </c>
      <c r="O32" s="3" t="str">
        <f>IF(T&lt;=O$11,"",IF($A32&gt;O$12,"",IF(T=P$11,EXP(-IRTree!O33*h)*O99,EXP(-IRTree!O33*h)*((P32+P33)/2+O99))))</f>
        <v/>
      </c>
      <c r="P32" s="3" t="str">
        <f>IF(T&lt;=P$11,"",IF($A32&gt;P$12,"",IF(T=Q$11,EXP(-IRTree!P33*h)*P99,EXP(-IRTree!P33*h)*((Q32+Q33)/2+P99))))</f>
        <v/>
      </c>
      <c r="Q32" s="3" t="str">
        <f>IF(T&lt;=Q$11,"",IF($A32&gt;Q$12,"",IF(T=R$11,EXP(-IRTree!Q33*h)*Q99,EXP(-IRTree!Q33*h)*((R32+R33)/2+Q99))))</f>
        <v/>
      </c>
      <c r="R32" s="3" t="str">
        <f>IF(T&lt;=R$11,"",IF($A32&gt;R$12,"",IF(T=S$11,EXP(-IRTree!R33*h)*R99,EXP(-IRTree!R33*h)*((S32+S33)/2+R99))))</f>
        <v/>
      </c>
      <c r="S32" s="3" t="str">
        <f>IF(T&lt;=S$11,"",IF($A32&gt;S$12,"",IF(T=T$11,EXP(-IRTree!S33*h)*S99,EXP(-IRTree!S33*h)*((T32+T33)/2+S99))))</f>
        <v/>
      </c>
      <c r="T32" s="3" t="str">
        <f>IF(T&lt;=T$11,"",IF($A32&gt;T$12,"",IF(T=U$11,EXP(-IRTree!T33*h)*T99,EXP(-IRTree!T33*h)*((U32+U33)/2+T99))))</f>
        <v/>
      </c>
      <c r="U32" s="3">
        <f>IF(T&lt;=U$11,"",IF($A32&gt;U$12,"",IF(T=V$11,EXP(-IRTree!U33*h)*U99,EXP(-IRTree!U33*h)*((V32+V33)/2+U99))))</f>
        <v>6.324505652169797E-6</v>
      </c>
      <c r="V32" s="3">
        <f>IF(T&lt;=V$11,"",IF($A32&gt;V$12,"",IF(T=W$11,EXP(-IRTree!V33*h)*V99,EXP(-IRTree!V33*h)*((W32+W33)/2+V99))))</f>
        <v>1.2145875057635322E-5</v>
      </c>
      <c r="W32" s="3">
        <f>IF(T&lt;=W$11,"",IF($A32&gt;W$12,"",IF(T=X$11,EXP(-IRTree!W33*h)*W99,EXP(-IRTree!W33*h)*((X32+X33)/2+W99))))</f>
        <v>2.3287839099370535E-5</v>
      </c>
      <c r="X32" s="3">
        <f>IF(T&lt;=X$11,"",IF($A32&gt;X$12,"",IF(T=Y$11,EXP(-IRTree!X33*h)*X99,EXP(-IRTree!X33*h)*((Y32+Y33)/2+X99))))</f>
        <v>4.4570101048002541E-5</v>
      </c>
      <c r="Y32" s="3">
        <f>IF(T&lt;=Y$11,"",IF($A32&gt;Y$12,"",IF(T=Z$11,EXP(-IRTree!Y33*h)*Y99,EXP(-IRTree!Y33*h)*((Z32+Z33)/2+Y99))))</f>
        <v>8.5147781830980602E-5</v>
      </c>
      <c r="Z32" s="3">
        <f>IF(T&lt;=Z$11,"",IF($A32&gt;Z$12,"",IF(T=AA$11,EXP(-IRTree!Z33*h)*Z99,EXP(-IRTree!Z33*h)*((AA32+AA33)/2+Z99))))</f>
        <v>1.6232061936884799E-4</v>
      </c>
      <c r="AA32" s="3">
        <f>IF(T&lt;=AA$11,"",IF($A32&gt;AA$12,"",IF(T=AB$11,EXP(-IRTree!AA33*h)*AA99,EXP(-IRTree!AA33*h)*((AB32+AB33)/2+AA99))))</f>
        <v>3.08738593071855E-4</v>
      </c>
      <c r="AB32" s="3">
        <f>IF(T&lt;=AB$11,"",IF($A32&gt;AB$12,"",IF(T=AC$11,EXP(-IRTree!AB33*h)*AB99,EXP(-IRTree!AB33*h)*((AC32+AC33)/2+AB99))))</f>
        <v>5.8577238088146333E-4</v>
      </c>
      <c r="AC32" s="3">
        <f>IF(T&lt;=AC$11,"",IF($A32&gt;AC$12,"",IF(T=AD$11,EXP(-IRTree!AC33*h)*AC99,EXP(-IRTree!AC33*h)*((AD32+AD33)/2+AC99))))</f>
        <v>1.1082142755003282E-3</v>
      </c>
      <c r="AD32" s="3">
        <f>IF(T&lt;=AD$11,"",IF($A32&gt;AD$12,"",IF(T=AE$11,EXP(-IRTree!AD33*h)*AD99,EXP(-IRTree!AD33*h)*((AE32+AE33)/2+AD99))))</f>
        <v>2.0900589048575731E-3</v>
      </c>
      <c r="AE32" s="3">
        <f>IF(T&lt;=AE$11,"",IF($A32&gt;AE$12,"",IF(T=AF$11,EXP(-IRTree!AE33*h)*AE99,EXP(-IRTree!AE33*h)*((AF32+AF33)/2+AE99))))</f>
        <v>3.9279092238886865E-3</v>
      </c>
      <c r="AF32" s="3">
        <f>IF(T&lt;=AF$11,"",IF($A32&gt;AF$12,"",IF(T=AG$11,EXP(-IRTree!AF33*h)*AF99,EXP(-IRTree!AF33*h)*((AG32+AG33)/2+AF99))))</f>
        <v>7.3518470616777522E-3</v>
      </c>
      <c r="AG32" s="3">
        <f>IF(T&lt;=AG$11,"",IF($A32&gt;AG$12,"",IF(T=AH$11,EXP(-IRTree!AG33*h)*AG99,EXP(-IRTree!AG33*h)*((AH32+AH33)/2+AG99))))</f>
        <v>1.3695769625277902E-2</v>
      </c>
      <c r="AH32" s="3">
        <f>IF(T&lt;=AH$11,"",IF($A32&gt;AH$12,"",IF(T=AI$11,EXP(-IRTree!AH33*h)*AH99,EXP(-IRTree!AH33*h)*((AI32+AI33)/2+AH99))))</f>
        <v>2.5375634870777951E-2</v>
      </c>
      <c r="AI32" s="3">
        <f>IF(T&lt;=AI$11,"",IF($A32&gt;AI$12,"",IF(T=AJ$11,EXP(-IRTree!AI33*h)*AI99,EXP(-IRTree!AI33*h)*((AJ32+AJ33)/2+AI99))))</f>
        <v>4.671245022919767E-2</v>
      </c>
      <c r="AJ32" s="3">
        <f>IF(T&lt;=AJ$11,"",IF($A32&gt;AJ$12,"",IF(T=AK$11,EXP(-IRTree!AJ33*h)*AJ99,EXP(-IRTree!AJ33*h)*((AK32+AK33)/2+AJ99))))</f>
        <v>8.5335109267748108E-2</v>
      </c>
      <c r="AK32" s="3">
        <f>IF(T&lt;=AK$11,"",IF($A32&gt;AK$12,"",IF(T=AL$11,EXP(-IRTree!AK33*h)*AK99,EXP(-IRTree!AK33*h)*((AL32+AL33)/2+AK99))))</f>
        <v>0.15442407475104417</v>
      </c>
      <c r="AL32" s="3">
        <f>IF(T&lt;=AL$11,"",IF($A32&gt;AL$12,"",IF(T=AM$11,EXP(-IRTree!AL33*h)*AL99,EXP(-IRTree!AL33*h)*((AM32+AM33)/2+AL99))))</f>
        <v>0.27615872924323365</v>
      </c>
      <c r="AM32" s="3">
        <f>IF(T&lt;=AM$11,"",IF($A32&gt;AM$12,"",IF(T=AN$11,EXP(-IRTree!AM33*h)*AM99,EXP(-IRTree!AM33*h)*((AN32+AN33)/2+AM99))))</f>
        <v>0.48628383967403288</v>
      </c>
      <c r="AN32" s="3">
        <f>IF(T&lt;=AN$11,"",IF($A32&gt;AN$12,"",IF(T=AO$11,EXP(-IRTree!AN33*h)*AN99,EXP(-IRTree!AN33*h)*((AO32+AO33)/2+AN99))))</f>
        <v>0.57465816108418177</v>
      </c>
      <c r="AO32" s="3">
        <f>IF(T&lt;=AO$11,"",IF($A32&gt;AO$12,"",IF(T=AP$11,EXP(-IRTree!AO33*h)*AO99,EXP(-IRTree!AO33*h)*((AP32+AP33)/2+AO99))))</f>
        <v>0.42100651760202784</v>
      </c>
      <c r="AP32" s="3" t="str">
        <f>IF(T&lt;=AP$11,"",IF($A32&gt;AP$12,"",IF(T=AQ$11,EXP(-IRTree!AP33*h)*AP99,EXP(-IRTree!AP33*h)*((AQ32+AQ33)/2+AP99))))</f>
        <v/>
      </c>
      <c r="AQ32" s="3" t="str">
        <f>IF(T&lt;=AQ$11,"",IF($A32&gt;AQ$12,"",IF(T=AR$11,EXP(-IRTree!AQ33*h)*AQ99,EXP(-IRTree!AQ33*h)*((AR32+AR33)/2+AQ99))))</f>
        <v/>
      </c>
      <c r="AR32" s="3" t="str">
        <f>IF(T&lt;=AR$11,"",IF($A32&gt;AR$12,"",IF(T=AS$11,EXP(-IRTree!AR33*h)*AR99,EXP(-IRTree!AR33*h)*((AS32+AS33)/2+AR99))))</f>
        <v/>
      </c>
      <c r="AS32" s="3" t="str">
        <f>IF(T&lt;=AS$11,"",IF($A32&gt;AS$12,"",IF(T=AT$11,EXP(-IRTree!AS33*h)*AS99,EXP(-IRTree!AS33*h)*((AT32+AT33)/2+AS99))))</f>
        <v/>
      </c>
      <c r="AT32" s="3" t="str">
        <f>IF(T&lt;=AT$11,"",IF($A32&gt;AT$12,"",IF(T=AU$11,EXP(-IRTree!AT33*h)*AT99,EXP(-IRTree!AT33*h)*((AU32+AU33)/2+AT99))))</f>
        <v/>
      </c>
      <c r="AU32" s="3" t="str">
        <f>IF(T&lt;=AU$11,"",IF($A32&gt;AU$12,"",IF(T=AV$11,EXP(-IRTree!AU33*h)*AU99,EXP(-IRTree!AU33*h)*((AV32+AV33)/2+AU99))))</f>
        <v/>
      </c>
      <c r="AV32" s="3" t="str">
        <f>IF(T&lt;=AV$11,"",IF($A32&gt;AV$12,"",IF(T=AW$11,EXP(-IRTree!AV33*h)*AV99,EXP(-IRTree!AV33*h)*((AW32+AW33)/2+AV99))))</f>
        <v/>
      </c>
      <c r="AW32" s="3" t="str">
        <f>IF(T&lt;=AW$11,"",IF($A32&gt;AW$12,"",IF(T=AX$11,EXP(-IRTree!AW33*h)*AW99,EXP(-IRTree!AW33*h)*((AX32+AX33)/2+AW99))))</f>
        <v/>
      </c>
      <c r="AX32" s="3" t="str">
        <f>IF(T&lt;=AX$11,"",IF($A32&gt;AX$12,"",IF(T=AY$11,EXP(-IRTree!AX33*h)*AX99,EXP(-IRTree!AX33*h)*((AY32+AY33)/2+AX99))))</f>
        <v/>
      </c>
      <c r="AY32" s="3" t="str">
        <f>IF(T&lt;=AY$11,"",IF($A32&gt;AY$12,"",IF(T=AZ$11,EXP(-IRTree!AY33*h)*AY99,EXP(-IRTree!AY33*h)*((AZ32+AZ33)/2+AY99))))</f>
        <v/>
      </c>
      <c r="AZ32" s="3" t="str">
        <f>IF(T&lt;=AZ$11,"",IF($A32&gt;AZ$12,"",IF(T=BA$11,EXP(-IRTree!AZ33*h)*AZ99,EXP(-IRTree!AZ33*h)*((BA32+BA33)/2+AZ99))))</f>
        <v/>
      </c>
      <c r="BA32" s="3" t="str">
        <f>IF(T&lt;=BA$11,"",IF($A32&gt;BA$12,"",IF(T=BB$11,EXP(-IRTree!BA33*h)*BA99,EXP(-IRTree!BA33*h)*((BB32+BB33)/2+BA99))))</f>
        <v/>
      </c>
      <c r="BB32" s="3" t="str">
        <f>IF(T&lt;=BB$11,"",IF($A32&gt;BB$12,"",IF(T=BC$11,EXP(-IRTree!BB33*h)*BB99,EXP(-IRTree!BB33*h)*((BC32+BC33)/2+BB99))))</f>
        <v/>
      </c>
      <c r="BC32" s="3" t="str">
        <f>IF(T&lt;=BC$11,"",IF($A32&gt;BC$12,"",IF(T=BD$11,EXP(-IRTree!BC33*h)*BC99,EXP(-IRTree!BC33*h)*((BD32+BD33)/2+BC99))))</f>
        <v/>
      </c>
      <c r="BD32" s="3" t="str">
        <f>IF(T&lt;=BD$11,"",IF($A32&gt;BD$12,"",IF(T=BE$11,EXP(-IRTree!BD33*h)*BD99,EXP(-IRTree!BD33*h)*((BE32+BE33)/2+BD99))))</f>
        <v/>
      </c>
      <c r="BE32" s="3" t="str">
        <f>IF(T&lt;=BE$11,"",IF($A32&gt;BE$12,"",IF(T=BF$11,EXP(-IRTree!BE33*h)*BE99,EXP(-IRTree!BE33*h)*((BF32+BF33)/2+BE99))))</f>
        <v/>
      </c>
      <c r="BF32" s="3" t="str">
        <f>IF(T&lt;=BF$11,"",IF($A32&gt;BF$12,"",IF(T=BG$11,EXP(-IRTree!BF33*h)*BF99,EXP(-IRTree!BF33*h)*((BG32+BG33)/2+BF99))))</f>
        <v/>
      </c>
      <c r="BG32" s="3" t="str">
        <f>IF(T&lt;=BG$11,"",IF($A32&gt;BG$12,"",IF(T=BH$11,EXP(-IRTree!BG33*h)*BG99,EXP(-IRTree!BG33*h)*((BH32+BH33)/2+BG99))))</f>
        <v/>
      </c>
      <c r="BH32" s="3" t="str">
        <f>IF(T&lt;=BH$11,"",IF($A32&gt;BH$12,"",IF(T=BI$11,EXP(-IRTree!BH33*h)*BH99,EXP(-IRTree!BH33*h)*((BI32+BI33)/2+BH99))))</f>
        <v/>
      </c>
      <c r="BI32" s="3" t="str">
        <f>IF(T&lt;=BI$11,"",IF($A32&gt;BI$12,"",IF(T=BJ$11,EXP(-IRTree!BI33*h)*BI99,EXP(-IRTree!BI33*h)*((BJ32+BJ33)/2+BI99))))</f>
        <v/>
      </c>
      <c r="BJ32" s="3" t="str">
        <f>IF(T&lt;=BJ$11,"",IF($A32&gt;BJ$12,"",IF(T=BK$11,EXP(-IRTree!BJ33*h)*BJ99,EXP(-IRTree!BJ33*h)*((BK32+BK33)/2+BJ99))))</f>
        <v/>
      </c>
    </row>
    <row r="33" spans="1:62">
      <c r="A33" s="12">
        <f t="shared" si="2"/>
        <v>20</v>
      </c>
      <c r="B33" s="3" t="str">
        <f>IF(T&lt;=B$11,"",IF($A33&gt;B$12,"",IF(T=C$11,EXP(-IRTree!B34*h)*B100,EXP(-IRTree!B34*h)*((C33+C34)/2+B100))))</f>
        <v/>
      </c>
      <c r="C33" s="3" t="str">
        <f>IF(T&lt;=C$11,"",IF($A33&gt;C$12,"",IF(T=D$11,EXP(-IRTree!C34*h)*C100,EXP(-IRTree!C34*h)*((D33+D34)/2+C100))))</f>
        <v/>
      </c>
      <c r="D33" s="3" t="str">
        <f>IF(T&lt;=D$11,"",IF($A33&gt;D$12,"",IF(T=E$11,EXP(-IRTree!D34*h)*D100,EXP(-IRTree!D34*h)*((E33+E34)/2+D100))))</f>
        <v/>
      </c>
      <c r="E33" s="3" t="str">
        <f>IF(T&lt;=E$11,"",IF($A33&gt;E$12,"",IF(T=F$11,EXP(-IRTree!E34*h)*E100,EXP(-IRTree!E34*h)*((F33+F34)/2+E100))))</f>
        <v/>
      </c>
      <c r="F33" s="3" t="str">
        <f>IF(T&lt;=F$11,"",IF($A33&gt;F$12,"",IF(T=G$11,EXP(-IRTree!F34*h)*F100,EXP(-IRTree!F34*h)*((G33+G34)/2+F100))))</f>
        <v/>
      </c>
      <c r="G33" s="3" t="str">
        <f>IF(T&lt;=G$11,"",IF($A33&gt;G$12,"",IF(T=H$11,EXP(-IRTree!G34*h)*G100,EXP(-IRTree!G34*h)*((H33+H34)/2+G100))))</f>
        <v/>
      </c>
      <c r="H33" s="3" t="str">
        <f>IF(T&lt;=H$11,"",IF($A33&gt;H$12,"",IF(T=I$11,EXP(-IRTree!H34*h)*H100,EXP(-IRTree!H34*h)*((I33+I34)/2+H100))))</f>
        <v/>
      </c>
      <c r="I33" s="3" t="str">
        <f>IF(T&lt;=I$11,"",IF($A33&gt;I$12,"",IF(T=J$11,EXP(-IRTree!I34*h)*I100,EXP(-IRTree!I34*h)*((J33+J34)/2+I100))))</f>
        <v/>
      </c>
      <c r="J33" s="3" t="str">
        <f>IF(T&lt;=J$11,"",IF($A33&gt;J$12,"",IF(T=K$11,EXP(-IRTree!J34*h)*J100,EXP(-IRTree!J34*h)*((K33+K34)/2+J100))))</f>
        <v/>
      </c>
      <c r="K33" s="3" t="str">
        <f>IF(T&lt;=K$11,"",IF($A33&gt;K$12,"",IF(T=L$11,EXP(-IRTree!K34*h)*K100,EXP(-IRTree!K34*h)*((L33+L34)/2+K100))))</f>
        <v/>
      </c>
      <c r="L33" s="3" t="str">
        <f>IF(T&lt;=L$11,"",IF($A33&gt;L$12,"",IF(T=M$11,EXP(-IRTree!L34*h)*L100,EXP(-IRTree!L34*h)*((M33+M34)/2+L100))))</f>
        <v/>
      </c>
      <c r="M33" s="3" t="str">
        <f>IF(T&lt;=M$11,"",IF($A33&gt;M$12,"",IF(T=N$11,EXP(-IRTree!M34*h)*M100,EXP(-IRTree!M34*h)*((N33+N34)/2+M100))))</f>
        <v/>
      </c>
      <c r="N33" s="3" t="str">
        <f>IF(T&lt;=N$11,"",IF($A33&gt;N$12,"",IF(T=O$11,EXP(-IRTree!N34*h)*N100,EXP(-IRTree!N34*h)*((O33+O34)/2+N100))))</f>
        <v/>
      </c>
      <c r="O33" s="3" t="str">
        <f>IF(T&lt;=O$11,"",IF($A33&gt;O$12,"",IF(T=P$11,EXP(-IRTree!O34*h)*O100,EXP(-IRTree!O34*h)*((P33+P34)/2+O100))))</f>
        <v/>
      </c>
      <c r="P33" s="3" t="str">
        <f>IF(T&lt;=P$11,"",IF($A33&gt;P$12,"",IF(T=Q$11,EXP(-IRTree!P34*h)*P100,EXP(-IRTree!P34*h)*((Q33+Q34)/2+P100))))</f>
        <v/>
      </c>
      <c r="Q33" s="3" t="str">
        <f>IF(T&lt;=Q$11,"",IF($A33&gt;Q$12,"",IF(T=R$11,EXP(-IRTree!Q34*h)*Q100,EXP(-IRTree!Q34*h)*((R33+R34)/2+Q100))))</f>
        <v/>
      </c>
      <c r="R33" s="3" t="str">
        <f>IF(T&lt;=R$11,"",IF($A33&gt;R$12,"",IF(T=S$11,EXP(-IRTree!R34*h)*R100,EXP(-IRTree!R34*h)*((S33+S34)/2+R100))))</f>
        <v/>
      </c>
      <c r="S33" s="3" t="str">
        <f>IF(T&lt;=S$11,"",IF($A33&gt;S$12,"",IF(T=T$11,EXP(-IRTree!S34*h)*S100,EXP(-IRTree!S34*h)*((T33+T34)/2+S100))))</f>
        <v/>
      </c>
      <c r="T33" s="3" t="str">
        <f>IF(T&lt;=T$11,"",IF($A33&gt;T$12,"",IF(T=U$11,EXP(-IRTree!T34*h)*T100,EXP(-IRTree!T34*h)*((U33+U34)/2+T100))))</f>
        <v/>
      </c>
      <c r="U33" s="3" t="str">
        <f>IF(T&lt;=U$11,"",IF($A33&gt;U$12,"",IF(T=V$11,EXP(-IRTree!U34*h)*U100,EXP(-IRTree!U34*h)*((V33+V34)/2+U100))))</f>
        <v/>
      </c>
      <c r="V33" s="3">
        <f>IF(T&lt;=V$11,"",IF($A33&gt;V$12,"",IF(T=W$11,EXP(-IRTree!V34*h)*V100,EXP(-IRTree!V34*h)*((W33+W34)/2+V100))))</f>
        <v>5.1607364230714983E-7</v>
      </c>
      <c r="W33" s="3">
        <f>IF(T&lt;=W$11,"",IF($A33&gt;W$12,"",IF(T=X$11,EXP(-IRTree!W34*h)*W100,EXP(-IRTree!W34*h)*((X33+X34)/2+W100))))</f>
        <v>1.0331167738608246E-6</v>
      </c>
      <c r="X33" s="3">
        <f>IF(T&lt;=X$11,"",IF($A33&gt;X$12,"",IF(T=Y$11,EXP(-IRTree!X34*h)*X100,EXP(-IRTree!X34*h)*((Y33+Y34)/2+X100))))</f>
        <v>2.0684068796030015E-6</v>
      </c>
      <c r="Y33" s="3">
        <f>IF(T&lt;=Y$11,"",IF($A33&gt;Y$12,"",IF(T=Z$11,EXP(-IRTree!Y34*h)*Y100,EXP(-IRTree!Y34*h)*((Z33+Z34)/2+Y100))))</f>
        <v>4.1422880739587621E-6</v>
      </c>
      <c r="Z33" s="3">
        <f>IF(T&lt;=Z$11,"",IF($A33&gt;Z$12,"",IF(T=AA$11,EXP(-IRTree!Z34*h)*Z100,EXP(-IRTree!Z34*h)*((AA33+AA34)/2+Z100))))</f>
        <v>8.296887017452673E-6</v>
      </c>
      <c r="AA33" s="3">
        <f>IF(T&lt;=AA$11,"",IF($A33&gt;AA$12,"",IF(T=AB$11,EXP(-IRTree!AA34*h)*AA100,EXP(-IRTree!AA34*h)*((AB33+AB34)/2+AA100))))</f>
        <v>1.6622817990648775E-5</v>
      </c>
      <c r="AB33" s="3">
        <f>IF(T&lt;=AB$11,"",IF($A33&gt;AB$12,"",IF(T=AC$11,EXP(-IRTree!AB34*h)*AB100,EXP(-IRTree!AB34*h)*((AC33+AC34)/2+AB100))))</f>
        <v>3.3314315096236605E-5</v>
      </c>
      <c r="AC33" s="3">
        <f>IF(T&lt;=AC$11,"",IF($A33&gt;AC$12,"",IF(T=AD$11,EXP(-IRTree!AC34*h)*AC100,EXP(-IRTree!AC34*h)*((AD33+AD34)/2+AC100))))</f>
        <v>6.6784277267629689E-5</v>
      </c>
      <c r="AD33" s="3">
        <f>IF(T&lt;=AD$11,"",IF($A33&gt;AD$12,"",IF(T=AE$11,EXP(-IRTree!AD34*h)*AD100,EXP(-IRTree!AD34*h)*((AE33+AE34)/2+AD100))))</f>
        <v>1.3393079341577195E-4</v>
      </c>
      <c r="AE33" s="3">
        <f>IF(T&lt;=AE$11,"",IF($A33&gt;AE$12,"",IF(T=AF$11,EXP(-IRTree!AE34*h)*AE100,EXP(-IRTree!AE34*h)*((AF33+AF34)/2+AE100))))</f>
        <v>2.6870508532558752E-4</v>
      </c>
      <c r="AF33" s="3">
        <f>IF(T&lt;=AF$11,"",IF($A33&gt;AF$12,"",IF(T=AG$11,EXP(-IRTree!AF34*h)*AF100,EXP(-IRTree!AF34*h)*((AG33+AG34)/2+AF100))))</f>
        <v>5.3934489479670936E-4</v>
      </c>
      <c r="AG33" s="3">
        <f>IF(T&lt;=AG$11,"",IF($A33&gt;AG$12,"",IF(T=AH$11,EXP(-IRTree!AG34*h)*AG100,EXP(-IRTree!AG34*h)*((AH33+AH34)/2+AG100))))</f>
        <v>1.0831061324863211E-3</v>
      </c>
      <c r="AH33" s="3">
        <f>IF(T&lt;=AH$11,"",IF($A33&gt;AH$12,"",IF(T=AI$11,EXP(-IRTree!AH34*h)*AH100,EXP(-IRTree!AH34*h)*((AI33+AI34)/2+AH100))))</f>
        <v>2.1764135408102541E-3</v>
      </c>
      <c r="AI33" s="3">
        <f>IF(T&lt;=AI$11,"",IF($A33&gt;AI$12,"",IF(T=AJ$11,EXP(-IRTree!AI34*h)*AI100,EXP(-IRTree!AI34*h)*((AJ33+AJ34)/2+AI100))))</f>
        <v>4.3761269541577009E-3</v>
      </c>
      <c r="AJ33" s="3">
        <f>IF(T&lt;=AJ$11,"",IF($A33&gt;AJ$12,"",IF(T=AK$11,EXP(-IRTree!AJ34*h)*AJ100,EXP(-IRTree!AJ34*h)*((AK33+AK34)/2+AJ100))))</f>
        <v>8.806749069502004E-3</v>
      </c>
      <c r="AK33" s="3">
        <f>IF(T&lt;=AK$11,"",IF($A33&gt;AK$12,"",IF(T=AL$11,EXP(-IRTree!AK34*h)*AK100,EXP(-IRTree!AK34*h)*((AL33+AL34)/2+AK100))))</f>
        <v>1.7739250828786291E-2</v>
      </c>
      <c r="AL33" s="3">
        <f>IF(T&lt;=AL$11,"",IF($A33&gt;AL$12,"",IF(T=AM$11,EXP(-IRTree!AL34*h)*AL100,EXP(-IRTree!AL34*h)*((AM33+AM34)/2+AL100))))</f>
        <v>3.5769512786790671E-2</v>
      </c>
      <c r="AM33" s="3">
        <f>IF(T&lt;=AM$11,"",IF($A33&gt;AM$12,"",IF(T=AN$11,EXP(-IRTree!AM34*h)*AM100,EXP(-IRTree!AM34*h)*((AN33+AN34)/2+AM100))))</f>
        <v>7.2197814884168793E-2</v>
      </c>
      <c r="AN33" s="3">
        <f>IF(T&lt;=AN$11,"",IF($A33&gt;AN$12,"",IF(T=AO$11,EXP(-IRTree!AN34*h)*AN100,EXP(-IRTree!AN34*h)*((AO33+AO34)/2+AN100))))</f>
        <v>0.14590855914006437</v>
      </c>
      <c r="AO33" s="3">
        <f>IF(T&lt;=AO$11,"",IF($A33&gt;AO$12,"",IF(T=AP$11,EXP(-IRTree!AO34*h)*AO100,EXP(-IRTree!AO34*h)*((AP33+AP34)/2+AO100))))</f>
        <v>0.18776824223046903</v>
      </c>
      <c r="AP33" s="3" t="str">
        <f>IF(T&lt;=AP$11,"",IF($A33&gt;AP$12,"",IF(T=AQ$11,EXP(-IRTree!AP34*h)*AP100,EXP(-IRTree!AP34*h)*((AQ33+AQ34)/2+AP100))))</f>
        <v/>
      </c>
      <c r="AQ33" s="3" t="str">
        <f>IF(T&lt;=AQ$11,"",IF($A33&gt;AQ$12,"",IF(T=AR$11,EXP(-IRTree!AQ34*h)*AQ100,EXP(-IRTree!AQ34*h)*((AR33+AR34)/2+AQ100))))</f>
        <v/>
      </c>
      <c r="AR33" s="3" t="str">
        <f>IF(T&lt;=AR$11,"",IF($A33&gt;AR$12,"",IF(T=AS$11,EXP(-IRTree!AR34*h)*AR100,EXP(-IRTree!AR34*h)*((AS33+AS34)/2+AR100))))</f>
        <v/>
      </c>
      <c r="AS33" s="3" t="str">
        <f>IF(T&lt;=AS$11,"",IF($A33&gt;AS$12,"",IF(T=AT$11,EXP(-IRTree!AS34*h)*AS100,EXP(-IRTree!AS34*h)*((AT33+AT34)/2+AS100))))</f>
        <v/>
      </c>
      <c r="AT33" s="3" t="str">
        <f>IF(T&lt;=AT$11,"",IF($A33&gt;AT$12,"",IF(T=AU$11,EXP(-IRTree!AT34*h)*AT100,EXP(-IRTree!AT34*h)*((AU33+AU34)/2+AT100))))</f>
        <v/>
      </c>
      <c r="AU33" s="3" t="str">
        <f>IF(T&lt;=AU$11,"",IF($A33&gt;AU$12,"",IF(T=AV$11,EXP(-IRTree!AU34*h)*AU100,EXP(-IRTree!AU34*h)*((AV33+AV34)/2+AU100))))</f>
        <v/>
      </c>
      <c r="AV33" s="3" t="str">
        <f>IF(T&lt;=AV$11,"",IF($A33&gt;AV$12,"",IF(T=AW$11,EXP(-IRTree!AV34*h)*AV100,EXP(-IRTree!AV34*h)*((AW33+AW34)/2+AV100))))</f>
        <v/>
      </c>
      <c r="AW33" s="3" t="str">
        <f>IF(T&lt;=AW$11,"",IF($A33&gt;AW$12,"",IF(T=AX$11,EXP(-IRTree!AW34*h)*AW100,EXP(-IRTree!AW34*h)*((AX33+AX34)/2+AW100))))</f>
        <v/>
      </c>
      <c r="AX33" s="3" t="str">
        <f>IF(T&lt;=AX$11,"",IF($A33&gt;AX$12,"",IF(T=AY$11,EXP(-IRTree!AX34*h)*AX100,EXP(-IRTree!AX34*h)*((AY33+AY34)/2+AX100))))</f>
        <v/>
      </c>
      <c r="AY33" s="3" t="str">
        <f>IF(T&lt;=AY$11,"",IF($A33&gt;AY$12,"",IF(T=AZ$11,EXP(-IRTree!AY34*h)*AY100,EXP(-IRTree!AY34*h)*((AZ33+AZ34)/2+AY100))))</f>
        <v/>
      </c>
      <c r="AZ33" s="3" t="str">
        <f>IF(T&lt;=AZ$11,"",IF($A33&gt;AZ$12,"",IF(T=BA$11,EXP(-IRTree!AZ34*h)*AZ100,EXP(-IRTree!AZ34*h)*((BA33+BA34)/2+AZ100))))</f>
        <v/>
      </c>
      <c r="BA33" s="3" t="str">
        <f>IF(T&lt;=BA$11,"",IF($A33&gt;BA$12,"",IF(T=BB$11,EXP(-IRTree!BA34*h)*BA100,EXP(-IRTree!BA34*h)*((BB33+BB34)/2+BA100))))</f>
        <v/>
      </c>
      <c r="BB33" s="3" t="str">
        <f>IF(T&lt;=BB$11,"",IF($A33&gt;BB$12,"",IF(T=BC$11,EXP(-IRTree!BB34*h)*BB100,EXP(-IRTree!BB34*h)*((BC33+BC34)/2+BB100))))</f>
        <v/>
      </c>
      <c r="BC33" s="3" t="str">
        <f>IF(T&lt;=BC$11,"",IF($A33&gt;BC$12,"",IF(T=BD$11,EXP(-IRTree!BC34*h)*BC100,EXP(-IRTree!BC34*h)*((BD33+BD34)/2+BC100))))</f>
        <v/>
      </c>
      <c r="BD33" s="3" t="str">
        <f>IF(T&lt;=BD$11,"",IF($A33&gt;BD$12,"",IF(T=BE$11,EXP(-IRTree!BD34*h)*BD100,EXP(-IRTree!BD34*h)*((BE33+BE34)/2+BD100))))</f>
        <v/>
      </c>
      <c r="BE33" s="3" t="str">
        <f>IF(T&lt;=BE$11,"",IF($A33&gt;BE$12,"",IF(T=BF$11,EXP(-IRTree!BE34*h)*BE100,EXP(-IRTree!BE34*h)*((BF33+BF34)/2+BE100))))</f>
        <v/>
      </c>
      <c r="BF33" s="3" t="str">
        <f>IF(T&lt;=BF$11,"",IF($A33&gt;BF$12,"",IF(T=BG$11,EXP(-IRTree!BF34*h)*BF100,EXP(-IRTree!BF34*h)*((BG33+BG34)/2+BF100))))</f>
        <v/>
      </c>
      <c r="BG33" s="3" t="str">
        <f>IF(T&lt;=BG$11,"",IF($A33&gt;BG$12,"",IF(T=BH$11,EXP(-IRTree!BG34*h)*BG100,EXP(-IRTree!BG34*h)*((BH33+BH34)/2+BG100))))</f>
        <v/>
      </c>
      <c r="BH33" s="3" t="str">
        <f>IF(T&lt;=BH$11,"",IF($A33&gt;BH$12,"",IF(T=BI$11,EXP(-IRTree!BH34*h)*BH100,EXP(-IRTree!BH34*h)*((BI33+BI34)/2+BH100))))</f>
        <v/>
      </c>
      <c r="BI33" s="3" t="str">
        <f>IF(T&lt;=BI$11,"",IF($A33&gt;BI$12,"",IF(T=BJ$11,EXP(-IRTree!BI34*h)*BI100,EXP(-IRTree!BI34*h)*((BJ33+BJ34)/2+BI100))))</f>
        <v/>
      </c>
      <c r="BJ33" s="3" t="str">
        <f>IF(T&lt;=BJ$11,"",IF($A33&gt;BJ$12,"",IF(T=BK$11,EXP(-IRTree!BJ34*h)*BJ100,EXP(-IRTree!BJ34*h)*((BK33+BK34)/2+BJ100))))</f>
        <v/>
      </c>
    </row>
    <row r="34" spans="1:62">
      <c r="A34" s="12">
        <f t="shared" si="2"/>
        <v>21</v>
      </c>
      <c r="B34" s="3" t="str">
        <f>IF(T&lt;=B$11,"",IF($A34&gt;B$12,"",IF(T=C$11,EXP(-IRTree!B35*h)*B101,EXP(-IRTree!B35*h)*((C34+C35)/2+B101))))</f>
        <v/>
      </c>
      <c r="C34" s="3" t="str">
        <f>IF(T&lt;=C$11,"",IF($A34&gt;C$12,"",IF(T=D$11,EXP(-IRTree!C35*h)*C101,EXP(-IRTree!C35*h)*((D34+D35)/2+C101))))</f>
        <v/>
      </c>
      <c r="D34" s="3" t="str">
        <f>IF(T&lt;=D$11,"",IF($A34&gt;D$12,"",IF(T=E$11,EXP(-IRTree!D35*h)*D101,EXP(-IRTree!D35*h)*((E34+E35)/2+D101))))</f>
        <v/>
      </c>
      <c r="E34" s="3" t="str">
        <f>IF(T&lt;=E$11,"",IF($A34&gt;E$12,"",IF(T=F$11,EXP(-IRTree!E35*h)*E101,EXP(-IRTree!E35*h)*((F34+F35)/2+E101))))</f>
        <v/>
      </c>
      <c r="F34" s="3" t="str">
        <f>IF(T&lt;=F$11,"",IF($A34&gt;F$12,"",IF(T=G$11,EXP(-IRTree!F35*h)*F101,EXP(-IRTree!F35*h)*((G34+G35)/2+F101))))</f>
        <v/>
      </c>
      <c r="G34" s="3" t="str">
        <f>IF(T&lt;=G$11,"",IF($A34&gt;G$12,"",IF(T=H$11,EXP(-IRTree!G35*h)*G101,EXP(-IRTree!G35*h)*((H34+H35)/2+G101))))</f>
        <v/>
      </c>
      <c r="H34" s="3" t="str">
        <f>IF(T&lt;=H$11,"",IF($A34&gt;H$12,"",IF(T=I$11,EXP(-IRTree!H35*h)*H101,EXP(-IRTree!H35*h)*((I34+I35)/2+H101))))</f>
        <v/>
      </c>
      <c r="I34" s="3" t="str">
        <f>IF(T&lt;=I$11,"",IF($A34&gt;I$12,"",IF(T=J$11,EXP(-IRTree!I35*h)*I101,EXP(-IRTree!I35*h)*((J34+J35)/2+I101))))</f>
        <v/>
      </c>
      <c r="J34" s="3" t="str">
        <f>IF(T&lt;=J$11,"",IF($A34&gt;J$12,"",IF(T=K$11,EXP(-IRTree!J35*h)*J101,EXP(-IRTree!J35*h)*((K34+K35)/2+J101))))</f>
        <v/>
      </c>
      <c r="K34" s="3" t="str">
        <f>IF(T&lt;=K$11,"",IF($A34&gt;K$12,"",IF(T=L$11,EXP(-IRTree!K35*h)*K101,EXP(-IRTree!K35*h)*((L34+L35)/2+K101))))</f>
        <v/>
      </c>
      <c r="L34" s="3" t="str">
        <f>IF(T&lt;=L$11,"",IF($A34&gt;L$12,"",IF(T=M$11,EXP(-IRTree!L35*h)*L101,EXP(-IRTree!L35*h)*((M34+M35)/2+L101))))</f>
        <v/>
      </c>
      <c r="M34" s="3" t="str">
        <f>IF(T&lt;=M$11,"",IF($A34&gt;M$12,"",IF(T=N$11,EXP(-IRTree!M35*h)*M101,EXP(-IRTree!M35*h)*((N34+N35)/2+M101))))</f>
        <v/>
      </c>
      <c r="N34" s="3" t="str">
        <f>IF(T&lt;=N$11,"",IF($A34&gt;N$12,"",IF(T=O$11,EXP(-IRTree!N35*h)*N101,EXP(-IRTree!N35*h)*((O34+O35)/2+N101))))</f>
        <v/>
      </c>
      <c r="O34" s="3" t="str">
        <f>IF(T&lt;=O$11,"",IF($A34&gt;O$12,"",IF(T=P$11,EXP(-IRTree!O35*h)*O101,EXP(-IRTree!O35*h)*((P34+P35)/2+O101))))</f>
        <v/>
      </c>
      <c r="P34" s="3" t="str">
        <f>IF(T&lt;=P$11,"",IF($A34&gt;P$12,"",IF(T=Q$11,EXP(-IRTree!P35*h)*P101,EXP(-IRTree!P35*h)*((Q34+Q35)/2+P101))))</f>
        <v/>
      </c>
      <c r="Q34" s="3" t="str">
        <f>IF(T&lt;=Q$11,"",IF($A34&gt;Q$12,"",IF(T=R$11,EXP(-IRTree!Q35*h)*Q101,EXP(-IRTree!Q35*h)*((R34+R35)/2+Q101))))</f>
        <v/>
      </c>
      <c r="R34" s="3" t="str">
        <f>IF(T&lt;=R$11,"",IF($A34&gt;R$12,"",IF(T=S$11,EXP(-IRTree!R35*h)*R101,EXP(-IRTree!R35*h)*((S34+S35)/2+R101))))</f>
        <v/>
      </c>
      <c r="S34" s="3" t="str">
        <f>IF(T&lt;=S$11,"",IF($A34&gt;S$12,"",IF(T=T$11,EXP(-IRTree!S35*h)*S101,EXP(-IRTree!S35*h)*((T34+T35)/2+S101))))</f>
        <v/>
      </c>
      <c r="T34" s="3" t="str">
        <f>IF(T&lt;=T$11,"",IF($A34&gt;T$12,"",IF(T=U$11,EXP(-IRTree!T35*h)*T101,EXP(-IRTree!T35*h)*((U34+U35)/2+T101))))</f>
        <v/>
      </c>
      <c r="U34" s="3" t="str">
        <f>IF(T&lt;=U$11,"",IF($A34&gt;U$12,"",IF(T=V$11,EXP(-IRTree!U35*h)*U101,EXP(-IRTree!U35*h)*((V34+V35)/2+U101))))</f>
        <v/>
      </c>
      <c r="V34" s="3" t="str">
        <f>IF(T&lt;=V$11,"",IF($A34&gt;V$12,"",IF(T=W$11,EXP(-IRTree!V35*h)*V101,EXP(-IRTree!V35*h)*((W34+W35)/2+V101))))</f>
        <v/>
      </c>
      <c r="W34" s="3">
        <f>IF(T&lt;=W$11,"",IF($A34&gt;W$12,"",IF(T=X$11,EXP(-IRTree!W35*h)*W101,EXP(-IRTree!W35*h)*((X34+X35)/2+W101))))</f>
        <v>0</v>
      </c>
      <c r="X34" s="3">
        <f>IF(T&lt;=X$11,"",IF($A34&gt;X$12,"",IF(T=Y$11,EXP(-IRTree!X35*h)*X101,EXP(-IRTree!X35*h)*((Y34+Y35)/2+X101))))</f>
        <v>0</v>
      </c>
      <c r="Y34" s="3">
        <f>IF(T&lt;=Y$11,"",IF($A34&gt;Y$12,"",IF(T=Z$11,EXP(-IRTree!Y35*h)*Y101,EXP(-IRTree!Y35*h)*((Z34+Z35)/2+Y101))))</f>
        <v>0</v>
      </c>
      <c r="Z34" s="3">
        <f>IF(T&lt;=Z$11,"",IF($A34&gt;Z$12,"",IF(T=AA$11,EXP(-IRTree!Z35*h)*Z101,EXP(-IRTree!Z35*h)*((AA34+AA35)/2+Z101))))</f>
        <v>0</v>
      </c>
      <c r="AA34" s="3">
        <f>IF(T&lt;=AA$11,"",IF($A34&gt;AA$12,"",IF(T=AB$11,EXP(-IRTree!AA35*h)*AA101,EXP(-IRTree!AA35*h)*((AB34+AB35)/2+AA101))))</f>
        <v>0</v>
      </c>
      <c r="AB34" s="3">
        <f>IF(T&lt;=AB$11,"",IF($A34&gt;AB$12,"",IF(T=AC$11,EXP(-IRTree!AB35*h)*AB101,EXP(-IRTree!AB35*h)*((AC34+AC35)/2+AB101))))</f>
        <v>0</v>
      </c>
      <c r="AC34" s="3">
        <f>IF(T&lt;=AC$11,"",IF($A34&gt;AC$12,"",IF(T=AD$11,EXP(-IRTree!AC35*h)*AC101,EXP(-IRTree!AC35*h)*((AD34+AD35)/2+AC101))))</f>
        <v>0</v>
      </c>
      <c r="AD34" s="3">
        <f>IF(T&lt;=AD$11,"",IF($A34&gt;AD$12,"",IF(T=AE$11,EXP(-IRTree!AD35*h)*AD101,EXP(-IRTree!AD35*h)*((AE34+AE35)/2+AD101))))</f>
        <v>0</v>
      </c>
      <c r="AE34" s="3">
        <f>IF(T&lt;=AE$11,"",IF($A34&gt;AE$12,"",IF(T=AF$11,EXP(-IRTree!AE35*h)*AE101,EXP(-IRTree!AE35*h)*((AF34+AF35)/2+AE101))))</f>
        <v>0</v>
      </c>
      <c r="AF34" s="3">
        <f>IF(T&lt;=AF$11,"",IF($A34&gt;AF$12,"",IF(T=AG$11,EXP(-IRTree!AF35*h)*AF101,EXP(-IRTree!AF35*h)*((AG34+AG35)/2+AF101))))</f>
        <v>0</v>
      </c>
      <c r="AG34" s="3">
        <f>IF(T&lt;=AG$11,"",IF($A34&gt;AG$12,"",IF(T=AH$11,EXP(-IRTree!AG35*h)*AG101,EXP(-IRTree!AG35*h)*((AH34+AH35)/2+AG101))))</f>
        <v>0</v>
      </c>
      <c r="AH34" s="3">
        <f>IF(T&lt;=AH$11,"",IF($A34&gt;AH$12,"",IF(T=AI$11,EXP(-IRTree!AH35*h)*AH101,EXP(-IRTree!AH35*h)*((AI34+AI35)/2+AH101))))</f>
        <v>0</v>
      </c>
      <c r="AI34" s="3">
        <f>IF(T&lt;=AI$11,"",IF($A34&gt;AI$12,"",IF(T=AJ$11,EXP(-IRTree!AI35*h)*AI101,EXP(-IRTree!AI35*h)*((AJ34+AJ35)/2+AI101))))</f>
        <v>0</v>
      </c>
      <c r="AJ34" s="3">
        <f>IF(T&lt;=AJ$11,"",IF($A34&gt;AJ$12,"",IF(T=AK$11,EXP(-IRTree!AJ35*h)*AJ101,EXP(-IRTree!AJ35*h)*((AK34+AK35)/2+AJ101))))</f>
        <v>0</v>
      </c>
      <c r="AK34" s="3">
        <f>IF(T&lt;=AK$11,"",IF($A34&gt;AK$12,"",IF(T=AL$11,EXP(-IRTree!AK35*h)*AK101,EXP(-IRTree!AK35*h)*((AL34+AL35)/2+AK101))))</f>
        <v>0</v>
      </c>
      <c r="AL34" s="3">
        <f>IF(T&lt;=AL$11,"",IF($A34&gt;AL$12,"",IF(T=AM$11,EXP(-IRTree!AL35*h)*AL101,EXP(-IRTree!AL35*h)*((AM34+AM35)/2+AL101))))</f>
        <v>0</v>
      </c>
      <c r="AM34" s="3">
        <f>IF(T&lt;=AM$11,"",IF($A34&gt;AM$12,"",IF(T=AN$11,EXP(-IRTree!AM35*h)*AM101,EXP(-IRTree!AM35*h)*((AN34+AN35)/2+AM101))))</f>
        <v>0</v>
      </c>
      <c r="AN34" s="3">
        <f>IF(T&lt;=AN$11,"",IF($A34&gt;AN$12,"",IF(T=AO$11,EXP(-IRTree!AN35*h)*AN101,EXP(-IRTree!AN35*h)*((AO34+AO35)/2+AN101))))</f>
        <v>0</v>
      </c>
      <c r="AO34" s="3">
        <f>IF(T&lt;=AO$11,"",IF($A34&gt;AO$12,"",IF(T=AP$11,EXP(-IRTree!AO35*h)*AO101,EXP(-IRTree!AO35*h)*((AP34+AP35)/2+AO101))))</f>
        <v>0</v>
      </c>
      <c r="AP34" s="3" t="str">
        <f>IF(T&lt;=AP$11,"",IF($A34&gt;AP$12,"",IF(T=AQ$11,EXP(-IRTree!AP35*h)*AP101,EXP(-IRTree!AP35*h)*((AQ34+AQ35)/2+AP101))))</f>
        <v/>
      </c>
      <c r="AQ34" s="3" t="str">
        <f>IF(T&lt;=AQ$11,"",IF($A34&gt;AQ$12,"",IF(T=AR$11,EXP(-IRTree!AQ35*h)*AQ101,EXP(-IRTree!AQ35*h)*((AR34+AR35)/2+AQ101))))</f>
        <v/>
      </c>
      <c r="AR34" s="3" t="str">
        <f>IF(T&lt;=AR$11,"",IF($A34&gt;AR$12,"",IF(T=AS$11,EXP(-IRTree!AR35*h)*AR101,EXP(-IRTree!AR35*h)*((AS34+AS35)/2+AR101))))</f>
        <v/>
      </c>
      <c r="AS34" s="3" t="str">
        <f>IF(T&lt;=AS$11,"",IF($A34&gt;AS$12,"",IF(T=AT$11,EXP(-IRTree!AS35*h)*AS101,EXP(-IRTree!AS35*h)*((AT34+AT35)/2+AS101))))</f>
        <v/>
      </c>
      <c r="AT34" s="3" t="str">
        <f>IF(T&lt;=AT$11,"",IF($A34&gt;AT$12,"",IF(T=AU$11,EXP(-IRTree!AT35*h)*AT101,EXP(-IRTree!AT35*h)*((AU34+AU35)/2+AT101))))</f>
        <v/>
      </c>
      <c r="AU34" s="3" t="str">
        <f>IF(T&lt;=AU$11,"",IF($A34&gt;AU$12,"",IF(T=AV$11,EXP(-IRTree!AU35*h)*AU101,EXP(-IRTree!AU35*h)*((AV34+AV35)/2+AU101))))</f>
        <v/>
      </c>
      <c r="AV34" s="3" t="str">
        <f>IF(T&lt;=AV$11,"",IF($A34&gt;AV$12,"",IF(T=AW$11,EXP(-IRTree!AV35*h)*AV101,EXP(-IRTree!AV35*h)*((AW34+AW35)/2+AV101))))</f>
        <v/>
      </c>
      <c r="AW34" s="3" t="str">
        <f>IF(T&lt;=AW$11,"",IF($A34&gt;AW$12,"",IF(T=AX$11,EXP(-IRTree!AW35*h)*AW101,EXP(-IRTree!AW35*h)*((AX34+AX35)/2+AW101))))</f>
        <v/>
      </c>
      <c r="AX34" s="3" t="str">
        <f>IF(T&lt;=AX$11,"",IF($A34&gt;AX$12,"",IF(T=AY$11,EXP(-IRTree!AX35*h)*AX101,EXP(-IRTree!AX35*h)*((AY34+AY35)/2+AX101))))</f>
        <v/>
      </c>
      <c r="AY34" s="3" t="str">
        <f>IF(T&lt;=AY$11,"",IF($A34&gt;AY$12,"",IF(T=AZ$11,EXP(-IRTree!AY35*h)*AY101,EXP(-IRTree!AY35*h)*((AZ34+AZ35)/2+AY101))))</f>
        <v/>
      </c>
      <c r="AZ34" s="3" t="str">
        <f>IF(T&lt;=AZ$11,"",IF($A34&gt;AZ$12,"",IF(T=BA$11,EXP(-IRTree!AZ35*h)*AZ101,EXP(-IRTree!AZ35*h)*((BA34+BA35)/2+AZ101))))</f>
        <v/>
      </c>
      <c r="BA34" s="3" t="str">
        <f>IF(T&lt;=BA$11,"",IF($A34&gt;BA$12,"",IF(T=BB$11,EXP(-IRTree!BA35*h)*BA101,EXP(-IRTree!BA35*h)*((BB34+BB35)/2+BA101))))</f>
        <v/>
      </c>
      <c r="BB34" s="3" t="str">
        <f>IF(T&lt;=BB$11,"",IF($A34&gt;BB$12,"",IF(T=BC$11,EXP(-IRTree!BB35*h)*BB101,EXP(-IRTree!BB35*h)*((BC34+BC35)/2+BB101))))</f>
        <v/>
      </c>
      <c r="BC34" s="3" t="str">
        <f>IF(T&lt;=BC$11,"",IF($A34&gt;BC$12,"",IF(T=BD$11,EXP(-IRTree!BC35*h)*BC101,EXP(-IRTree!BC35*h)*((BD34+BD35)/2+BC101))))</f>
        <v/>
      </c>
      <c r="BD34" s="3" t="str">
        <f>IF(T&lt;=BD$11,"",IF($A34&gt;BD$12,"",IF(T=BE$11,EXP(-IRTree!BD35*h)*BD101,EXP(-IRTree!BD35*h)*((BE34+BE35)/2+BD101))))</f>
        <v/>
      </c>
      <c r="BE34" s="3" t="str">
        <f>IF(T&lt;=BE$11,"",IF($A34&gt;BE$12,"",IF(T=BF$11,EXP(-IRTree!BE35*h)*BE101,EXP(-IRTree!BE35*h)*((BF34+BF35)/2+BE101))))</f>
        <v/>
      </c>
      <c r="BF34" s="3" t="str">
        <f>IF(T&lt;=BF$11,"",IF($A34&gt;BF$12,"",IF(T=BG$11,EXP(-IRTree!BF35*h)*BF101,EXP(-IRTree!BF35*h)*((BG34+BG35)/2+BF101))))</f>
        <v/>
      </c>
      <c r="BG34" s="3" t="str">
        <f>IF(T&lt;=BG$11,"",IF($A34&gt;BG$12,"",IF(T=BH$11,EXP(-IRTree!BG35*h)*BG101,EXP(-IRTree!BG35*h)*((BH34+BH35)/2+BG101))))</f>
        <v/>
      </c>
      <c r="BH34" s="3" t="str">
        <f>IF(T&lt;=BH$11,"",IF($A34&gt;BH$12,"",IF(T=BI$11,EXP(-IRTree!BH35*h)*BH101,EXP(-IRTree!BH35*h)*((BI34+BI35)/2+BH101))))</f>
        <v/>
      </c>
      <c r="BI34" s="3" t="str">
        <f>IF(T&lt;=BI$11,"",IF($A34&gt;BI$12,"",IF(T=BJ$11,EXP(-IRTree!BI35*h)*BI101,EXP(-IRTree!BI35*h)*((BJ34+BJ35)/2+BI101))))</f>
        <v/>
      </c>
      <c r="BJ34" s="3" t="str">
        <f>IF(T&lt;=BJ$11,"",IF($A34&gt;BJ$12,"",IF(T=BK$11,EXP(-IRTree!BJ35*h)*BJ101,EXP(-IRTree!BJ35*h)*((BK34+BK35)/2+BJ101))))</f>
        <v/>
      </c>
    </row>
    <row r="35" spans="1:62">
      <c r="A35" s="12">
        <f t="shared" si="2"/>
        <v>22</v>
      </c>
      <c r="B35" s="3" t="str">
        <f>IF(T&lt;=B$11,"",IF($A35&gt;B$12,"",IF(T=C$11,EXP(-IRTree!B36*h)*B102,EXP(-IRTree!B36*h)*((C35+C36)/2+B102))))</f>
        <v/>
      </c>
      <c r="C35" s="3" t="str">
        <f>IF(T&lt;=C$11,"",IF($A35&gt;C$12,"",IF(T=D$11,EXP(-IRTree!C36*h)*C102,EXP(-IRTree!C36*h)*((D35+D36)/2+C102))))</f>
        <v/>
      </c>
      <c r="D35" s="3" t="str">
        <f>IF(T&lt;=D$11,"",IF($A35&gt;D$12,"",IF(T=E$11,EXP(-IRTree!D36*h)*D102,EXP(-IRTree!D36*h)*((E35+E36)/2+D102))))</f>
        <v/>
      </c>
      <c r="E35" s="3" t="str">
        <f>IF(T&lt;=E$11,"",IF($A35&gt;E$12,"",IF(T=F$11,EXP(-IRTree!E36*h)*E102,EXP(-IRTree!E36*h)*((F35+F36)/2+E102))))</f>
        <v/>
      </c>
      <c r="F35" s="3" t="str">
        <f>IF(T&lt;=F$11,"",IF($A35&gt;F$12,"",IF(T=G$11,EXP(-IRTree!F36*h)*F102,EXP(-IRTree!F36*h)*((G35+G36)/2+F102))))</f>
        <v/>
      </c>
      <c r="G35" s="3" t="str">
        <f>IF(T&lt;=G$11,"",IF($A35&gt;G$12,"",IF(T=H$11,EXP(-IRTree!G36*h)*G102,EXP(-IRTree!G36*h)*((H35+H36)/2+G102))))</f>
        <v/>
      </c>
      <c r="H35" s="3" t="str">
        <f>IF(T&lt;=H$11,"",IF($A35&gt;H$12,"",IF(T=I$11,EXP(-IRTree!H36*h)*H102,EXP(-IRTree!H36*h)*((I35+I36)/2+H102))))</f>
        <v/>
      </c>
      <c r="I35" s="3" t="str">
        <f>IF(T&lt;=I$11,"",IF($A35&gt;I$12,"",IF(T=J$11,EXP(-IRTree!I36*h)*I102,EXP(-IRTree!I36*h)*((J35+J36)/2+I102))))</f>
        <v/>
      </c>
      <c r="J35" s="3" t="str">
        <f>IF(T&lt;=J$11,"",IF($A35&gt;J$12,"",IF(T=K$11,EXP(-IRTree!J36*h)*J102,EXP(-IRTree!J36*h)*((K35+K36)/2+J102))))</f>
        <v/>
      </c>
      <c r="K35" s="3" t="str">
        <f>IF(T&lt;=K$11,"",IF($A35&gt;K$12,"",IF(T=L$11,EXP(-IRTree!K36*h)*K102,EXP(-IRTree!K36*h)*((L35+L36)/2+K102))))</f>
        <v/>
      </c>
      <c r="L35" s="3" t="str">
        <f>IF(T&lt;=L$11,"",IF($A35&gt;L$12,"",IF(T=M$11,EXP(-IRTree!L36*h)*L102,EXP(-IRTree!L36*h)*((M35+M36)/2+L102))))</f>
        <v/>
      </c>
      <c r="M35" s="3" t="str">
        <f>IF(T&lt;=M$11,"",IF($A35&gt;M$12,"",IF(T=N$11,EXP(-IRTree!M36*h)*M102,EXP(-IRTree!M36*h)*((N35+N36)/2+M102))))</f>
        <v/>
      </c>
      <c r="N35" s="3" t="str">
        <f>IF(T&lt;=N$11,"",IF($A35&gt;N$12,"",IF(T=O$11,EXP(-IRTree!N36*h)*N102,EXP(-IRTree!N36*h)*((O35+O36)/2+N102))))</f>
        <v/>
      </c>
      <c r="O35" s="3" t="str">
        <f>IF(T&lt;=O$11,"",IF($A35&gt;O$12,"",IF(T=P$11,EXP(-IRTree!O36*h)*O102,EXP(-IRTree!O36*h)*((P35+P36)/2+O102))))</f>
        <v/>
      </c>
      <c r="P35" s="3" t="str">
        <f>IF(T&lt;=P$11,"",IF($A35&gt;P$12,"",IF(T=Q$11,EXP(-IRTree!P36*h)*P102,EXP(-IRTree!P36*h)*((Q35+Q36)/2+P102))))</f>
        <v/>
      </c>
      <c r="Q35" s="3" t="str">
        <f>IF(T&lt;=Q$11,"",IF($A35&gt;Q$12,"",IF(T=R$11,EXP(-IRTree!Q36*h)*Q102,EXP(-IRTree!Q36*h)*((R35+R36)/2+Q102))))</f>
        <v/>
      </c>
      <c r="R35" s="3" t="str">
        <f>IF(T&lt;=R$11,"",IF($A35&gt;R$12,"",IF(T=S$11,EXP(-IRTree!R36*h)*R102,EXP(-IRTree!R36*h)*((S35+S36)/2+R102))))</f>
        <v/>
      </c>
      <c r="S35" s="3" t="str">
        <f>IF(T&lt;=S$11,"",IF($A35&gt;S$12,"",IF(T=T$11,EXP(-IRTree!S36*h)*S102,EXP(-IRTree!S36*h)*((T35+T36)/2+S102))))</f>
        <v/>
      </c>
      <c r="T35" s="3" t="str">
        <f>IF(T&lt;=T$11,"",IF($A35&gt;T$12,"",IF(T=U$11,EXP(-IRTree!T36*h)*T102,EXP(-IRTree!T36*h)*((U35+U36)/2+T102))))</f>
        <v/>
      </c>
      <c r="U35" s="3" t="str">
        <f>IF(T&lt;=U$11,"",IF($A35&gt;U$12,"",IF(T=V$11,EXP(-IRTree!U36*h)*U102,EXP(-IRTree!U36*h)*((V35+V36)/2+U102))))</f>
        <v/>
      </c>
      <c r="V35" s="3" t="str">
        <f>IF(T&lt;=V$11,"",IF($A35&gt;V$12,"",IF(T=W$11,EXP(-IRTree!V36*h)*V102,EXP(-IRTree!V36*h)*((W35+W36)/2+V102))))</f>
        <v/>
      </c>
      <c r="W35" s="3" t="str">
        <f>IF(T&lt;=W$11,"",IF($A35&gt;W$12,"",IF(T=X$11,EXP(-IRTree!W36*h)*W102,EXP(-IRTree!W36*h)*((X35+X36)/2+W102))))</f>
        <v/>
      </c>
      <c r="X35" s="3">
        <f>IF(T&lt;=X$11,"",IF($A35&gt;X$12,"",IF(T=Y$11,EXP(-IRTree!X36*h)*X102,EXP(-IRTree!X36*h)*((Y35+Y36)/2+X102))))</f>
        <v>0</v>
      </c>
      <c r="Y35" s="3">
        <f>IF(T&lt;=Y$11,"",IF($A35&gt;Y$12,"",IF(T=Z$11,EXP(-IRTree!Y36*h)*Y102,EXP(-IRTree!Y36*h)*((Z35+Z36)/2+Y102))))</f>
        <v>0</v>
      </c>
      <c r="Z35" s="3">
        <f>IF(T&lt;=Z$11,"",IF($A35&gt;Z$12,"",IF(T=AA$11,EXP(-IRTree!Z36*h)*Z102,EXP(-IRTree!Z36*h)*((AA35+AA36)/2+Z102))))</f>
        <v>0</v>
      </c>
      <c r="AA35" s="3">
        <f>IF(T&lt;=AA$11,"",IF($A35&gt;AA$12,"",IF(T=AB$11,EXP(-IRTree!AA36*h)*AA102,EXP(-IRTree!AA36*h)*((AB35+AB36)/2+AA102))))</f>
        <v>0</v>
      </c>
      <c r="AB35" s="3">
        <f>IF(T&lt;=AB$11,"",IF($A35&gt;AB$12,"",IF(T=AC$11,EXP(-IRTree!AB36*h)*AB102,EXP(-IRTree!AB36*h)*((AC35+AC36)/2+AB102))))</f>
        <v>0</v>
      </c>
      <c r="AC35" s="3">
        <f>IF(T&lt;=AC$11,"",IF($A35&gt;AC$12,"",IF(T=AD$11,EXP(-IRTree!AC36*h)*AC102,EXP(-IRTree!AC36*h)*((AD35+AD36)/2+AC102))))</f>
        <v>0</v>
      </c>
      <c r="AD35" s="3">
        <f>IF(T&lt;=AD$11,"",IF($A35&gt;AD$12,"",IF(T=AE$11,EXP(-IRTree!AD36*h)*AD102,EXP(-IRTree!AD36*h)*((AE35+AE36)/2+AD102))))</f>
        <v>0</v>
      </c>
      <c r="AE35" s="3">
        <f>IF(T&lt;=AE$11,"",IF($A35&gt;AE$12,"",IF(T=AF$11,EXP(-IRTree!AE36*h)*AE102,EXP(-IRTree!AE36*h)*((AF35+AF36)/2+AE102))))</f>
        <v>0</v>
      </c>
      <c r="AF35" s="3">
        <f>IF(T&lt;=AF$11,"",IF($A35&gt;AF$12,"",IF(T=AG$11,EXP(-IRTree!AF36*h)*AF102,EXP(-IRTree!AF36*h)*((AG35+AG36)/2+AF102))))</f>
        <v>0</v>
      </c>
      <c r="AG35" s="3">
        <f>IF(T&lt;=AG$11,"",IF($A35&gt;AG$12,"",IF(T=AH$11,EXP(-IRTree!AG36*h)*AG102,EXP(-IRTree!AG36*h)*((AH35+AH36)/2+AG102))))</f>
        <v>0</v>
      </c>
      <c r="AH35" s="3">
        <f>IF(T&lt;=AH$11,"",IF($A35&gt;AH$12,"",IF(T=AI$11,EXP(-IRTree!AH36*h)*AH102,EXP(-IRTree!AH36*h)*((AI35+AI36)/2+AH102))))</f>
        <v>0</v>
      </c>
      <c r="AI35" s="3">
        <f>IF(T&lt;=AI$11,"",IF($A35&gt;AI$12,"",IF(T=AJ$11,EXP(-IRTree!AI36*h)*AI102,EXP(-IRTree!AI36*h)*((AJ35+AJ36)/2+AI102))))</f>
        <v>0</v>
      </c>
      <c r="AJ35" s="3">
        <f>IF(T&lt;=AJ$11,"",IF($A35&gt;AJ$12,"",IF(T=AK$11,EXP(-IRTree!AJ36*h)*AJ102,EXP(-IRTree!AJ36*h)*((AK35+AK36)/2+AJ102))))</f>
        <v>0</v>
      </c>
      <c r="AK35" s="3">
        <f>IF(T&lt;=AK$11,"",IF($A35&gt;AK$12,"",IF(T=AL$11,EXP(-IRTree!AK36*h)*AK102,EXP(-IRTree!AK36*h)*((AL35+AL36)/2+AK102))))</f>
        <v>0</v>
      </c>
      <c r="AL35" s="3">
        <f>IF(T&lt;=AL$11,"",IF($A35&gt;AL$12,"",IF(T=AM$11,EXP(-IRTree!AL36*h)*AL102,EXP(-IRTree!AL36*h)*((AM35+AM36)/2+AL102))))</f>
        <v>0</v>
      </c>
      <c r="AM35" s="3">
        <f>IF(T&lt;=AM$11,"",IF($A35&gt;AM$12,"",IF(T=AN$11,EXP(-IRTree!AM36*h)*AM102,EXP(-IRTree!AM36*h)*((AN35+AN36)/2+AM102))))</f>
        <v>0</v>
      </c>
      <c r="AN35" s="3">
        <f>IF(T&lt;=AN$11,"",IF($A35&gt;AN$12,"",IF(T=AO$11,EXP(-IRTree!AN36*h)*AN102,EXP(-IRTree!AN36*h)*((AO35+AO36)/2+AN102))))</f>
        <v>0</v>
      </c>
      <c r="AO35" s="3">
        <f>IF(T&lt;=AO$11,"",IF($A35&gt;AO$12,"",IF(T=AP$11,EXP(-IRTree!AO36*h)*AO102,EXP(-IRTree!AO36*h)*((AP35+AP36)/2+AO102))))</f>
        <v>0</v>
      </c>
      <c r="AP35" s="3" t="str">
        <f>IF(T&lt;=AP$11,"",IF($A35&gt;AP$12,"",IF(T=AQ$11,EXP(-IRTree!AP36*h)*AP102,EXP(-IRTree!AP36*h)*((AQ35+AQ36)/2+AP102))))</f>
        <v/>
      </c>
      <c r="AQ35" s="3" t="str">
        <f>IF(T&lt;=AQ$11,"",IF($A35&gt;AQ$12,"",IF(T=AR$11,EXP(-IRTree!AQ36*h)*AQ102,EXP(-IRTree!AQ36*h)*((AR35+AR36)/2+AQ102))))</f>
        <v/>
      </c>
      <c r="AR35" s="3" t="str">
        <f>IF(T&lt;=AR$11,"",IF($A35&gt;AR$12,"",IF(T=AS$11,EXP(-IRTree!AR36*h)*AR102,EXP(-IRTree!AR36*h)*((AS35+AS36)/2+AR102))))</f>
        <v/>
      </c>
      <c r="AS35" s="3" t="str">
        <f>IF(T&lt;=AS$11,"",IF($A35&gt;AS$12,"",IF(T=AT$11,EXP(-IRTree!AS36*h)*AS102,EXP(-IRTree!AS36*h)*((AT35+AT36)/2+AS102))))</f>
        <v/>
      </c>
      <c r="AT35" s="3" t="str">
        <f>IF(T&lt;=AT$11,"",IF($A35&gt;AT$12,"",IF(T=AU$11,EXP(-IRTree!AT36*h)*AT102,EXP(-IRTree!AT36*h)*((AU35+AU36)/2+AT102))))</f>
        <v/>
      </c>
      <c r="AU35" s="3" t="str">
        <f>IF(T&lt;=AU$11,"",IF($A35&gt;AU$12,"",IF(T=AV$11,EXP(-IRTree!AU36*h)*AU102,EXP(-IRTree!AU36*h)*((AV35+AV36)/2+AU102))))</f>
        <v/>
      </c>
      <c r="AV35" s="3" t="str">
        <f>IF(T&lt;=AV$11,"",IF($A35&gt;AV$12,"",IF(T=AW$11,EXP(-IRTree!AV36*h)*AV102,EXP(-IRTree!AV36*h)*((AW35+AW36)/2+AV102))))</f>
        <v/>
      </c>
      <c r="AW35" s="3" t="str">
        <f>IF(T&lt;=AW$11,"",IF($A35&gt;AW$12,"",IF(T=AX$11,EXP(-IRTree!AW36*h)*AW102,EXP(-IRTree!AW36*h)*((AX35+AX36)/2+AW102))))</f>
        <v/>
      </c>
      <c r="AX35" s="3" t="str">
        <f>IF(T&lt;=AX$11,"",IF($A35&gt;AX$12,"",IF(T=AY$11,EXP(-IRTree!AX36*h)*AX102,EXP(-IRTree!AX36*h)*((AY35+AY36)/2+AX102))))</f>
        <v/>
      </c>
      <c r="AY35" s="3" t="str">
        <f>IF(T&lt;=AY$11,"",IF($A35&gt;AY$12,"",IF(T=AZ$11,EXP(-IRTree!AY36*h)*AY102,EXP(-IRTree!AY36*h)*((AZ35+AZ36)/2+AY102))))</f>
        <v/>
      </c>
      <c r="AZ35" s="3" t="str">
        <f>IF(T&lt;=AZ$11,"",IF($A35&gt;AZ$12,"",IF(T=BA$11,EXP(-IRTree!AZ36*h)*AZ102,EXP(-IRTree!AZ36*h)*((BA35+BA36)/2+AZ102))))</f>
        <v/>
      </c>
      <c r="BA35" s="3" t="str">
        <f>IF(T&lt;=BA$11,"",IF($A35&gt;BA$12,"",IF(T=BB$11,EXP(-IRTree!BA36*h)*BA102,EXP(-IRTree!BA36*h)*((BB35+BB36)/2+BA102))))</f>
        <v/>
      </c>
      <c r="BB35" s="3" t="str">
        <f>IF(T&lt;=BB$11,"",IF($A35&gt;BB$12,"",IF(T=BC$11,EXP(-IRTree!BB36*h)*BB102,EXP(-IRTree!BB36*h)*((BC35+BC36)/2+BB102))))</f>
        <v/>
      </c>
      <c r="BC35" s="3" t="str">
        <f>IF(T&lt;=BC$11,"",IF($A35&gt;BC$12,"",IF(T=BD$11,EXP(-IRTree!BC36*h)*BC102,EXP(-IRTree!BC36*h)*((BD35+BD36)/2+BC102))))</f>
        <v/>
      </c>
      <c r="BD35" s="3" t="str">
        <f>IF(T&lt;=BD$11,"",IF($A35&gt;BD$12,"",IF(T=BE$11,EXP(-IRTree!BD36*h)*BD102,EXP(-IRTree!BD36*h)*((BE35+BE36)/2+BD102))))</f>
        <v/>
      </c>
      <c r="BE35" s="3" t="str">
        <f>IF(T&lt;=BE$11,"",IF($A35&gt;BE$12,"",IF(T=BF$11,EXP(-IRTree!BE36*h)*BE102,EXP(-IRTree!BE36*h)*((BF35+BF36)/2+BE102))))</f>
        <v/>
      </c>
      <c r="BF35" s="3" t="str">
        <f>IF(T&lt;=BF$11,"",IF($A35&gt;BF$12,"",IF(T=BG$11,EXP(-IRTree!BF36*h)*BF102,EXP(-IRTree!BF36*h)*((BG35+BG36)/2+BF102))))</f>
        <v/>
      </c>
      <c r="BG35" s="3" t="str">
        <f>IF(T&lt;=BG$11,"",IF($A35&gt;BG$12,"",IF(T=BH$11,EXP(-IRTree!BG36*h)*BG102,EXP(-IRTree!BG36*h)*((BH35+BH36)/2+BG102))))</f>
        <v/>
      </c>
      <c r="BH35" s="3" t="str">
        <f>IF(T&lt;=BH$11,"",IF($A35&gt;BH$12,"",IF(T=BI$11,EXP(-IRTree!BH36*h)*BH102,EXP(-IRTree!BH36*h)*((BI35+BI36)/2+BH102))))</f>
        <v/>
      </c>
      <c r="BI35" s="3" t="str">
        <f>IF(T&lt;=BI$11,"",IF($A35&gt;BI$12,"",IF(T=BJ$11,EXP(-IRTree!BI36*h)*BI102,EXP(-IRTree!BI36*h)*((BJ35+BJ36)/2+BI102))))</f>
        <v/>
      </c>
      <c r="BJ35" s="3" t="str">
        <f>IF(T&lt;=BJ$11,"",IF($A35&gt;BJ$12,"",IF(T=BK$11,EXP(-IRTree!BJ36*h)*BJ102,EXP(-IRTree!BJ36*h)*((BK35+BK36)/2+BJ102))))</f>
        <v/>
      </c>
    </row>
    <row r="36" spans="1:62">
      <c r="A36" s="12">
        <f t="shared" si="2"/>
        <v>23</v>
      </c>
      <c r="B36" s="3" t="str">
        <f>IF(T&lt;=B$11,"",IF($A36&gt;B$12,"",IF(T=C$11,EXP(-IRTree!B37*h)*B103,EXP(-IRTree!B37*h)*((C36+C37)/2+B103))))</f>
        <v/>
      </c>
      <c r="C36" s="3" t="str">
        <f>IF(T&lt;=C$11,"",IF($A36&gt;C$12,"",IF(T=D$11,EXP(-IRTree!C37*h)*C103,EXP(-IRTree!C37*h)*((D36+D37)/2+C103))))</f>
        <v/>
      </c>
      <c r="D36" s="3" t="str">
        <f>IF(T&lt;=D$11,"",IF($A36&gt;D$12,"",IF(T=E$11,EXP(-IRTree!D37*h)*D103,EXP(-IRTree!D37*h)*((E36+E37)/2+D103))))</f>
        <v/>
      </c>
      <c r="E36" s="3" t="str">
        <f>IF(T&lt;=E$11,"",IF($A36&gt;E$12,"",IF(T=F$11,EXP(-IRTree!E37*h)*E103,EXP(-IRTree!E37*h)*((F36+F37)/2+E103))))</f>
        <v/>
      </c>
      <c r="F36" s="3" t="str">
        <f>IF(T&lt;=F$11,"",IF($A36&gt;F$12,"",IF(T=G$11,EXP(-IRTree!F37*h)*F103,EXP(-IRTree!F37*h)*((G36+G37)/2+F103))))</f>
        <v/>
      </c>
      <c r="G36" s="3" t="str">
        <f>IF(T&lt;=G$11,"",IF($A36&gt;G$12,"",IF(T=H$11,EXP(-IRTree!G37*h)*G103,EXP(-IRTree!G37*h)*((H36+H37)/2+G103))))</f>
        <v/>
      </c>
      <c r="H36" s="3" t="str">
        <f>IF(T&lt;=H$11,"",IF($A36&gt;H$12,"",IF(T=I$11,EXP(-IRTree!H37*h)*H103,EXP(-IRTree!H37*h)*((I36+I37)/2+H103))))</f>
        <v/>
      </c>
      <c r="I36" s="3" t="str">
        <f>IF(T&lt;=I$11,"",IF($A36&gt;I$12,"",IF(T=J$11,EXP(-IRTree!I37*h)*I103,EXP(-IRTree!I37*h)*((J36+J37)/2+I103))))</f>
        <v/>
      </c>
      <c r="J36" s="3" t="str">
        <f>IF(T&lt;=J$11,"",IF($A36&gt;J$12,"",IF(T=K$11,EXP(-IRTree!J37*h)*J103,EXP(-IRTree!J37*h)*((K36+K37)/2+J103))))</f>
        <v/>
      </c>
      <c r="K36" s="3" t="str">
        <f>IF(T&lt;=K$11,"",IF($A36&gt;K$12,"",IF(T=L$11,EXP(-IRTree!K37*h)*K103,EXP(-IRTree!K37*h)*((L36+L37)/2+K103))))</f>
        <v/>
      </c>
      <c r="L36" s="3" t="str">
        <f>IF(T&lt;=L$11,"",IF($A36&gt;L$12,"",IF(T=M$11,EXP(-IRTree!L37*h)*L103,EXP(-IRTree!L37*h)*((M36+M37)/2+L103))))</f>
        <v/>
      </c>
      <c r="M36" s="3" t="str">
        <f>IF(T&lt;=M$11,"",IF($A36&gt;M$12,"",IF(T=N$11,EXP(-IRTree!M37*h)*M103,EXP(-IRTree!M37*h)*((N36+N37)/2+M103))))</f>
        <v/>
      </c>
      <c r="N36" s="3" t="str">
        <f>IF(T&lt;=N$11,"",IF($A36&gt;N$12,"",IF(T=O$11,EXP(-IRTree!N37*h)*N103,EXP(-IRTree!N37*h)*((O36+O37)/2+N103))))</f>
        <v/>
      </c>
      <c r="O36" s="3" t="str">
        <f>IF(T&lt;=O$11,"",IF($A36&gt;O$12,"",IF(T=P$11,EXP(-IRTree!O37*h)*O103,EXP(-IRTree!O37*h)*((P36+P37)/2+O103))))</f>
        <v/>
      </c>
      <c r="P36" s="3" t="str">
        <f>IF(T&lt;=P$11,"",IF($A36&gt;P$12,"",IF(T=Q$11,EXP(-IRTree!P37*h)*P103,EXP(-IRTree!P37*h)*((Q36+Q37)/2+P103))))</f>
        <v/>
      </c>
      <c r="Q36" s="3" t="str">
        <f>IF(T&lt;=Q$11,"",IF($A36&gt;Q$12,"",IF(T=R$11,EXP(-IRTree!Q37*h)*Q103,EXP(-IRTree!Q37*h)*((R36+R37)/2+Q103))))</f>
        <v/>
      </c>
      <c r="R36" s="3" t="str">
        <f>IF(T&lt;=R$11,"",IF($A36&gt;R$12,"",IF(T=S$11,EXP(-IRTree!R37*h)*R103,EXP(-IRTree!R37*h)*((S36+S37)/2+R103))))</f>
        <v/>
      </c>
      <c r="S36" s="3" t="str">
        <f>IF(T&lt;=S$11,"",IF($A36&gt;S$12,"",IF(T=T$11,EXP(-IRTree!S37*h)*S103,EXP(-IRTree!S37*h)*((T36+T37)/2+S103))))</f>
        <v/>
      </c>
      <c r="T36" s="3" t="str">
        <f>IF(T&lt;=T$11,"",IF($A36&gt;T$12,"",IF(T=U$11,EXP(-IRTree!T37*h)*T103,EXP(-IRTree!T37*h)*((U36+U37)/2+T103))))</f>
        <v/>
      </c>
      <c r="U36" s="3" t="str">
        <f>IF(T&lt;=U$11,"",IF($A36&gt;U$12,"",IF(T=V$11,EXP(-IRTree!U37*h)*U103,EXP(-IRTree!U37*h)*((V36+V37)/2+U103))))</f>
        <v/>
      </c>
      <c r="V36" s="3" t="str">
        <f>IF(T&lt;=V$11,"",IF($A36&gt;V$12,"",IF(T=W$11,EXP(-IRTree!V37*h)*V103,EXP(-IRTree!V37*h)*((W36+W37)/2+V103))))</f>
        <v/>
      </c>
      <c r="W36" s="3" t="str">
        <f>IF(T&lt;=W$11,"",IF($A36&gt;W$12,"",IF(T=X$11,EXP(-IRTree!W37*h)*W103,EXP(-IRTree!W37*h)*((X36+X37)/2+W103))))</f>
        <v/>
      </c>
      <c r="X36" s="3" t="str">
        <f>IF(T&lt;=X$11,"",IF($A36&gt;X$12,"",IF(T=Y$11,EXP(-IRTree!X37*h)*X103,EXP(-IRTree!X37*h)*((Y36+Y37)/2+X103))))</f>
        <v/>
      </c>
      <c r="Y36" s="3">
        <f>IF(T&lt;=Y$11,"",IF($A36&gt;Y$12,"",IF(T=Z$11,EXP(-IRTree!Y37*h)*Y103,EXP(-IRTree!Y37*h)*((Z36+Z37)/2+Y103))))</f>
        <v>0</v>
      </c>
      <c r="Z36" s="3">
        <f>IF(T&lt;=Z$11,"",IF($A36&gt;Z$12,"",IF(T=AA$11,EXP(-IRTree!Z37*h)*Z103,EXP(-IRTree!Z37*h)*((AA36+AA37)/2+Z103))))</f>
        <v>0</v>
      </c>
      <c r="AA36" s="3">
        <f>IF(T&lt;=AA$11,"",IF($A36&gt;AA$12,"",IF(T=AB$11,EXP(-IRTree!AA37*h)*AA103,EXP(-IRTree!AA37*h)*((AB36+AB37)/2+AA103))))</f>
        <v>0</v>
      </c>
      <c r="AB36" s="3">
        <f>IF(T&lt;=AB$11,"",IF($A36&gt;AB$12,"",IF(T=AC$11,EXP(-IRTree!AB37*h)*AB103,EXP(-IRTree!AB37*h)*((AC36+AC37)/2+AB103))))</f>
        <v>0</v>
      </c>
      <c r="AC36" s="3">
        <f>IF(T&lt;=AC$11,"",IF($A36&gt;AC$12,"",IF(T=AD$11,EXP(-IRTree!AC37*h)*AC103,EXP(-IRTree!AC37*h)*((AD36+AD37)/2+AC103))))</f>
        <v>0</v>
      </c>
      <c r="AD36" s="3">
        <f>IF(T&lt;=AD$11,"",IF($A36&gt;AD$12,"",IF(T=AE$11,EXP(-IRTree!AD37*h)*AD103,EXP(-IRTree!AD37*h)*((AE36+AE37)/2+AD103))))</f>
        <v>0</v>
      </c>
      <c r="AE36" s="3">
        <f>IF(T&lt;=AE$11,"",IF($A36&gt;AE$12,"",IF(T=AF$11,EXP(-IRTree!AE37*h)*AE103,EXP(-IRTree!AE37*h)*((AF36+AF37)/2+AE103))))</f>
        <v>0</v>
      </c>
      <c r="AF36" s="3">
        <f>IF(T&lt;=AF$11,"",IF($A36&gt;AF$12,"",IF(T=AG$11,EXP(-IRTree!AF37*h)*AF103,EXP(-IRTree!AF37*h)*((AG36+AG37)/2+AF103))))</f>
        <v>0</v>
      </c>
      <c r="AG36" s="3">
        <f>IF(T&lt;=AG$11,"",IF($A36&gt;AG$12,"",IF(T=AH$11,EXP(-IRTree!AG37*h)*AG103,EXP(-IRTree!AG37*h)*((AH36+AH37)/2+AG103))))</f>
        <v>0</v>
      </c>
      <c r="AH36" s="3">
        <f>IF(T&lt;=AH$11,"",IF($A36&gt;AH$12,"",IF(T=AI$11,EXP(-IRTree!AH37*h)*AH103,EXP(-IRTree!AH37*h)*((AI36+AI37)/2+AH103))))</f>
        <v>0</v>
      </c>
      <c r="AI36" s="3">
        <f>IF(T&lt;=AI$11,"",IF($A36&gt;AI$12,"",IF(T=AJ$11,EXP(-IRTree!AI37*h)*AI103,EXP(-IRTree!AI37*h)*((AJ36+AJ37)/2+AI103))))</f>
        <v>0</v>
      </c>
      <c r="AJ36" s="3">
        <f>IF(T&lt;=AJ$11,"",IF($A36&gt;AJ$12,"",IF(T=AK$11,EXP(-IRTree!AJ37*h)*AJ103,EXP(-IRTree!AJ37*h)*((AK36+AK37)/2+AJ103))))</f>
        <v>0</v>
      </c>
      <c r="AK36" s="3">
        <f>IF(T&lt;=AK$11,"",IF($A36&gt;AK$12,"",IF(T=AL$11,EXP(-IRTree!AK37*h)*AK103,EXP(-IRTree!AK37*h)*((AL36+AL37)/2+AK103))))</f>
        <v>0</v>
      </c>
      <c r="AL36" s="3">
        <f>IF(T&lt;=AL$11,"",IF($A36&gt;AL$12,"",IF(T=AM$11,EXP(-IRTree!AL37*h)*AL103,EXP(-IRTree!AL37*h)*((AM36+AM37)/2+AL103))))</f>
        <v>0</v>
      </c>
      <c r="AM36" s="3">
        <f>IF(T&lt;=AM$11,"",IF($A36&gt;AM$12,"",IF(T=AN$11,EXP(-IRTree!AM37*h)*AM103,EXP(-IRTree!AM37*h)*((AN36+AN37)/2+AM103))))</f>
        <v>0</v>
      </c>
      <c r="AN36" s="3">
        <f>IF(T&lt;=AN$11,"",IF($A36&gt;AN$12,"",IF(T=AO$11,EXP(-IRTree!AN37*h)*AN103,EXP(-IRTree!AN37*h)*((AO36+AO37)/2+AN103))))</f>
        <v>0</v>
      </c>
      <c r="AO36" s="3">
        <f>IF(T&lt;=AO$11,"",IF($A36&gt;AO$12,"",IF(T=AP$11,EXP(-IRTree!AO37*h)*AO103,EXP(-IRTree!AO37*h)*((AP36+AP37)/2+AO103))))</f>
        <v>0</v>
      </c>
      <c r="AP36" s="3" t="str">
        <f>IF(T&lt;=AP$11,"",IF($A36&gt;AP$12,"",IF(T=AQ$11,EXP(-IRTree!AP37*h)*AP103,EXP(-IRTree!AP37*h)*((AQ36+AQ37)/2+AP103))))</f>
        <v/>
      </c>
      <c r="AQ36" s="3" t="str">
        <f>IF(T&lt;=AQ$11,"",IF($A36&gt;AQ$12,"",IF(T=AR$11,EXP(-IRTree!AQ37*h)*AQ103,EXP(-IRTree!AQ37*h)*((AR36+AR37)/2+AQ103))))</f>
        <v/>
      </c>
      <c r="AR36" s="3" t="str">
        <f>IF(T&lt;=AR$11,"",IF($A36&gt;AR$12,"",IF(T=AS$11,EXP(-IRTree!AR37*h)*AR103,EXP(-IRTree!AR37*h)*((AS36+AS37)/2+AR103))))</f>
        <v/>
      </c>
      <c r="AS36" s="3" t="str">
        <f>IF(T&lt;=AS$11,"",IF($A36&gt;AS$12,"",IF(T=AT$11,EXP(-IRTree!AS37*h)*AS103,EXP(-IRTree!AS37*h)*((AT36+AT37)/2+AS103))))</f>
        <v/>
      </c>
      <c r="AT36" s="3" t="str">
        <f>IF(T&lt;=AT$11,"",IF($A36&gt;AT$12,"",IF(T=AU$11,EXP(-IRTree!AT37*h)*AT103,EXP(-IRTree!AT37*h)*((AU36+AU37)/2+AT103))))</f>
        <v/>
      </c>
      <c r="AU36" s="3" t="str">
        <f>IF(T&lt;=AU$11,"",IF($A36&gt;AU$12,"",IF(T=AV$11,EXP(-IRTree!AU37*h)*AU103,EXP(-IRTree!AU37*h)*((AV36+AV37)/2+AU103))))</f>
        <v/>
      </c>
      <c r="AV36" s="3" t="str">
        <f>IF(T&lt;=AV$11,"",IF($A36&gt;AV$12,"",IF(T=AW$11,EXP(-IRTree!AV37*h)*AV103,EXP(-IRTree!AV37*h)*((AW36+AW37)/2+AV103))))</f>
        <v/>
      </c>
      <c r="AW36" s="3" t="str">
        <f>IF(T&lt;=AW$11,"",IF($A36&gt;AW$12,"",IF(T=AX$11,EXP(-IRTree!AW37*h)*AW103,EXP(-IRTree!AW37*h)*((AX36+AX37)/2+AW103))))</f>
        <v/>
      </c>
      <c r="AX36" s="3" t="str">
        <f>IF(T&lt;=AX$11,"",IF($A36&gt;AX$12,"",IF(T=AY$11,EXP(-IRTree!AX37*h)*AX103,EXP(-IRTree!AX37*h)*((AY36+AY37)/2+AX103))))</f>
        <v/>
      </c>
      <c r="AY36" s="3" t="str">
        <f>IF(T&lt;=AY$11,"",IF($A36&gt;AY$12,"",IF(T=AZ$11,EXP(-IRTree!AY37*h)*AY103,EXP(-IRTree!AY37*h)*((AZ36+AZ37)/2+AY103))))</f>
        <v/>
      </c>
      <c r="AZ36" s="3" t="str">
        <f>IF(T&lt;=AZ$11,"",IF($A36&gt;AZ$12,"",IF(T=BA$11,EXP(-IRTree!AZ37*h)*AZ103,EXP(-IRTree!AZ37*h)*((BA36+BA37)/2+AZ103))))</f>
        <v/>
      </c>
      <c r="BA36" s="3" t="str">
        <f>IF(T&lt;=BA$11,"",IF($A36&gt;BA$12,"",IF(T=BB$11,EXP(-IRTree!BA37*h)*BA103,EXP(-IRTree!BA37*h)*((BB36+BB37)/2+BA103))))</f>
        <v/>
      </c>
      <c r="BB36" s="3" t="str">
        <f>IF(T&lt;=BB$11,"",IF($A36&gt;BB$12,"",IF(T=BC$11,EXP(-IRTree!BB37*h)*BB103,EXP(-IRTree!BB37*h)*((BC36+BC37)/2+BB103))))</f>
        <v/>
      </c>
      <c r="BC36" s="3" t="str">
        <f>IF(T&lt;=BC$11,"",IF($A36&gt;BC$12,"",IF(T=BD$11,EXP(-IRTree!BC37*h)*BC103,EXP(-IRTree!BC37*h)*((BD36+BD37)/2+BC103))))</f>
        <v/>
      </c>
      <c r="BD36" s="3" t="str">
        <f>IF(T&lt;=BD$11,"",IF($A36&gt;BD$12,"",IF(T=BE$11,EXP(-IRTree!BD37*h)*BD103,EXP(-IRTree!BD37*h)*((BE36+BE37)/2+BD103))))</f>
        <v/>
      </c>
      <c r="BE36" s="3" t="str">
        <f>IF(T&lt;=BE$11,"",IF($A36&gt;BE$12,"",IF(T=BF$11,EXP(-IRTree!BE37*h)*BE103,EXP(-IRTree!BE37*h)*((BF36+BF37)/2+BE103))))</f>
        <v/>
      </c>
      <c r="BF36" s="3" t="str">
        <f>IF(T&lt;=BF$11,"",IF($A36&gt;BF$12,"",IF(T=BG$11,EXP(-IRTree!BF37*h)*BF103,EXP(-IRTree!BF37*h)*((BG36+BG37)/2+BF103))))</f>
        <v/>
      </c>
      <c r="BG36" s="3" t="str">
        <f>IF(T&lt;=BG$11,"",IF($A36&gt;BG$12,"",IF(T=BH$11,EXP(-IRTree!BG37*h)*BG103,EXP(-IRTree!BG37*h)*((BH36+BH37)/2+BG103))))</f>
        <v/>
      </c>
      <c r="BH36" s="3" t="str">
        <f>IF(T&lt;=BH$11,"",IF($A36&gt;BH$12,"",IF(T=BI$11,EXP(-IRTree!BH37*h)*BH103,EXP(-IRTree!BH37*h)*((BI36+BI37)/2+BH103))))</f>
        <v/>
      </c>
      <c r="BI36" s="3" t="str">
        <f>IF(T&lt;=BI$11,"",IF($A36&gt;BI$12,"",IF(T=BJ$11,EXP(-IRTree!BI37*h)*BI103,EXP(-IRTree!BI37*h)*((BJ36+BJ37)/2+BI103))))</f>
        <v/>
      </c>
      <c r="BJ36" s="3" t="str">
        <f>IF(T&lt;=BJ$11,"",IF($A36&gt;BJ$12,"",IF(T=BK$11,EXP(-IRTree!BJ37*h)*BJ103,EXP(-IRTree!BJ37*h)*((BK36+BK37)/2+BJ103))))</f>
        <v/>
      </c>
    </row>
    <row r="37" spans="1:62">
      <c r="A37" s="12">
        <f t="shared" si="2"/>
        <v>24</v>
      </c>
      <c r="B37" s="3" t="str">
        <f>IF(T&lt;=B$11,"",IF($A37&gt;B$12,"",IF(T=C$11,EXP(-IRTree!B38*h)*B104,EXP(-IRTree!B38*h)*((C37+C38)/2+B104))))</f>
        <v/>
      </c>
      <c r="C37" s="3" t="str">
        <f>IF(T&lt;=C$11,"",IF($A37&gt;C$12,"",IF(T=D$11,EXP(-IRTree!C38*h)*C104,EXP(-IRTree!C38*h)*((D37+D38)/2+C104))))</f>
        <v/>
      </c>
      <c r="D37" s="3" t="str">
        <f>IF(T&lt;=D$11,"",IF($A37&gt;D$12,"",IF(T=E$11,EXP(-IRTree!D38*h)*D104,EXP(-IRTree!D38*h)*((E37+E38)/2+D104))))</f>
        <v/>
      </c>
      <c r="E37" s="3" t="str">
        <f>IF(T&lt;=E$11,"",IF($A37&gt;E$12,"",IF(T=F$11,EXP(-IRTree!E38*h)*E104,EXP(-IRTree!E38*h)*((F37+F38)/2+E104))))</f>
        <v/>
      </c>
      <c r="F37" s="3" t="str">
        <f>IF(T&lt;=F$11,"",IF($A37&gt;F$12,"",IF(T=G$11,EXP(-IRTree!F38*h)*F104,EXP(-IRTree!F38*h)*((G37+G38)/2+F104))))</f>
        <v/>
      </c>
      <c r="G37" s="3" t="str">
        <f>IF(T&lt;=G$11,"",IF($A37&gt;G$12,"",IF(T=H$11,EXP(-IRTree!G38*h)*G104,EXP(-IRTree!G38*h)*((H37+H38)/2+G104))))</f>
        <v/>
      </c>
      <c r="H37" s="3" t="str">
        <f>IF(T&lt;=H$11,"",IF($A37&gt;H$12,"",IF(T=I$11,EXP(-IRTree!H38*h)*H104,EXP(-IRTree!H38*h)*((I37+I38)/2+H104))))</f>
        <v/>
      </c>
      <c r="I37" s="3" t="str">
        <f>IF(T&lt;=I$11,"",IF($A37&gt;I$12,"",IF(T=J$11,EXP(-IRTree!I38*h)*I104,EXP(-IRTree!I38*h)*((J37+J38)/2+I104))))</f>
        <v/>
      </c>
      <c r="J37" s="3" t="str">
        <f>IF(T&lt;=J$11,"",IF($A37&gt;J$12,"",IF(T=K$11,EXP(-IRTree!J38*h)*J104,EXP(-IRTree!J38*h)*((K37+K38)/2+J104))))</f>
        <v/>
      </c>
      <c r="K37" s="3" t="str">
        <f>IF(T&lt;=K$11,"",IF($A37&gt;K$12,"",IF(T=L$11,EXP(-IRTree!K38*h)*K104,EXP(-IRTree!K38*h)*((L37+L38)/2+K104))))</f>
        <v/>
      </c>
      <c r="L37" s="3" t="str">
        <f>IF(T&lt;=L$11,"",IF($A37&gt;L$12,"",IF(T=M$11,EXP(-IRTree!L38*h)*L104,EXP(-IRTree!L38*h)*((M37+M38)/2+L104))))</f>
        <v/>
      </c>
      <c r="M37" s="3" t="str">
        <f>IF(T&lt;=M$11,"",IF($A37&gt;M$12,"",IF(T=N$11,EXP(-IRTree!M38*h)*M104,EXP(-IRTree!M38*h)*((N37+N38)/2+M104))))</f>
        <v/>
      </c>
      <c r="N37" s="3" t="str">
        <f>IF(T&lt;=N$11,"",IF($A37&gt;N$12,"",IF(T=O$11,EXP(-IRTree!N38*h)*N104,EXP(-IRTree!N38*h)*((O37+O38)/2+N104))))</f>
        <v/>
      </c>
      <c r="O37" s="3" t="str">
        <f>IF(T&lt;=O$11,"",IF($A37&gt;O$12,"",IF(T=P$11,EXP(-IRTree!O38*h)*O104,EXP(-IRTree!O38*h)*((P37+P38)/2+O104))))</f>
        <v/>
      </c>
      <c r="P37" s="3" t="str">
        <f>IF(T&lt;=P$11,"",IF($A37&gt;P$12,"",IF(T=Q$11,EXP(-IRTree!P38*h)*P104,EXP(-IRTree!P38*h)*((Q37+Q38)/2+P104))))</f>
        <v/>
      </c>
      <c r="Q37" s="3" t="str">
        <f>IF(T&lt;=Q$11,"",IF($A37&gt;Q$12,"",IF(T=R$11,EXP(-IRTree!Q38*h)*Q104,EXP(-IRTree!Q38*h)*((R37+R38)/2+Q104))))</f>
        <v/>
      </c>
      <c r="R37" s="3" t="str">
        <f>IF(T&lt;=R$11,"",IF($A37&gt;R$12,"",IF(T=S$11,EXP(-IRTree!R38*h)*R104,EXP(-IRTree!R38*h)*((S37+S38)/2+R104))))</f>
        <v/>
      </c>
      <c r="S37" s="3" t="str">
        <f>IF(T&lt;=S$11,"",IF($A37&gt;S$12,"",IF(T=T$11,EXP(-IRTree!S38*h)*S104,EXP(-IRTree!S38*h)*((T37+T38)/2+S104))))</f>
        <v/>
      </c>
      <c r="T37" s="3" t="str">
        <f>IF(T&lt;=T$11,"",IF($A37&gt;T$12,"",IF(T=U$11,EXP(-IRTree!T38*h)*T104,EXP(-IRTree!T38*h)*((U37+U38)/2+T104))))</f>
        <v/>
      </c>
      <c r="U37" s="3" t="str">
        <f>IF(T&lt;=U$11,"",IF($A37&gt;U$12,"",IF(T=V$11,EXP(-IRTree!U38*h)*U104,EXP(-IRTree!U38*h)*((V37+V38)/2+U104))))</f>
        <v/>
      </c>
      <c r="V37" s="3" t="str">
        <f>IF(T&lt;=V$11,"",IF($A37&gt;V$12,"",IF(T=W$11,EXP(-IRTree!V38*h)*V104,EXP(-IRTree!V38*h)*((W37+W38)/2+V104))))</f>
        <v/>
      </c>
      <c r="W37" s="3" t="str">
        <f>IF(T&lt;=W$11,"",IF($A37&gt;W$12,"",IF(T=X$11,EXP(-IRTree!W38*h)*W104,EXP(-IRTree!W38*h)*((X37+X38)/2+W104))))</f>
        <v/>
      </c>
      <c r="X37" s="3" t="str">
        <f>IF(T&lt;=X$11,"",IF($A37&gt;X$12,"",IF(T=Y$11,EXP(-IRTree!X38*h)*X104,EXP(-IRTree!X38*h)*((Y37+Y38)/2+X104))))</f>
        <v/>
      </c>
      <c r="Y37" s="3" t="str">
        <f>IF(T&lt;=Y$11,"",IF($A37&gt;Y$12,"",IF(T=Z$11,EXP(-IRTree!Y38*h)*Y104,EXP(-IRTree!Y38*h)*((Z37+Z38)/2+Y104))))</f>
        <v/>
      </c>
      <c r="Z37" s="3">
        <f>IF(T&lt;=Z$11,"",IF($A37&gt;Z$12,"",IF(T=AA$11,EXP(-IRTree!Z38*h)*Z104,EXP(-IRTree!Z38*h)*((AA37+AA38)/2+Z104))))</f>
        <v>0</v>
      </c>
      <c r="AA37" s="3">
        <f>IF(T&lt;=AA$11,"",IF($A37&gt;AA$12,"",IF(T=AB$11,EXP(-IRTree!AA38*h)*AA104,EXP(-IRTree!AA38*h)*((AB37+AB38)/2+AA104))))</f>
        <v>0</v>
      </c>
      <c r="AB37" s="3">
        <f>IF(T&lt;=AB$11,"",IF($A37&gt;AB$12,"",IF(T=AC$11,EXP(-IRTree!AB38*h)*AB104,EXP(-IRTree!AB38*h)*((AC37+AC38)/2+AB104))))</f>
        <v>0</v>
      </c>
      <c r="AC37" s="3">
        <f>IF(T&lt;=AC$11,"",IF($A37&gt;AC$12,"",IF(T=AD$11,EXP(-IRTree!AC38*h)*AC104,EXP(-IRTree!AC38*h)*((AD37+AD38)/2+AC104))))</f>
        <v>0</v>
      </c>
      <c r="AD37" s="3">
        <f>IF(T&lt;=AD$11,"",IF($A37&gt;AD$12,"",IF(T=AE$11,EXP(-IRTree!AD38*h)*AD104,EXP(-IRTree!AD38*h)*((AE37+AE38)/2+AD104))))</f>
        <v>0</v>
      </c>
      <c r="AE37" s="3">
        <f>IF(T&lt;=AE$11,"",IF($A37&gt;AE$12,"",IF(T=AF$11,EXP(-IRTree!AE38*h)*AE104,EXP(-IRTree!AE38*h)*((AF37+AF38)/2+AE104))))</f>
        <v>0</v>
      </c>
      <c r="AF37" s="3">
        <f>IF(T&lt;=AF$11,"",IF($A37&gt;AF$12,"",IF(T=AG$11,EXP(-IRTree!AF38*h)*AF104,EXP(-IRTree!AF38*h)*((AG37+AG38)/2+AF104))))</f>
        <v>0</v>
      </c>
      <c r="AG37" s="3">
        <f>IF(T&lt;=AG$11,"",IF($A37&gt;AG$12,"",IF(T=AH$11,EXP(-IRTree!AG38*h)*AG104,EXP(-IRTree!AG38*h)*((AH37+AH38)/2+AG104))))</f>
        <v>0</v>
      </c>
      <c r="AH37" s="3">
        <f>IF(T&lt;=AH$11,"",IF($A37&gt;AH$12,"",IF(T=AI$11,EXP(-IRTree!AH38*h)*AH104,EXP(-IRTree!AH38*h)*((AI37+AI38)/2+AH104))))</f>
        <v>0</v>
      </c>
      <c r="AI37" s="3">
        <f>IF(T&lt;=AI$11,"",IF($A37&gt;AI$12,"",IF(T=AJ$11,EXP(-IRTree!AI38*h)*AI104,EXP(-IRTree!AI38*h)*((AJ37+AJ38)/2+AI104))))</f>
        <v>0</v>
      </c>
      <c r="AJ37" s="3">
        <f>IF(T&lt;=AJ$11,"",IF($A37&gt;AJ$12,"",IF(T=AK$11,EXP(-IRTree!AJ38*h)*AJ104,EXP(-IRTree!AJ38*h)*((AK37+AK38)/2+AJ104))))</f>
        <v>0</v>
      </c>
      <c r="AK37" s="3">
        <f>IF(T&lt;=AK$11,"",IF($A37&gt;AK$12,"",IF(T=AL$11,EXP(-IRTree!AK38*h)*AK104,EXP(-IRTree!AK38*h)*((AL37+AL38)/2+AK104))))</f>
        <v>0</v>
      </c>
      <c r="AL37" s="3">
        <f>IF(T&lt;=AL$11,"",IF($A37&gt;AL$12,"",IF(T=AM$11,EXP(-IRTree!AL38*h)*AL104,EXP(-IRTree!AL38*h)*((AM37+AM38)/2+AL104))))</f>
        <v>0</v>
      </c>
      <c r="AM37" s="3">
        <f>IF(T&lt;=AM$11,"",IF($A37&gt;AM$12,"",IF(T=AN$11,EXP(-IRTree!AM38*h)*AM104,EXP(-IRTree!AM38*h)*((AN37+AN38)/2+AM104))))</f>
        <v>0</v>
      </c>
      <c r="AN37" s="3">
        <f>IF(T&lt;=AN$11,"",IF($A37&gt;AN$12,"",IF(T=AO$11,EXP(-IRTree!AN38*h)*AN104,EXP(-IRTree!AN38*h)*((AO37+AO38)/2+AN104))))</f>
        <v>0</v>
      </c>
      <c r="AO37" s="3">
        <f>IF(T&lt;=AO$11,"",IF($A37&gt;AO$12,"",IF(T=AP$11,EXP(-IRTree!AO38*h)*AO104,EXP(-IRTree!AO38*h)*((AP37+AP38)/2+AO104))))</f>
        <v>0</v>
      </c>
      <c r="AP37" s="3" t="str">
        <f>IF(T&lt;=AP$11,"",IF($A37&gt;AP$12,"",IF(T=AQ$11,EXP(-IRTree!AP38*h)*AP104,EXP(-IRTree!AP38*h)*((AQ37+AQ38)/2+AP104))))</f>
        <v/>
      </c>
      <c r="AQ37" s="3" t="str">
        <f>IF(T&lt;=AQ$11,"",IF($A37&gt;AQ$12,"",IF(T=AR$11,EXP(-IRTree!AQ38*h)*AQ104,EXP(-IRTree!AQ38*h)*((AR37+AR38)/2+AQ104))))</f>
        <v/>
      </c>
      <c r="AR37" s="3" t="str">
        <f>IF(T&lt;=AR$11,"",IF($A37&gt;AR$12,"",IF(T=AS$11,EXP(-IRTree!AR38*h)*AR104,EXP(-IRTree!AR38*h)*((AS37+AS38)/2+AR104))))</f>
        <v/>
      </c>
      <c r="AS37" s="3" t="str">
        <f>IF(T&lt;=AS$11,"",IF($A37&gt;AS$12,"",IF(T=AT$11,EXP(-IRTree!AS38*h)*AS104,EXP(-IRTree!AS38*h)*((AT37+AT38)/2+AS104))))</f>
        <v/>
      </c>
      <c r="AT37" s="3" t="str">
        <f>IF(T&lt;=AT$11,"",IF($A37&gt;AT$12,"",IF(T=AU$11,EXP(-IRTree!AT38*h)*AT104,EXP(-IRTree!AT38*h)*((AU37+AU38)/2+AT104))))</f>
        <v/>
      </c>
      <c r="AU37" s="3" t="str">
        <f>IF(T&lt;=AU$11,"",IF($A37&gt;AU$12,"",IF(T=AV$11,EXP(-IRTree!AU38*h)*AU104,EXP(-IRTree!AU38*h)*((AV37+AV38)/2+AU104))))</f>
        <v/>
      </c>
      <c r="AV37" s="3" t="str">
        <f>IF(T&lt;=AV$11,"",IF($A37&gt;AV$12,"",IF(T=AW$11,EXP(-IRTree!AV38*h)*AV104,EXP(-IRTree!AV38*h)*((AW37+AW38)/2+AV104))))</f>
        <v/>
      </c>
      <c r="AW37" s="3" t="str">
        <f>IF(T&lt;=AW$11,"",IF($A37&gt;AW$12,"",IF(T=AX$11,EXP(-IRTree!AW38*h)*AW104,EXP(-IRTree!AW38*h)*((AX37+AX38)/2+AW104))))</f>
        <v/>
      </c>
      <c r="AX37" s="3" t="str">
        <f>IF(T&lt;=AX$11,"",IF($A37&gt;AX$12,"",IF(T=AY$11,EXP(-IRTree!AX38*h)*AX104,EXP(-IRTree!AX38*h)*((AY37+AY38)/2+AX104))))</f>
        <v/>
      </c>
      <c r="AY37" s="3" t="str">
        <f>IF(T&lt;=AY$11,"",IF($A37&gt;AY$12,"",IF(T=AZ$11,EXP(-IRTree!AY38*h)*AY104,EXP(-IRTree!AY38*h)*((AZ37+AZ38)/2+AY104))))</f>
        <v/>
      </c>
      <c r="AZ37" s="3" t="str">
        <f>IF(T&lt;=AZ$11,"",IF($A37&gt;AZ$12,"",IF(T=BA$11,EXP(-IRTree!AZ38*h)*AZ104,EXP(-IRTree!AZ38*h)*((BA37+BA38)/2+AZ104))))</f>
        <v/>
      </c>
      <c r="BA37" s="3" t="str">
        <f>IF(T&lt;=BA$11,"",IF($A37&gt;BA$12,"",IF(T=BB$11,EXP(-IRTree!BA38*h)*BA104,EXP(-IRTree!BA38*h)*((BB37+BB38)/2+BA104))))</f>
        <v/>
      </c>
      <c r="BB37" s="3" t="str">
        <f>IF(T&lt;=BB$11,"",IF($A37&gt;BB$12,"",IF(T=BC$11,EXP(-IRTree!BB38*h)*BB104,EXP(-IRTree!BB38*h)*((BC37+BC38)/2+BB104))))</f>
        <v/>
      </c>
      <c r="BC37" s="3" t="str">
        <f>IF(T&lt;=BC$11,"",IF($A37&gt;BC$12,"",IF(T=BD$11,EXP(-IRTree!BC38*h)*BC104,EXP(-IRTree!BC38*h)*((BD37+BD38)/2+BC104))))</f>
        <v/>
      </c>
      <c r="BD37" s="3" t="str">
        <f>IF(T&lt;=BD$11,"",IF($A37&gt;BD$12,"",IF(T=BE$11,EXP(-IRTree!BD38*h)*BD104,EXP(-IRTree!BD38*h)*((BE37+BE38)/2+BD104))))</f>
        <v/>
      </c>
      <c r="BE37" s="3" t="str">
        <f>IF(T&lt;=BE$11,"",IF($A37&gt;BE$12,"",IF(T=BF$11,EXP(-IRTree!BE38*h)*BE104,EXP(-IRTree!BE38*h)*((BF37+BF38)/2+BE104))))</f>
        <v/>
      </c>
      <c r="BF37" s="3" t="str">
        <f>IF(T&lt;=BF$11,"",IF($A37&gt;BF$12,"",IF(T=BG$11,EXP(-IRTree!BF38*h)*BF104,EXP(-IRTree!BF38*h)*((BG37+BG38)/2+BF104))))</f>
        <v/>
      </c>
      <c r="BG37" s="3" t="str">
        <f>IF(T&lt;=BG$11,"",IF($A37&gt;BG$12,"",IF(T=BH$11,EXP(-IRTree!BG38*h)*BG104,EXP(-IRTree!BG38*h)*((BH37+BH38)/2+BG104))))</f>
        <v/>
      </c>
      <c r="BH37" s="3" t="str">
        <f>IF(T&lt;=BH$11,"",IF($A37&gt;BH$12,"",IF(T=BI$11,EXP(-IRTree!BH38*h)*BH104,EXP(-IRTree!BH38*h)*((BI37+BI38)/2+BH104))))</f>
        <v/>
      </c>
      <c r="BI37" s="3" t="str">
        <f>IF(T&lt;=BI$11,"",IF($A37&gt;BI$12,"",IF(T=BJ$11,EXP(-IRTree!BI38*h)*BI104,EXP(-IRTree!BI38*h)*((BJ37+BJ38)/2+BI104))))</f>
        <v/>
      </c>
      <c r="BJ37" s="3" t="str">
        <f>IF(T&lt;=BJ$11,"",IF($A37&gt;BJ$12,"",IF(T=BK$11,EXP(-IRTree!BJ38*h)*BJ104,EXP(-IRTree!BJ38*h)*((BK37+BK38)/2+BJ104))))</f>
        <v/>
      </c>
    </row>
    <row r="38" spans="1:62">
      <c r="A38" s="12">
        <f t="shared" si="2"/>
        <v>25</v>
      </c>
      <c r="B38" s="3" t="str">
        <f>IF(T&lt;=B$11,"",IF($A38&gt;B$12,"",IF(T=C$11,EXP(-IRTree!B39*h)*B105,EXP(-IRTree!B39*h)*((C38+C39)/2+B105))))</f>
        <v/>
      </c>
      <c r="C38" s="3" t="str">
        <f>IF(T&lt;=C$11,"",IF($A38&gt;C$12,"",IF(T=D$11,EXP(-IRTree!C39*h)*C105,EXP(-IRTree!C39*h)*((D38+D39)/2+C105))))</f>
        <v/>
      </c>
      <c r="D38" s="3" t="str">
        <f>IF(T&lt;=D$11,"",IF($A38&gt;D$12,"",IF(T=E$11,EXP(-IRTree!D39*h)*D105,EXP(-IRTree!D39*h)*((E38+E39)/2+D105))))</f>
        <v/>
      </c>
      <c r="E38" s="3" t="str">
        <f>IF(T&lt;=E$11,"",IF($A38&gt;E$12,"",IF(T=F$11,EXP(-IRTree!E39*h)*E105,EXP(-IRTree!E39*h)*((F38+F39)/2+E105))))</f>
        <v/>
      </c>
      <c r="F38" s="3" t="str">
        <f>IF(T&lt;=F$11,"",IF($A38&gt;F$12,"",IF(T=G$11,EXP(-IRTree!F39*h)*F105,EXP(-IRTree!F39*h)*((G38+G39)/2+F105))))</f>
        <v/>
      </c>
      <c r="G38" s="3" t="str">
        <f>IF(T&lt;=G$11,"",IF($A38&gt;G$12,"",IF(T=H$11,EXP(-IRTree!G39*h)*G105,EXP(-IRTree!G39*h)*((H38+H39)/2+G105))))</f>
        <v/>
      </c>
      <c r="H38" s="3" t="str">
        <f>IF(T&lt;=H$11,"",IF($A38&gt;H$12,"",IF(T=I$11,EXP(-IRTree!H39*h)*H105,EXP(-IRTree!H39*h)*((I38+I39)/2+H105))))</f>
        <v/>
      </c>
      <c r="I38" s="3" t="str">
        <f>IF(T&lt;=I$11,"",IF($A38&gt;I$12,"",IF(T=J$11,EXP(-IRTree!I39*h)*I105,EXP(-IRTree!I39*h)*((J38+J39)/2+I105))))</f>
        <v/>
      </c>
      <c r="J38" s="3" t="str">
        <f>IF(T&lt;=J$11,"",IF($A38&gt;J$12,"",IF(T=K$11,EXP(-IRTree!J39*h)*J105,EXP(-IRTree!J39*h)*((K38+K39)/2+J105))))</f>
        <v/>
      </c>
      <c r="K38" s="3" t="str">
        <f>IF(T&lt;=K$11,"",IF($A38&gt;K$12,"",IF(T=L$11,EXP(-IRTree!K39*h)*K105,EXP(-IRTree!K39*h)*((L38+L39)/2+K105))))</f>
        <v/>
      </c>
      <c r="L38" s="3" t="str">
        <f>IF(T&lt;=L$11,"",IF($A38&gt;L$12,"",IF(T=M$11,EXP(-IRTree!L39*h)*L105,EXP(-IRTree!L39*h)*((M38+M39)/2+L105))))</f>
        <v/>
      </c>
      <c r="M38" s="3" t="str">
        <f>IF(T&lt;=M$11,"",IF($A38&gt;M$12,"",IF(T=N$11,EXP(-IRTree!M39*h)*M105,EXP(-IRTree!M39*h)*((N38+N39)/2+M105))))</f>
        <v/>
      </c>
      <c r="N38" s="3" t="str">
        <f>IF(T&lt;=N$11,"",IF($A38&gt;N$12,"",IF(T=O$11,EXP(-IRTree!N39*h)*N105,EXP(-IRTree!N39*h)*((O38+O39)/2+N105))))</f>
        <v/>
      </c>
      <c r="O38" s="3" t="str">
        <f>IF(T&lt;=O$11,"",IF($A38&gt;O$12,"",IF(T=P$11,EXP(-IRTree!O39*h)*O105,EXP(-IRTree!O39*h)*((P38+P39)/2+O105))))</f>
        <v/>
      </c>
      <c r="P38" s="3" t="str">
        <f>IF(T&lt;=P$11,"",IF($A38&gt;P$12,"",IF(T=Q$11,EXP(-IRTree!P39*h)*P105,EXP(-IRTree!P39*h)*((Q38+Q39)/2+P105))))</f>
        <v/>
      </c>
      <c r="Q38" s="3" t="str">
        <f>IF(T&lt;=Q$11,"",IF($A38&gt;Q$12,"",IF(T=R$11,EXP(-IRTree!Q39*h)*Q105,EXP(-IRTree!Q39*h)*((R38+R39)/2+Q105))))</f>
        <v/>
      </c>
      <c r="R38" s="3" t="str">
        <f>IF(T&lt;=R$11,"",IF($A38&gt;R$12,"",IF(T=S$11,EXP(-IRTree!R39*h)*R105,EXP(-IRTree!R39*h)*((S38+S39)/2+R105))))</f>
        <v/>
      </c>
      <c r="S38" s="3" t="str">
        <f>IF(T&lt;=S$11,"",IF($A38&gt;S$12,"",IF(T=T$11,EXP(-IRTree!S39*h)*S105,EXP(-IRTree!S39*h)*((T38+T39)/2+S105))))</f>
        <v/>
      </c>
      <c r="T38" s="3" t="str">
        <f>IF(T&lt;=T$11,"",IF($A38&gt;T$12,"",IF(T=U$11,EXP(-IRTree!T39*h)*T105,EXP(-IRTree!T39*h)*((U38+U39)/2+T105))))</f>
        <v/>
      </c>
      <c r="U38" s="3" t="str">
        <f>IF(T&lt;=U$11,"",IF($A38&gt;U$12,"",IF(T=V$11,EXP(-IRTree!U39*h)*U105,EXP(-IRTree!U39*h)*((V38+V39)/2+U105))))</f>
        <v/>
      </c>
      <c r="V38" s="3" t="str">
        <f>IF(T&lt;=V$11,"",IF($A38&gt;V$12,"",IF(T=W$11,EXP(-IRTree!V39*h)*V105,EXP(-IRTree!V39*h)*((W38+W39)/2+V105))))</f>
        <v/>
      </c>
      <c r="W38" s="3" t="str">
        <f>IF(T&lt;=W$11,"",IF($A38&gt;W$12,"",IF(T=X$11,EXP(-IRTree!W39*h)*W105,EXP(-IRTree!W39*h)*((X38+X39)/2+W105))))</f>
        <v/>
      </c>
      <c r="X38" s="3" t="str">
        <f>IF(T&lt;=X$11,"",IF($A38&gt;X$12,"",IF(T=Y$11,EXP(-IRTree!X39*h)*X105,EXP(-IRTree!X39*h)*((Y38+Y39)/2+X105))))</f>
        <v/>
      </c>
      <c r="Y38" s="3" t="str">
        <f>IF(T&lt;=Y$11,"",IF($A38&gt;Y$12,"",IF(T=Z$11,EXP(-IRTree!Y39*h)*Y105,EXP(-IRTree!Y39*h)*((Z38+Z39)/2+Y105))))</f>
        <v/>
      </c>
      <c r="Z38" s="3" t="str">
        <f>IF(T&lt;=Z$11,"",IF($A38&gt;Z$12,"",IF(T=AA$11,EXP(-IRTree!Z39*h)*Z105,EXP(-IRTree!Z39*h)*((AA38+AA39)/2+Z105))))</f>
        <v/>
      </c>
      <c r="AA38" s="3">
        <f>IF(T&lt;=AA$11,"",IF($A38&gt;AA$12,"",IF(T=AB$11,EXP(-IRTree!AA39*h)*AA105,EXP(-IRTree!AA39*h)*((AB38+AB39)/2+AA105))))</f>
        <v>0</v>
      </c>
      <c r="AB38" s="3">
        <f>IF(T&lt;=AB$11,"",IF($A38&gt;AB$12,"",IF(T=AC$11,EXP(-IRTree!AB39*h)*AB105,EXP(-IRTree!AB39*h)*((AC38+AC39)/2+AB105))))</f>
        <v>0</v>
      </c>
      <c r="AC38" s="3">
        <f>IF(T&lt;=AC$11,"",IF($A38&gt;AC$12,"",IF(T=AD$11,EXP(-IRTree!AC39*h)*AC105,EXP(-IRTree!AC39*h)*((AD38+AD39)/2+AC105))))</f>
        <v>0</v>
      </c>
      <c r="AD38" s="3">
        <f>IF(T&lt;=AD$11,"",IF($A38&gt;AD$12,"",IF(T=AE$11,EXP(-IRTree!AD39*h)*AD105,EXP(-IRTree!AD39*h)*((AE38+AE39)/2+AD105))))</f>
        <v>0</v>
      </c>
      <c r="AE38" s="3">
        <f>IF(T&lt;=AE$11,"",IF($A38&gt;AE$12,"",IF(T=AF$11,EXP(-IRTree!AE39*h)*AE105,EXP(-IRTree!AE39*h)*((AF38+AF39)/2+AE105))))</f>
        <v>0</v>
      </c>
      <c r="AF38" s="3">
        <f>IF(T&lt;=AF$11,"",IF($A38&gt;AF$12,"",IF(T=AG$11,EXP(-IRTree!AF39*h)*AF105,EXP(-IRTree!AF39*h)*((AG38+AG39)/2+AF105))))</f>
        <v>0</v>
      </c>
      <c r="AG38" s="3">
        <f>IF(T&lt;=AG$11,"",IF($A38&gt;AG$12,"",IF(T=AH$11,EXP(-IRTree!AG39*h)*AG105,EXP(-IRTree!AG39*h)*((AH38+AH39)/2+AG105))))</f>
        <v>0</v>
      </c>
      <c r="AH38" s="3">
        <f>IF(T&lt;=AH$11,"",IF($A38&gt;AH$12,"",IF(T=AI$11,EXP(-IRTree!AH39*h)*AH105,EXP(-IRTree!AH39*h)*((AI38+AI39)/2+AH105))))</f>
        <v>0</v>
      </c>
      <c r="AI38" s="3">
        <f>IF(T&lt;=AI$11,"",IF($A38&gt;AI$12,"",IF(T=AJ$11,EXP(-IRTree!AI39*h)*AI105,EXP(-IRTree!AI39*h)*((AJ38+AJ39)/2+AI105))))</f>
        <v>0</v>
      </c>
      <c r="AJ38" s="3">
        <f>IF(T&lt;=AJ$11,"",IF($A38&gt;AJ$12,"",IF(T=AK$11,EXP(-IRTree!AJ39*h)*AJ105,EXP(-IRTree!AJ39*h)*((AK38+AK39)/2+AJ105))))</f>
        <v>0</v>
      </c>
      <c r="AK38" s="3">
        <f>IF(T&lt;=AK$11,"",IF($A38&gt;AK$12,"",IF(T=AL$11,EXP(-IRTree!AK39*h)*AK105,EXP(-IRTree!AK39*h)*((AL38+AL39)/2+AK105))))</f>
        <v>0</v>
      </c>
      <c r="AL38" s="3">
        <f>IF(T&lt;=AL$11,"",IF($A38&gt;AL$12,"",IF(T=AM$11,EXP(-IRTree!AL39*h)*AL105,EXP(-IRTree!AL39*h)*((AM38+AM39)/2+AL105))))</f>
        <v>0</v>
      </c>
      <c r="AM38" s="3">
        <f>IF(T&lt;=AM$11,"",IF($A38&gt;AM$12,"",IF(T=AN$11,EXP(-IRTree!AM39*h)*AM105,EXP(-IRTree!AM39*h)*((AN38+AN39)/2+AM105))))</f>
        <v>0</v>
      </c>
      <c r="AN38" s="3">
        <f>IF(T&lt;=AN$11,"",IF($A38&gt;AN$12,"",IF(T=AO$11,EXP(-IRTree!AN39*h)*AN105,EXP(-IRTree!AN39*h)*((AO38+AO39)/2+AN105))))</f>
        <v>0</v>
      </c>
      <c r="AO38" s="3">
        <f>IF(T&lt;=AO$11,"",IF($A38&gt;AO$12,"",IF(T=AP$11,EXP(-IRTree!AO39*h)*AO105,EXP(-IRTree!AO39*h)*((AP38+AP39)/2+AO105))))</f>
        <v>0</v>
      </c>
      <c r="AP38" s="3" t="str">
        <f>IF(T&lt;=AP$11,"",IF($A38&gt;AP$12,"",IF(T=AQ$11,EXP(-IRTree!AP39*h)*AP105,EXP(-IRTree!AP39*h)*((AQ38+AQ39)/2+AP105))))</f>
        <v/>
      </c>
      <c r="AQ38" s="3" t="str">
        <f>IF(T&lt;=AQ$11,"",IF($A38&gt;AQ$12,"",IF(T=AR$11,EXP(-IRTree!AQ39*h)*AQ105,EXP(-IRTree!AQ39*h)*((AR38+AR39)/2+AQ105))))</f>
        <v/>
      </c>
      <c r="AR38" s="3" t="str">
        <f>IF(T&lt;=AR$11,"",IF($A38&gt;AR$12,"",IF(T=AS$11,EXP(-IRTree!AR39*h)*AR105,EXP(-IRTree!AR39*h)*((AS38+AS39)/2+AR105))))</f>
        <v/>
      </c>
      <c r="AS38" s="3" t="str">
        <f>IF(T&lt;=AS$11,"",IF($A38&gt;AS$12,"",IF(T=AT$11,EXP(-IRTree!AS39*h)*AS105,EXP(-IRTree!AS39*h)*((AT38+AT39)/2+AS105))))</f>
        <v/>
      </c>
      <c r="AT38" s="3" t="str">
        <f>IF(T&lt;=AT$11,"",IF($A38&gt;AT$12,"",IF(T=AU$11,EXP(-IRTree!AT39*h)*AT105,EXP(-IRTree!AT39*h)*((AU38+AU39)/2+AT105))))</f>
        <v/>
      </c>
      <c r="AU38" s="3" t="str">
        <f>IF(T&lt;=AU$11,"",IF($A38&gt;AU$12,"",IF(T=AV$11,EXP(-IRTree!AU39*h)*AU105,EXP(-IRTree!AU39*h)*((AV38+AV39)/2+AU105))))</f>
        <v/>
      </c>
      <c r="AV38" s="3" t="str">
        <f>IF(T&lt;=AV$11,"",IF($A38&gt;AV$12,"",IF(T=AW$11,EXP(-IRTree!AV39*h)*AV105,EXP(-IRTree!AV39*h)*((AW38+AW39)/2+AV105))))</f>
        <v/>
      </c>
      <c r="AW38" s="3" t="str">
        <f>IF(T&lt;=AW$11,"",IF($A38&gt;AW$12,"",IF(T=AX$11,EXP(-IRTree!AW39*h)*AW105,EXP(-IRTree!AW39*h)*((AX38+AX39)/2+AW105))))</f>
        <v/>
      </c>
      <c r="AX38" s="3" t="str">
        <f>IF(T&lt;=AX$11,"",IF($A38&gt;AX$12,"",IF(T=AY$11,EXP(-IRTree!AX39*h)*AX105,EXP(-IRTree!AX39*h)*((AY38+AY39)/2+AX105))))</f>
        <v/>
      </c>
      <c r="AY38" s="3" t="str">
        <f>IF(T&lt;=AY$11,"",IF($A38&gt;AY$12,"",IF(T=AZ$11,EXP(-IRTree!AY39*h)*AY105,EXP(-IRTree!AY39*h)*((AZ38+AZ39)/2+AY105))))</f>
        <v/>
      </c>
      <c r="AZ38" s="3" t="str">
        <f>IF(T&lt;=AZ$11,"",IF($A38&gt;AZ$12,"",IF(T=BA$11,EXP(-IRTree!AZ39*h)*AZ105,EXP(-IRTree!AZ39*h)*((BA38+BA39)/2+AZ105))))</f>
        <v/>
      </c>
      <c r="BA38" s="3" t="str">
        <f>IF(T&lt;=BA$11,"",IF($A38&gt;BA$12,"",IF(T=BB$11,EXP(-IRTree!BA39*h)*BA105,EXP(-IRTree!BA39*h)*((BB38+BB39)/2+BA105))))</f>
        <v/>
      </c>
      <c r="BB38" s="3" t="str">
        <f>IF(T&lt;=BB$11,"",IF($A38&gt;BB$12,"",IF(T=BC$11,EXP(-IRTree!BB39*h)*BB105,EXP(-IRTree!BB39*h)*((BC38+BC39)/2+BB105))))</f>
        <v/>
      </c>
      <c r="BC38" s="3" t="str">
        <f>IF(T&lt;=BC$11,"",IF($A38&gt;BC$12,"",IF(T=BD$11,EXP(-IRTree!BC39*h)*BC105,EXP(-IRTree!BC39*h)*((BD38+BD39)/2+BC105))))</f>
        <v/>
      </c>
      <c r="BD38" s="3" t="str">
        <f>IF(T&lt;=BD$11,"",IF($A38&gt;BD$12,"",IF(T=BE$11,EXP(-IRTree!BD39*h)*BD105,EXP(-IRTree!BD39*h)*((BE38+BE39)/2+BD105))))</f>
        <v/>
      </c>
      <c r="BE38" s="3" t="str">
        <f>IF(T&lt;=BE$11,"",IF($A38&gt;BE$12,"",IF(T=BF$11,EXP(-IRTree!BE39*h)*BE105,EXP(-IRTree!BE39*h)*((BF38+BF39)/2+BE105))))</f>
        <v/>
      </c>
      <c r="BF38" s="3" t="str">
        <f>IF(T&lt;=BF$11,"",IF($A38&gt;BF$12,"",IF(T=BG$11,EXP(-IRTree!BF39*h)*BF105,EXP(-IRTree!BF39*h)*((BG38+BG39)/2+BF105))))</f>
        <v/>
      </c>
      <c r="BG38" s="3" t="str">
        <f>IF(T&lt;=BG$11,"",IF($A38&gt;BG$12,"",IF(T=BH$11,EXP(-IRTree!BG39*h)*BG105,EXP(-IRTree!BG39*h)*((BH38+BH39)/2+BG105))))</f>
        <v/>
      </c>
      <c r="BH38" s="3" t="str">
        <f>IF(T&lt;=BH$11,"",IF($A38&gt;BH$12,"",IF(T=BI$11,EXP(-IRTree!BH39*h)*BH105,EXP(-IRTree!BH39*h)*((BI38+BI39)/2+BH105))))</f>
        <v/>
      </c>
      <c r="BI38" s="3" t="str">
        <f>IF(T&lt;=BI$11,"",IF($A38&gt;BI$12,"",IF(T=BJ$11,EXP(-IRTree!BI39*h)*BI105,EXP(-IRTree!BI39*h)*((BJ38+BJ39)/2+BI105))))</f>
        <v/>
      </c>
      <c r="BJ38" s="3" t="str">
        <f>IF(T&lt;=BJ$11,"",IF($A38&gt;BJ$12,"",IF(T=BK$11,EXP(-IRTree!BJ39*h)*BJ105,EXP(-IRTree!BJ39*h)*((BK38+BK39)/2+BJ105))))</f>
        <v/>
      </c>
    </row>
    <row r="39" spans="1:62">
      <c r="A39" s="12">
        <f t="shared" si="2"/>
        <v>26</v>
      </c>
      <c r="B39" s="3" t="str">
        <f>IF(T&lt;=B$11,"",IF($A39&gt;B$12,"",IF(T=C$11,EXP(-IRTree!B40*h)*B106,EXP(-IRTree!B40*h)*((C39+C40)/2+B106))))</f>
        <v/>
      </c>
      <c r="C39" s="3" t="str">
        <f>IF(T&lt;=C$11,"",IF($A39&gt;C$12,"",IF(T=D$11,EXP(-IRTree!C40*h)*C106,EXP(-IRTree!C40*h)*((D39+D40)/2+C106))))</f>
        <v/>
      </c>
      <c r="D39" s="3" t="str">
        <f>IF(T&lt;=D$11,"",IF($A39&gt;D$12,"",IF(T=E$11,EXP(-IRTree!D40*h)*D106,EXP(-IRTree!D40*h)*((E39+E40)/2+D106))))</f>
        <v/>
      </c>
      <c r="E39" s="3" t="str">
        <f>IF(T&lt;=E$11,"",IF($A39&gt;E$12,"",IF(T=F$11,EXP(-IRTree!E40*h)*E106,EXP(-IRTree!E40*h)*((F39+F40)/2+E106))))</f>
        <v/>
      </c>
      <c r="F39" s="3" t="str">
        <f>IF(T&lt;=F$11,"",IF($A39&gt;F$12,"",IF(T=G$11,EXP(-IRTree!F40*h)*F106,EXP(-IRTree!F40*h)*((G39+G40)/2+F106))))</f>
        <v/>
      </c>
      <c r="G39" s="3" t="str">
        <f>IF(T&lt;=G$11,"",IF($A39&gt;G$12,"",IF(T=H$11,EXP(-IRTree!G40*h)*G106,EXP(-IRTree!G40*h)*((H39+H40)/2+G106))))</f>
        <v/>
      </c>
      <c r="H39" s="3" t="str">
        <f>IF(T&lt;=H$11,"",IF($A39&gt;H$12,"",IF(T=I$11,EXP(-IRTree!H40*h)*H106,EXP(-IRTree!H40*h)*((I39+I40)/2+H106))))</f>
        <v/>
      </c>
      <c r="I39" s="3" t="str">
        <f>IF(T&lt;=I$11,"",IF($A39&gt;I$12,"",IF(T=J$11,EXP(-IRTree!I40*h)*I106,EXP(-IRTree!I40*h)*((J39+J40)/2+I106))))</f>
        <v/>
      </c>
      <c r="J39" s="3" t="str">
        <f>IF(T&lt;=J$11,"",IF($A39&gt;J$12,"",IF(T=K$11,EXP(-IRTree!J40*h)*J106,EXP(-IRTree!J40*h)*((K39+K40)/2+J106))))</f>
        <v/>
      </c>
      <c r="K39" s="3" t="str">
        <f>IF(T&lt;=K$11,"",IF($A39&gt;K$12,"",IF(T=L$11,EXP(-IRTree!K40*h)*K106,EXP(-IRTree!K40*h)*((L39+L40)/2+K106))))</f>
        <v/>
      </c>
      <c r="L39" s="3" t="str">
        <f>IF(T&lt;=L$11,"",IF($A39&gt;L$12,"",IF(T=M$11,EXP(-IRTree!L40*h)*L106,EXP(-IRTree!L40*h)*((M39+M40)/2+L106))))</f>
        <v/>
      </c>
      <c r="M39" s="3" t="str">
        <f>IF(T&lt;=M$11,"",IF($A39&gt;M$12,"",IF(T=N$11,EXP(-IRTree!M40*h)*M106,EXP(-IRTree!M40*h)*((N39+N40)/2+M106))))</f>
        <v/>
      </c>
      <c r="N39" s="3" t="str">
        <f>IF(T&lt;=N$11,"",IF($A39&gt;N$12,"",IF(T=O$11,EXP(-IRTree!N40*h)*N106,EXP(-IRTree!N40*h)*((O39+O40)/2+N106))))</f>
        <v/>
      </c>
      <c r="O39" s="3" t="str">
        <f>IF(T&lt;=O$11,"",IF($A39&gt;O$12,"",IF(T=P$11,EXP(-IRTree!O40*h)*O106,EXP(-IRTree!O40*h)*((P39+P40)/2+O106))))</f>
        <v/>
      </c>
      <c r="P39" s="3" t="str">
        <f>IF(T&lt;=P$11,"",IF($A39&gt;P$12,"",IF(T=Q$11,EXP(-IRTree!P40*h)*P106,EXP(-IRTree!P40*h)*((Q39+Q40)/2+P106))))</f>
        <v/>
      </c>
      <c r="Q39" s="3" t="str">
        <f>IF(T&lt;=Q$11,"",IF($A39&gt;Q$12,"",IF(T=R$11,EXP(-IRTree!Q40*h)*Q106,EXP(-IRTree!Q40*h)*((R39+R40)/2+Q106))))</f>
        <v/>
      </c>
      <c r="R39" s="3" t="str">
        <f>IF(T&lt;=R$11,"",IF($A39&gt;R$12,"",IF(T=S$11,EXP(-IRTree!R40*h)*R106,EXP(-IRTree!R40*h)*((S39+S40)/2+R106))))</f>
        <v/>
      </c>
      <c r="S39" s="3" t="str">
        <f>IF(T&lt;=S$11,"",IF($A39&gt;S$12,"",IF(T=T$11,EXP(-IRTree!S40*h)*S106,EXP(-IRTree!S40*h)*((T39+T40)/2+S106))))</f>
        <v/>
      </c>
      <c r="T39" s="3" t="str">
        <f>IF(T&lt;=T$11,"",IF($A39&gt;T$12,"",IF(T=U$11,EXP(-IRTree!T40*h)*T106,EXP(-IRTree!T40*h)*((U39+U40)/2+T106))))</f>
        <v/>
      </c>
      <c r="U39" s="3" t="str">
        <f>IF(T&lt;=U$11,"",IF($A39&gt;U$12,"",IF(T=V$11,EXP(-IRTree!U40*h)*U106,EXP(-IRTree!U40*h)*((V39+V40)/2+U106))))</f>
        <v/>
      </c>
      <c r="V39" s="3" t="str">
        <f>IF(T&lt;=V$11,"",IF($A39&gt;V$12,"",IF(T=W$11,EXP(-IRTree!V40*h)*V106,EXP(-IRTree!V40*h)*((W39+W40)/2+V106))))</f>
        <v/>
      </c>
      <c r="W39" s="3" t="str">
        <f>IF(T&lt;=W$11,"",IF($A39&gt;W$12,"",IF(T=X$11,EXP(-IRTree!W40*h)*W106,EXP(-IRTree!W40*h)*((X39+X40)/2+W106))))</f>
        <v/>
      </c>
      <c r="X39" s="3" t="str">
        <f>IF(T&lt;=X$11,"",IF($A39&gt;X$12,"",IF(T=Y$11,EXP(-IRTree!X40*h)*X106,EXP(-IRTree!X40*h)*((Y39+Y40)/2+X106))))</f>
        <v/>
      </c>
      <c r="Y39" s="3" t="str">
        <f>IF(T&lt;=Y$11,"",IF($A39&gt;Y$12,"",IF(T=Z$11,EXP(-IRTree!Y40*h)*Y106,EXP(-IRTree!Y40*h)*((Z39+Z40)/2+Y106))))</f>
        <v/>
      </c>
      <c r="Z39" s="3" t="str">
        <f>IF(T&lt;=Z$11,"",IF($A39&gt;Z$12,"",IF(T=AA$11,EXP(-IRTree!Z40*h)*Z106,EXP(-IRTree!Z40*h)*((AA39+AA40)/2+Z106))))</f>
        <v/>
      </c>
      <c r="AA39" s="3" t="str">
        <f>IF(T&lt;=AA$11,"",IF($A39&gt;AA$12,"",IF(T=AB$11,EXP(-IRTree!AA40*h)*AA106,EXP(-IRTree!AA40*h)*((AB39+AB40)/2+AA106))))</f>
        <v/>
      </c>
      <c r="AB39" s="3">
        <f>IF(T&lt;=AB$11,"",IF($A39&gt;AB$12,"",IF(T=AC$11,EXP(-IRTree!AB40*h)*AB106,EXP(-IRTree!AB40*h)*((AC39+AC40)/2+AB106))))</f>
        <v>0</v>
      </c>
      <c r="AC39" s="3">
        <f>IF(T&lt;=AC$11,"",IF($A39&gt;AC$12,"",IF(T=AD$11,EXP(-IRTree!AC40*h)*AC106,EXP(-IRTree!AC40*h)*((AD39+AD40)/2+AC106))))</f>
        <v>0</v>
      </c>
      <c r="AD39" s="3">
        <f>IF(T&lt;=AD$11,"",IF($A39&gt;AD$12,"",IF(T=AE$11,EXP(-IRTree!AD40*h)*AD106,EXP(-IRTree!AD40*h)*((AE39+AE40)/2+AD106))))</f>
        <v>0</v>
      </c>
      <c r="AE39" s="3">
        <f>IF(T&lt;=AE$11,"",IF($A39&gt;AE$12,"",IF(T=AF$11,EXP(-IRTree!AE40*h)*AE106,EXP(-IRTree!AE40*h)*((AF39+AF40)/2+AE106))))</f>
        <v>0</v>
      </c>
      <c r="AF39" s="3">
        <f>IF(T&lt;=AF$11,"",IF($A39&gt;AF$12,"",IF(T=AG$11,EXP(-IRTree!AF40*h)*AF106,EXP(-IRTree!AF40*h)*((AG39+AG40)/2+AF106))))</f>
        <v>0</v>
      </c>
      <c r="AG39" s="3">
        <f>IF(T&lt;=AG$11,"",IF($A39&gt;AG$12,"",IF(T=AH$11,EXP(-IRTree!AG40*h)*AG106,EXP(-IRTree!AG40*h)*((AH39+AH40)/2+AG106))))</f>
        <v>0</v>
      </c>
      <c r="AH39" s="3">
        <f>IF(T&lt;=AH$11,"",IF($A39&gt;AH$12,"",IF(T=AI$11,EXP(-IRTree!AH40*h)*AH106,EXP(-IRTree!AH40*h)*((AI39+AI40)/2+AH106))))</f>
        <v>0</v>
      </c>
      <c r="AI39" s="3">
        <f>IF(T&lt;=AI$11,"",IF($A39&gt;AI$12,"",IF(T=AJ$11,EXP(-IRTree!AI40*h)*AI106,EXP(-IRTree!AI40*h)*((AJ39+AJ40)/2+AI106))))</f>
        <v>0</v>
      </c>
      <c r="AJ39" s="3">
        <f>IF(T&lt;=AJ$11,"",IF($A39&gt;AJ$12,"",IF(T=AK$11,EXP(-IRTree!AJ40*h)*AJ106,EXP(-IRTree!AJ40*h)*((AK39+AK40)/2+AJ106))))</f>
        <v>0</v>
      </c>
      <c r="AK39" s="3">
        <f>IF(T&lt;=AK$11,"",IF($A39&gt;AK$12,"",IF(T=AL$11,EXP(-IRTree!AK40*h)*AK106,EXP(-IRTree!AK40*h)*((AL39+AL40)/2+AK106))))</f>
        <v>0</v>
      </c>
      <c r="AL39" s="3">
        <f>IF(T&lt;=AL$11,"",IF($A39&gt;AL$12,"",IF(T=AM$11,EXP(-IRTree!AL40*h)*AL106,EXP(-IRTree!AL40*h)*((AM39+AM40)/2+AL106))))</f>
        <v>0</v>
      </c>
      <c r="AM39" s="3">
        <f>IF(T&lt;=AM$11,"",IF($A39&gt;AM$12,"",IF(T=AN$11,EXP(-IRTree!AM40*h)*AM106,EXP(-IRTree!AM40*h)*((AN39+AN40)/2+AM106))))</f>
        <v>0</v>
      </c>
      <c r="AN39" s="3">
        <f>IF(T&lt;=AN$11,"",IF($A39&gt;AN$12,"",IF(T=AO$11,EXP(-IRTree!AN40*h)*AN106,EXP(-IRTree!AN40*h)*((AO39+AO40)/2+AN106))))</f>
        <v>0</v>
      </c>
      <c r="AO39" s="3">
        <f>IF(T&lt;=AO$11,"",IF($A39&gt;AO$12,"",IF(T=AP$11,EXP(-IRTree!AO40*h)*AO106,EXP(-IRTree!AO40*h)*((AP39+AP40)/2+AO106))))</f>
        <v>0</v>
      </c>
      <c r="AP39" s="3" t="str">
        <f>IF(T&lt;=AP$11,"",IF($A39&gt;AP$12,"",IF(T=AQ$11,EXP(-IRTree!AP40*h)*AP106,EXP(-IRTree!AP40*h)*((AQ39+AQ40)/2+AP106))))</f>
        <v/>
      </c>
      <c r="AQ39" s="3" t="str">
        <f>IF(T&lt;=AQ$11,"",IF($A39&gt;AQ$12,"",IF(T=AR$11,EXP(-IRTree!AQ40*h)*AQ106,EXP(-IRTree!AQ40*h)*((AR39+AR40)/2+AQ106))))</f>
        <v/>
      </c>
      <c r="AR39" s="3" t="str">
        <f>IF(T&lt;=AR$11,"",IF($A39&gt;AR$12,"",IF(T=AS$11,EXP(-IRTree!AR40*h)*AR106,EXP(-IRTree!AR40*h)*((AS39+AS40)/2+AR106))))</f>
        <v/>
      </c>
      <c r="AS39" s="3" t="str">
        <f>IF(T&lt;=AS$11,"",IF($A39&gt;AS$12,"",IF(T=AT$11,EXP(-IRTree!AS40*h)*AS106,EXP(-IRTree!AS40*h)*((AT39+AT40)/2+AS106))))</f>
        <v/>
      </c>
      <c r="AT39" s="3" t="str">
        <f>IF(T&lt;=AT$11,"",IF($A39&gt;AT$12,"",IF(T=AU$11,EXP(-IRTree!AT40*h)*AT106,EXP(-IRTree!AT40*h)*((AU39+AU40)/2+AT106))))</f>
        <v/>
      </c>
      <c r="AU39" s="3" t="str">
        <f>IF(T&lt;=AU$11,"",IF($A39&gt;AU$12,"",IF(T=AV$11,EXP(-IRTree!AU40*h)*AU106,EXP(-IRTree!AU40*h)*((AV39+AV40)/2+AU106))))</f>
        <v/>
      </c>
      <c r="AV39" s="3" t="str">
        <f>IF(T&lt;=AV$11,"",IF($A39&gt;AV$12,"",IF(T=AW$11,EXP(-IRTree!AV40*h)*AV106,EXP(-IRTree!AV40*h)*((AW39+AW40)/2+AV106))))</f>
        <v/>
      </c>
      <c r="AW39" s="3" t="str">
        <f>IF(T&lt;=AW$11,"",IF($A39&gt;AW$12,"",IF(T=AX$11,EXP(-IRTree!AW40*h)*AW106,EXP(-IRTree!AW40*h)*((AX39+AX40)/2+AW106))))</f>
        <v/>
      </c>
      <c r="AX39" s="3" t="str">
        <f>IF(T&lt;=AX$11,"",IF($A39&gt;AX$12,"",IF(T=AY$11,EXP(-IRTree!AX40*h)*AX106,EXP(-IRTree!AX40*h)*((AY39+AY40)/2+AX106))))</f>
        <v/>
      </c>
      <c r="AY39" s="3" t="str">
        <f>IF(T&lt;=AY$11,"",IF($A39&gt;AY$12,"",IF(T=AZ$11,EXP(-IRTree!AY40*h)*AY106,EXP(-IRTree!AY40*h)*((AZ39+AZ40)/2+AY106))))</f>
        <v/>
      </c>
      <c r="AZ39" s="3" t="str">
        <f>IF(T&lt;=AZ$11,"",IF($A39&gt;AZ$12,"",IF(T=BA$11,EXP(-IRTree!AZ40*h)*AZ106,EXP(-IRTree!AZ40*h)*((BA39+BA40)/2+AZ106))))</f>
        <v/>
      </c>
      <c r="BA39" s="3" t="str">
        <f>IF(T&lt;=BA$11,"",IF($A39&gt;BA$12,"",IF(T=BB$11,EXP(-IRTree!BA40*h)*BA106,EXP(-IRTree!BA40*h)*((BB39+BB40)/2+BA106))))</f>
        <v/>
      </c>
      <c r="BB39" s="3" t="str">
        <f>IF(T&lt;=BB$11,"",IF($A39&gt;BB$12,"",IF(T=BC$11,EXP(-IRTree!BB40*h)*BB106,EXP(-IRTree!BB40*h)*((BC39+BC40)/2+BB106))))</f>
        <v/>
      </c>
      <c r="BC39" s="3" t="str">
        <f>IF(T&lt;=BC$11,"",IF($A39&gt;BC$12,"",IF(T=BD$11,EXP(-IRTree!BC40*h)*BC106,EXP(-IRTree!BC40*h)*((BD39+BD40)/2+BC106))))</f>
        <v/>
      </c>
      <c r="BD39" s="3" t="str">
        <f>IF(T&lt;=BD$11,"",IF($A39&gt;BD$12,"",IF(T=BE$11,EXP(-IRTree!BD40*h)*BD106,EXP(-IRTree!BD40*h)*((BE39+BE40)/2+BD106))))</f>
        <v/>
      </c>
      <c r="BE39" s="3" t="str">
        <f>IF(T&lt;=BE$11,"",IF($A39&gt;BE$12,"",IF(T=BF$11,EXP(-IRTree!BE40*h)*BE106,EXP(-IRTree!BE40*h)*((BF39+BF40)/2+BE106))))</f>
        <v/>
      </c>
      <c r="BF39" s="3" t="str">
        <f>IF(T&lt;=BF$11,"",IF($A39&gt;BF$12,"",IF(T=BG$11,EXP(-IRTree!BF40*h)*BF106,EXP(-IRTree!BF40*h)*((BG39+BG40)/2+BF106))))</f>
        <v/>
      </c>
      <c r="BG39" s="3" t="str">
        <f>IF(T&lt;=BG$11,"",IF($A39&gt;BG$12,"",IF(T=BH$11,EXP(-IRTree!BG40*h)*BG106,EXP(-IRTree!BG40*h)*((BH39+BH40)/2+BG106))))</f>
        <v/>
      </c>
      <c r="BH39" s="3" t="str">
        <f>IF(T&lt;=BH$11,"",IF($A39&gt;BH$12,"",IF(T=BI$11,EXP(-IRTree!BH40*h)*BH106,EXP(-IRTree!BH40*h)*((BI39+BI40)/2+BH106))))</f>
        <v/>
      </c>
      <c r="BI39" s="3" t="str">
        <f>IF(T&lt;=BI$11,"",IF($A39&gt;BI$12,"",IF(T=BJ$11,EXP(-IRTree!BI40*h)*BI106,EXP(-IRTree!BI40*h)*((BJ39+BJ40)/2+BI106))))</f>
        <v/>
      </c>
      <c r="BJ39" s="3" t="str">
        <f>IF(T&lt;=BJ$11,"",IF($A39&gt;BJ$12,"",IF(T=BK$11,EXP(-IRTree!BJ40*h)*BJ106,EXP(-IRTree!BJ40*h)*((BK39+BK40)/2+BJ106))))</f>
        <v/>
      </c>
    </row>
    <row r="40" spans="1:62">
      <c r="A40" s="12">
        <f t="shared" si="2"/>
        <v>27</v>
      </c>
      <c r="B40" s="3" t="str">
        <f>IF(T&lt;=B$11,"",IF($A40&gt;B$12,"",IF(T=C$11,EXP(-IRTree!B41*h)*B107,EXP(-IRTree!B41*h)*((C40+C41)/2+B107))))</f>
        <v/>
      </c>
      <c r="C40" s="3" t="str">
        <f>IF(T&lt;=C$11,"",IF($A40&gt;C$12,"",IF(T=D$11,EXP(-IRTree!C41*h)*C107,EXP(-IRTree!C41*h)*((D40+D41)/2+C107))))</f>
        <v/>
      </c>
      <c r="D40" s="3" t="str">
        <f>IF(T&lt;=D$11,"",IF($A40&gt;D$12,"",IF(T=E$11,EXP(-IRTree!D41*h)*D107,EXP(-IRTree!D41*h)*((E40+E41)/2+D107))))</f>
        <v/>
      </c>
      <c r="E40" s="3" t="str">
        <f>IF(T&lt;=E$11,"",IF($A40&gt;E$12,"",IF(T=F$11,EXP(-IRTree!E41*h)*E107,EXP(-IRTree!E41*h)*((F40+F41)/2+E107))))</f>
        <v/>
      </c>
      <c r="F40" s="3" t="str">
        <f>IF(T&lt;=F$11,"",IF($A40&gt;F$12,"",IF(T=G$11,EXP(-IRTree!F41*h)*F107,EXP(-IRTree!F41*h)*((G40+G41)/2+F107))))</f>
        <v/>
      </c>
      <c r="G40" s="3" t="str">
        <f>IF(T&lt;=G$11,"",IF($A40&gt;G$12,"",IF(T=H$11,EXP(-IRTree!G41*h)*G107,EXP(-IRTree!G41*h)*((H40+H41)/2+G107))))</f>
        <v/>
      </c>
      <c r="H40" s="3" t="str">
        <f>IF(T&lt;=H$11,"",IF($A40&gt;H$12,"",IF(T=I$11,EXP(-IRTree!H41*h)*H107,EXP(-IRTree!H41*h)*((I40+I41)/2+H107))))</f>
        <v/>
      </c>
      <c r="I40" s="3" t="str">
        <f>IF(T&lt;=I$11,"",IF($A40&gt;I$12,"",IF(T=J$11,EXP(-IRTree!I41*h)*I107,EXP(-IRTree!I41*h)*((J40+J41)/2+I107))))</f>
        <v/>
      </c>
      <c r="J40" s="3" t="str">
        <f>IF(T&lt;=J$11,"",IF($A40&gt;J$12,"",IF(T=K$11,EXP(-IRTree!J41*h)*J107,EXP(-IRTree!J41*h)*((K40+K41)/2+J107))))</f>
        <v/>
      </c>
      <c r="K40" s="3" t="str">
        <f>IF(T&lt;=K$11,"",IF($A40&gt;K$12,"",IF(T=L$11,EXP(-IRTree!K41*h)*K107,EXP(-IRTree!K41*h)*((L40+L41)/2+K107))))</f>
        <v/>
      </c>
      <c r="L40" s="3" t="str">
        <f>IF(T&lt;=L$11,"",IF($A40&gt;L$12,"",IF(T=M$11,EXP(-IRTree!L41*h)*L107,EXP(-IRTree!L41*h)*((M40+M41)/2+L107))))</f>
        <v/>
      </c>
      <c r="M40" s="3" t="str">
        <f>IF(T&lt;=M$11,"",IF($A40&gt;M$12,"",IF(T=N$11,EXP(-IRTree!M41*h)*M107,EXP(-IRTree!M41*h)*((N40+N41)/2+M107))))</f>
        <v/>
      </c>
      <c r="N40" s="3" t="str">
        <f>IF(T&lt;=N$11,"",IF($A40&gt;N$12,"",IF(T=O$11,EXP(-IRTree!N41*h)*N107,EXP(-IRTree!N41*h)*((O40+O41)/2+N107))))</f>
        <v/>
      </c>
      <c r="O40" s="3" t="str">
        <f>IF(T&lt;=O$11,"",IF($A40&gt;O$12,"",IF(T=P$11,EXP(-IRTree!O41*h)*O107,EXP(-IRTree!O41*h)*((P40+P41)/2+O107))))</f>
        <v/>
      </c>
      <c r="P40" s="3" t="str">
        <f>IF(T&lt;=P$11,"",IF($A40&gt;P$12,"",IF(T=Q$11,EXP(-IRTree!P41*h)*P107,EXP(-IRTree!P41*h)*((Q40+Q41)/2+P107))))</f>
        <v/>
      </c>
      <c r="Q40" s="3" t="str">
        <f>IF(T&lt;=Q$11,"",IF($A40&gt;Q$12,"",IF(T=R$11,EXP(-IRTree!Q41*h)*Q107,EXP(-IRTree!Q41*h)*((R40+R41)/2+Q107))))</f>
        <v/>
      </c>
      <c r="R40" s="3" t="str">
        <f>IF(T&lt;=R$11,"",IF($A40&gt;R$12,"",IF(T=S$11,EXP(-IRTree!R41*h)*R107,EXP(-IRTree!R41*h)*((S40+S41)/2+R107))))</f>
        <v/>
      </c>
      <c r="S40" s="3" t="str">
        <f>IF(T&lt;=S$11,"",IF($A40&gt;S$12,"",IF(T=T$11,EXP(-IRTree!S41*h)*S107,EXP(-IRTree!S41*h)*((T40+T41)/2+S107))))</f>
        <v/>
      </c>
      <c r="T40" s="3" t="str">
        <f>IF(T&lt;=T$11,"",IF($A40&gt;T$12,"",IF(T=U$11,EXP(-IRTree!T41*h)*T107,EXP(-IRTree!T41*h)*((U40+U41)/2+T107))))</f>
        <v/>
      </c>
      <c r="U40" s="3" t="str">
        <f>IF(T&lt;=U$11,"",IF($A40&gt;U$12,"",IF(T=V$11,EXP(-IRTree!U41*h)*U107,EXP(-IRTree!U41*h)*((V40+V41)/2+U107))))</f>
        <v/>
      </c>
      <c r="V40" s="3" t="str">
        <f>IF(T&lt;=V$11,"",IF($A40&gt;V$12,"",IF(T=W$11,EXP(-IRTree!V41*h)*V107,EXP(-IRTree!V41*h)*((W40+W41)/2+V107))))</f>
        <v/>
      </c>
      <c r="W40" s="3" t="str">
        <f>IF(T&lt;=W$11,"",IF($A40&gt;W$12,"",IF(T=X$11,EXP(-IRTree!W41*h)*W107,EXP(-IRTree!W41*h)*((X40+X41)/2+W107))))</f>
        <v/>
      </c>
      <c r="X40" s="3" t="str">
        <f>IF(T&lt;=X$11,"",IF($A40&gt;X$12,"",IF(T=Y$11,EXP(-IRTree!X41*h)*X107,EXP(-IRTree!X41*h)*((Y40+Y41)/2+X107))))</f>
        <v/>
      </c>
      <c r="Y40" s="3" t="str">
        <f>IF(T&lt;=Y$11,"",IF($A40&gt;Y$12,"",IF(T=Z$11,EXP(-IRTree!Y41*h)*Y107,EXP(-IRTree!Y41*h)*((Z40+Z41)/2+Y107))))</f>
        <v/>
      </c>
      <c r="Z40" s="3" t="str">
        <f>IF(T&lt;=Z$11,"",IF($A40&gt;Z$12,"",IF(T=AA$11,EXP(-IRTree!Z41*h)*Z107,EXP(-IRTree!Z41*h)*((AA40+AA41)/2+Z107))))</f>
        <v/>
      </c>
      <c r="AA40" s="3" t="str">
        <f>IF(T&lt;=AA$11,"",IF($A40&gt;AA$12,"",IF(T=AB$11,EXP(-IRTree!AA41*h)*AA107,EXP(-IRTree!AA41*h)*((AB40+AB41)/2+AA107))))</f>
        <v/>
      </c>
      <c r="AB40" s="3" t="str">
        <f>IF(T&lt;=AB$11,"",IF($A40&gt;AB$12,"",IF(T=AC$11,EXP(-IRTree!AB41*h)*AB107,EXP(-IRTree!AB41*h)*((AC40+AC41)/2+AB107))))</f>
        <v/>
      </c>
      <c r="AC40" s="3">
        <f>IF(T&lt;=AC$11,"",IF($A40&gt;AC$12,"",IF(T=AD$11,EXP(-IRTree!AC41*h)*AC107,EXP(-IRTree!AC41*h)*((AD40+AD41)/2+AC107))))</f>
        <v>0</v>
      </c>
      <c r="AD40" s="3">
        <f>IF(T&lt;=AD$11,"",IF($A40&gt;AD$12,"",IF(T=AE$11,EXP(-IRTree!AD41*h)*AD107,EXP(-IRTree!AD41*h)*((AE40+AE41)/2+AD107))))</f>
        <v>0</v>
      </c>
      <c r="AE40" s="3">
        <f>IF(T&lt;=AE$11,"",IF($A40&gt;AE$12,"",IF(T=AF$11,EXP(-IRTree!AE41*h)*AE107,EXP(-IRTree!AE41*h)*((AF40+AF41)/2+AE107))))</f>
        <v>0</v>
      </c>
      <c r="AF40" s="3">
        <f>IF(T&lt;=AF$11,"",IF($A40&gt;AF$12,"",IF(T=AG$11,EXP(-IRTree!AF41*h)*AF107,EXP(-IRTree!AF41*h)*((AG40+AG41)/2+AF107))))</f>
        <v>0</v>
      </c>
      <c r="AG40" s="3">
        <f>IF(T&lt;=AG$11,"",IF($A40&gt;AG$12,"",IF(T=AH$11,EXP(-IRTree!AG41*h)*AG107,EXP(-IRTree!AG41*h)*((AH40+AH41)/2+AG107))))</f>
        <v>0</v>
      </c>
      <c r="AH40" s="3">
        <f>IF(T&lt;=AH$11,"",IF($A40&gt;AH$12,"",IF(T=AI$11,EXP(-IRTree!AH41*h)*AH107,EXP(-IRTree!AH41*h)*((AI40+AI41)/2+AH107))))</f>
        <v>0</v>
      </c>
      <c r="AI40" s="3">
        <f>IF(T&lt;=AI$11,"",IF($A40&gt;AI$12,"",IF(T=AJ$11,EXP(-IRTree!AI41*h)*AI107,EXP(-IRTree!AI41*h)*((AJ40+AJ41)/2+AI107))))</f>
        <v>0</v>
      </c>
      <c r="AJ40" s="3">
        <f>IF(T&lt;=AJ$11,"",IF($A40&gt;AJ$12,"",IF(T=AK$11,EXP(-IRTree!AJ41*h)*AJ107,EXP(-IRTree!AJ41*h)*((AK40+AK41)/2+AJ107))))</f>
        <v>0</v>
      </c>
      <c r="AK40" s="3">
        <f>IF(T&lt;=AK$11,"",IF($A40&gt;AK$12,"",IF(T=AL$11,EXP(-IRTree!AK41*h)*AK107,EXP(-IRTree!AK41*h)*((AL40+AL41)/2+AK107))))</f>
        <v>0</v>
      </c>
      <c r="AL40" s="3">
        <f>IF(T&lt;=AL$11,"",IF($A40&gt;AL$12,"",IF(T=AM$11,EXP(-IRTree!AL41*h)*AL107,EXP(-IRTree!AL41*h)*((AM40+AM41)/2+AL107))))</f>
        <v>0</v>
      </c>
      <c r="AM40" s="3">
        <f>IF(T&lt;=AM$11,"",IF($A40&gt;AM$12,"",IF(T=AN$11,EXP(-IRTree!AM41*h)*AM107,EXP(-IRTree!AM41*h)*((AN40+AN41)/2+AM107))))</f>
        <v>0</v>
      </c>
      <c r="AN40" s="3">
        <f>IF(T&lt;=AN$11,"",IF($A40&gt;AN$12,"",IF(T=AO$11,EXP(-IRTree!AN41*h)*AN107,EXP(-IRTree!AN41*h)*((AO40+AO41)/2+AN107))))</f>
        <v>0</v>
      </c>
      <c r="AO40" s="3">
        <f>IF(T&lt;=AO$11,"",IF($A40&gt;AO$12,"",IF(T=AP$11,EXP(-IRTree!AO41*h)*AO107,EXP(-IRTree!AO41*h)*((AP40+AP41)/2+AO107))))</f>
        <v>0</v>
      </c>
      <c r="AP40" s="3" t="str">
        <f>IF(T&lt;=AP$11,"",IF($A40&gt;AP$12,"",IF(T=AQ$11,EXP(-IRTree!AP41*h)*AP107,EXP(-IRTree!AP41*h)*((AQ40+AQ41)/2+AP107))))</f>
        <v/>
      </c>
      <c r="AQ40" s="3" t="str">
        <f>IF(T&lt;=AQ$11,"",IF($A40&gt;AQ$12,"",IF(T=AR$11,EXP(-IRTree!AQ41*h)*AQ107,EXP(-IRTree!AQ41*h)*((AR40+AR41)/2+AQ107))))</f>
        <v/>
      </c>
      <c r="AR40" s="3" t="str">
        <f>IF(T&lt;=AR$11,"",IF($A40&gt;AR$12,"",IF(T=AS$11,EXP(-IRTree!AR41*h)*AR107,EXP(-IRTree!AR41*h)*((AS40+AS41)/2+AR107))))</f>
        <v/>
      </c>
      <c r="AS40" s="3" t="str">
        <f>IF(T&lt;=AS$11,"",IF($A40&gt;AS$12,"",IF(T=AT$11,EXP(-IRTree!AS41*h)*AS107,EXP(-IRTree!AS41*h)*((AT40+AT41)/2+AS107))))</f>
        <v/>
      </c>
      <c r="AT40" s="3" t="str">
        <f>IF(T&lt;=AT$11,"",IF($A40&gt;AT$12,"",IF(T=AU$11,EXP(-IRTree!AT41*h)*AT107,EXP(-IRTree!AT41*h)*((AU40+AU41)/2+AT107))))</f>
        <v/>
      </c>
      <c r="AU40" s="3" t="str">
        <f>IF(T&lt;=AU$11,"",IF($A40&gt;AU$12,"",IF(T=AV$11,EXP(-IRTree!AU41*h)*AU107,EXP(-IRTree!AU41*h)*((AV40+AV41)/2+AU107))))</f>
        <v/>
      </c>
      <c r="AV40" s="3" t="str">
        <f>IF(T&lt;=AV$11,"",IF($A40&gt;AV$12,"",IF(T=AW$11,EXP(-IRTree!AV41*h)*AV107,EXP(-IRTree!AV41*h)*((AW40+AW41)/2+AV107))))</f>
        <v/>
      </c>
      <c r="AW40" s="3" t="str">
        <f>IF(T&lt;=AW$11,"",IF($A40&gt;AW$12,"",IF(T=AX$11,EXP(-IRTree!AW41*h)*AW107,EXP(-IRTree!AW41*h)*((AX40+AX41)/2+AW107))))</f>
        <v/>
      </c>
      <c r="AX40" s="3" t="str">
        <f>IF(T&lt;=AX$11,"",IF($A40&gt;AX$12,"",IF(T=AY$11,EXP(-IRTree!AX41*h)*AX107,EXP(-IRTree!AX41*h)*((AY40+AY41)/2+AX107))))</f>
        <v/>
      </c>
      <c r="AY40" s="3" t="str">
        <f>IF(T&lt;=AY$11,"",IF($A40&gt;AY$12,"",IF(T=AZ$11,EXP(-IRTree!AY41*h)*AY107,EXP(-IRTree!AY41*h)*((AZ40+AZ41)/2+AY107))))</f>
        <v/>
      </c>
      <c r="AZ40" s="3" t="str">
        <f>IF(T&lt;=AZ$11,"",IF($A40&gt;AZ$12,"",IF(T=BA$11,EXP(-IRTree!AZ41*h)*AZ107,EXP(-IRTree!AZ41*h)*((BA40+BA41)/2+AZ107))))</f>
        <v/>
      </c>
      <c r="BA40" s="3" t="str">
        <f>IF(T&lt;=BA$11,"",IF($A40&gt;BA$12,"",IF(T=BB$11,EXP(-IRTree!BA41*h)*BA107,EXP(-IRTree!BA41*h)*((BB40+BB41)/2+BA107))))</f>
        <v/>
      </c>
      <c r="BB40" s="3" t="str">
        <f>IF(T&lt;=BB$11,"",IF($A40&gt;BB$12,"",IF(T=BC$11,EXP(-IRTree!BB41*h)*BB107,EXP(-IRTree!BB41*h)*((BC40+BC41)/2+BB107))))</f>
        <v/>
      </c>
      <c r="BC40" s="3" t="str">
        <f>IF(T&lt;=BC$11,"",IF($A40&gt;BC$12,"",IF(T=BD$11,EXP(-IRTree!BC41*h)*BC107,EXP(-IRTree!BC41*h)*((BD40+BD41)/2+BC107))))</f>
        <v/>
      </c>
      <c r="BD40" s="3" t="str">
        <f>IF(T&lt;=BD$11,"",IF($A40&gt;BD$12,"",IF(T=BE$11,EXP(-IRTree!BD41*h)*BD107,EXP(-IRTree!BD41*h)*((BE40+BE41)/2+BD107))))</f>
        <v/>
      </c>
      <c r="BE40" s="3" t="str">
        <f>IF(T&lt;=BE$11,"",IF($A40&gt;BE$12,"",IF(T=BF$11,EXP(-IRTree!BE41*h)*BE107,EXP(-IRTree!BE41*h)*((BF40+BF41)/2+BE107))))</f>
        <v/>
      </c>
      <c r="BF40" s="3" t="str">
        <f>IF(T&lt;=BF$11,"",IF($A40&gt;BF$12,"",IF(T=BG$11,EXP(-IRTree!BF41*h)*BF107,EXP(-IRTree!BF41*h)*((BG40+BG41)/2+BF107))))</f>
        <v/>
      </c>
      <c r="BG40" s="3" t="str">
        <f>IF(T&lt;=BG$11,"",IF($A40&gt;BG$12,"",IF(T=BH$11,EXP(-IRTree!BG41*h)*BG107,EXP(-IRTree!BG41*h)*((BH40+BH41)/2+BG107))))</f>
        <v/>
      </c>
      <c r="BH40" s="3" t="str">
        <f>IF(T&lt;=BH$11,"",IF($A40&gt;BH$12,"",IF(T=BI$11,EXP(-IRTree!BH41*h)*BH107,EXP(-IRTree!BH41*h)*((BI40+BI41)/2+BH107))))</f>
        <v/>
      </c>
      <c r="BI40" s="3" t="str">
        <f>IF(T&lt;=BI$11,"",IF($A40&gt;BI$12,"",IF(T=BJ$11,EXP(-IRTree!BI41*h)*BI107,EXP(-IRTree!BI41*h)*((BJ40+BJ41)/2+BI107))))</f>
        <v/>
      </c>
      <c r="BJ40" s="3" t="str">
        <f>IF(T&lt;=BJ$11,"",IF($A40&gt;BJ$12,"",IF(T=BK$11,EXP(-IRTree!BJ41*h)*BJ107,EXP(-IRTree!BJ41*h)*((BK40+BK41)/2+BJ107))))</f>
        <v/>
      </c>
    </row>
    <row r="41" spans="1:62">
      <c r="A41" s="12">
        <f t="shared" si="2"/>
        <v>28</v>
      </c>
      <c r="B41" s="3" t="str">
        <f>IF(T&lt;=B$11,"",IF($A41&gt;B$12,"",IF(T=C$11,EXP(-IRTree!B42*h)*B108,EXP(-IRTree!B42*h)*((C41+C42)/2+B108))))</f>
        <v/>
      </c>
      <c r="C41" s="3" t="str">
        <f>IF(T&lt;=C$11,"",IF($A41&gt;C$12,"",IF(T=D$11,EXP(-IRTree!C42*h)*C108,EXP(-IRTree!C42*h)*((D41+D42)/2+C108))))</f>
        <v/>
      </c>
      <c r="D41" s="3" t="str">
        <f>IF(T&lt;=D$11,"",IF($A41&gt;D$12,"",IF(T=E$11,EXP(-IRTree!D42*h)*D108,EXP(-IRTree!D42*h)*((E41+E42)/2+D108))))</f>
        <v/>
      </c>
      <c r="E41" s="3" t="str">
        <f>IF(T&lt;=E$11,"",IF($A41&gt;E$12,"",IF(T=F$11,EXP(-IRTree!E42*h)*E108,EXP(-IRTree!E42*h)*((F41+F42)/2+E108))))</f>
        <v/>
      </c>
      <c r="F41" s="3" t="str">
        <f>IF(T&lt;=F$11,"",IF($A41&gt;F$12,"",IF(T=G$11,EXP(-IRTree!F42*h)*F108,EXP(-IRTree!F42*h)*((G41+G42)/2+F108))))</f>
        <v/>
      </c>
      <c r="G41" s="3" t="str">
        <f>IF(T&lt;=G$11,"",IF($A41&gt;G$12,"",IF(T=H$11,EXP(-IRTree!G42*h)*G108,EXP(-IRTree!G42*h)*((H41+H42)/2+G108))))</f>
        <v/>
      </c>
      <c r="H41" s="3" t="str">
        <f>IF(T&lt;=H$11,"",IF($A41&gt;H$12,"",IF(T=I$11,EXP(-IRTree!H42*h)*H108,EXP(-IRTree!H42*h)*((I41+I42)/2+H108))))</f>
        <v/>
      </c>
      <c r="I41" s="3" t="str">
        <f>IF(T&lt;=I$11,"",IF($A41&gt;I$12,"",IF(T=J$11,EXP(-IRTree!I42*h)*I108,EXP(-IRTree!I42*h)*((J41+J42)/2+I108))))</f>
        <v/>
      </c>
      <c r="J41" s="3" t="str">
        <f>IF(T&lt;=J$11,"",IF($A41&gt;J$12,"",IF(T=K$11,EXP(-IRTree!J42*h)*J108,EXP(-IRTree!J42*h)*((K41+K42)/2+J108))))</f>
        <v/>
      </c>
      <c r="K41" s="3" t="str">
        <f>IF(T&lt;=K$11,"",IF($A41&gt;K$12,"",IF(T=L$11,EXP(-IRTree!K42*h)*K108,EXP(-IRTree!K42*h)*((L41+L42)/2+K108))))</f>
        <v/>
      </c>
      <c r="L41" s="3" t="str">
        <f>IF(T&lt;=L$11,"",IF($A41&gt;L$12,"",IF(T=M$11,EXP(-IRTree!L42*h)*L108,EXP(-IRTree!L42*h)*((M41+M42)/2+L108))))</f>
        <v/>
      </c>
      <c r="M41" s="3" t="str">
        <f>IF(T&lt;=M$11,"",IF($A41&gt;M$12,"",IF(T=N$11,EXP(-IRTree!M42*h)*M108,EXP(-IRTree!M42*h)*((N41+N42)/2+M108))))</f>
        <v/>
      </c>
      <c r="N41" s="3" t="str">
        <f>IF(T&lt;=N$11,"",IF($A41&gt;N$12,"",IF(T=O$11,EXP(-IRTree!N42*h)*N108,EXP(-IRTree!N42*h)*((O41+O42)/2+N108))))</f>
        <v/>
      </c>
      <c r="O41" s="3" t="str">
        <f>IF(T&lt;=O$11,"",IF($A41&gt;O$12,"",IF(T=P$11,EXP(-IRTree!O42*h)*O108,EXP(-IRTree!O42*h)*((P41+P42)/2+O108))))</f>
        <v/>
      </c>
      <c r="P41" s="3" t="str">
        <f>IF(T&lt;=P$11,"",IF($A41&gt;P$12,"",IF(T=Q$11,EXP(-IRTree!P42*h)*P108,EXP(-IRTree!P42*h)*((Q41+Q42)/2+P108))))</f>
        <v/>
      </c>
      <c r="Q41" s="3" t="str">
        <f>IF(T&lt;=Q$11,"",IF($A41&gt;Q$12,"",IF(T=R$11,EXP(-IRTree!Q42*h)*Q108,EXP(-IRTree!Q42*h)*((R41+R42)/2+Q108))))</f>
        <v/>
      </c>
      <c r="R41" s="3" t="str">
        <f>IF(T&lt;=R$11,"",IF($A41&gt;R$12,"",IF(T=S$11,EXP(-IRTree!R42*h)*R108,EXP(-IRTree!R42*h)*((S41+S42)/2+R108))))</f>
        <v/>
      </c>
      <c r="S41" s="3" t="str">
        <f>IF(T&lt;=S$11,"",IF($A41&gt;S$12,"",IF(T=T$11,EXP(-IRTree!S42*h)*S108,EXP(-IRTree!S42*h)*((T41+T42)/2+S108))))</f>
        <v/>
      </c>
      <c r="T41" s="3" t="str">
        <f>IF(T&lt;=T$11,"",IF($A41&gt;T$12,"",IF(T=U$11,EXP(-IRTree!T42*h)*T108,EXP(-IRTree!T42*h)*((U41+U42)/2+T108))))</f>
        <v/>
      </c>
      <c r="U41" s="3" t="str">
        <f>IF(T&lt;=U$11,"",IF($A41&gt;U$12,"",IF(T=V$11,EXP(-IRTree!U42*h)*U108,EXP(-IRTree!U42*h)*((V41+V42)/2+U108))))</f>
        <v/>
      </c>
      <c r="V41" s="3" t="str">
        <f>IF(T&lt;=V$11,"",IF($A41&gt;V$12,"",IF(T=W$11,EXP(-IRTree!V42*h)*V108,EXP(-IRTree!V42*h)*((W41+W42)/2+V108))))</f>
        <v/>
      </c>
      <c r="W41" s="3" t="str">
        <f>IF(T&lt;=W$11,"",IF($A41&gt;W$12,"",IF(T=X$11,EXP(-IRTree!W42*h)*W108,EXP(-IRTree!W42*h)*((X41+X42)/2+W108))))</f>
        <v/>
      </c>
      <c r="X41" s="3" t="str">
        <f>IF(T&lt;=X$11,"",IF($A41&gt;X$12,"",IF(T=Y$11,EXP(-IRTree!X42*h)*X108,EXP(-IRTree!X42*h)*((Y41+Y42)/2+X108))))</f>
        <v/>
      </c>
      <c r="Y41" s="3" t="str">
        <f>IF(T&lt;=Y$11,"",IF($A41&gt;Y$12,"",IF(T=Z$11,EXP(-IRTree!Y42*h)*Y108,EXP(-IRTree!Y42*h)*((Z41+Z42)/2+Y108))))</f>
        <v/>
      </c>
      <c r="Z41" s="3" t="str">
        <f>IF(T&lt;=Z$11,"",IF($A41&gt;Z$12,"",IF(T=AA$11,EXP(-IRTree!Z42*h)*Z108,EXP(-IRTree!Z42*h)*((AA41+AA42)/2+Z108))))</f>
        <v/>
      </c>
      <c r="AA41" s="3" t="str">
        <f>IF(T&lt;=AA$11,"",IF($A41&gt;AA$12,"",IF(T=AB$11,EXP(-IRTree!AA42*h)*AA108,EXP(-IRTree!AA42*h)*((AB41+AB42)/2+AA108))))</f>
        <v/>
      </c>
      <c r="AB41" s="3" t="str">
        <f>IF(T&lt;=AB$11,"",IF($A41&gt;AB$12,"",IF(T=AC$11,EXP(-IRTree!AB42*h)*AB108,EXP(-IRTree!AB42*h)*((AC41+AC42)/2+AB108))))</f>
        <v/>
      </c>
      <c r="AC41" s="3" t="str">
        <f>IF(T&lt;=AC$11,"",IF($A41&gt;AC$12,"",IF(T=AD$11,EXP(-IRTree!AC42*h)*AC108,EXP(-IRTree!AC42*h)*((AD41+AD42)/2+AC108))))</f>
        <v/>
      </c>
      <c r="AD41" s="3">
        <f>IF(T&lt;=AD$11,"",IF($A41&gt;AD$12,"",IF(T=AE$11,EXP(-IRTree!AD42*h)*AD108,EXP(-IRTree!AD42*h)*((AE41+AE42)/2+AD108))))</f>
        <v>0</v>
      </c>
      <c r="AE41" s="3">
        <f>IF(T&lt;=AE$11,"",IF($A41&gt;AE$12,"",IF(T=AF$11,EXP(-IRTree!AE42*h)*AE108,EXP(-IRTree!AE42*h)*((AF41+AF42)/2+AE108))))</f>
        <v>0</v>
      </c>
      <c r="AF41" s="3">
        <f>IF(T&lt;=AF$11,"",IF($A41&gt;AF$12,"",IF(T=AG$11,EXP(-IRTree!AF42*h)*AF108,EXP(-IRTree!AF42*h)*((AG41+AG42)/2+AF108))))</f>
        <v>0</v>
      </c>
      <c r="AG41" s="3">
        <f>IF(T&lt;=AG$11,"",IF($A41&gt;AG$12,"",IF(T=AH$11,EXP(-IRTree!AG42*h)*AG108,EXP(-IRTree!AG42*h)*((AH41+AH42)/2+AG108))))</f>
        <v>0</v>
      </c>
      <c r="AH41" s="3">
        <f>IF(T&lt;=AH$11,"",IF($A41&gt;AH$12,"",IF(T=AI$11,EXP(-IRTree!AH42*h)*AH108,EXP(-IRTree!AH42*h)*((AI41+AI42)/2+AH108))))</f>
        <v>0</v>
      </c>
      <c r="AI41" s="3">
        <f>IF(T&lt;=AI$11,"",IF($A41&gt;AI$12,"",IF(T=AJ$11,EXP(-IRTree!AI42*h)*AI108,EXP(-IRTree!AI42*h)*((AJ41+AJ42)/2+AI108))))</f>
        <v>0</v>
      </c>
      <c r="AJ41" s="3">
        <f>IF(T&lt;=AJ$11,"",IF($A41&gt;AJ$12,"",IF(T=AK$11,EXP(-IRTree!AJ42*h)*AJ108,EXP(-IRTree!AJ42*h)*((AK41+AK42)/2+AJ108))))</f>
        <v>0</v>
      </c>
      <c r="AK41" s="3">
        <f>IF(T&lt;=AK$11,"",IF($A41&gt;AK$12,"",IF(T=AL$11,EXP(-IRTree!AK42*h)*AK108,EXP(-IRTree!AK42*h)*((AL41+AL42)/2+AK108))))</f>
        <v>0</v>
      </c>
      <c r="AL41" s="3">
        <f>IF(T&lt;=AL$11,"",IF($A41&gt;AL$12,"",IF(T=AM$11,EXP(-IRTree!AL42*h)*AL108,EXP(-IRTree!AL42*h)*((AM41+AM42)/2+AL108))))</f>
        <v>0</v>
      </c>
      <c r="AM41" s="3">
        <f>IF(T&lt;=AM$11,"",IF($A41&gt;AM$12,"",IF(T=AN$11,EXP(-IRTree!AM42*h)*AM108,EXP(-IRTree!AM42*h)*((AN41+AN42)/2+AM108))))</f>
        <v>0</v>
      </c>
      <c r="AN41" s="3">
        <f>IF(T&lt;=AN$11,"",IF($A41&gt;AN$12,"",IF(T=AO$11,EXP(-IRTree!AN42*h)*AN108,EXP(-IRTree!AN42*h)*((AO41+AO42)/2+AN108))))</f>
        <v>0</v>
      </c>
      <c r="AO41" s="3">
        <f>IF(T&lt;=AO$11,"",IF($A41&gt;AO$12,"",IF(T=AP$11,EXP(-IRTree!AO42*h)*AO108,EXP(-IRTree!AO42*h)*((AP41+AP42)/2+AO108))))</f>
        <v>0</v>
      </c>
      <c r="AP41" s="3" t="str">
        <f>IF(T&lt;=AP$11,"",IF($A41&gt;AP$12,"",IF(T=AQ$11,EXP(-IRTree!AP42*h)*AP108,EXP(-IRTree!AP42*h)*((AQ41+AQ42)/2+AP108))))</f>
        <v/>
      </c>
      <c r="AQ41" s="3" t="str">
        <f>IF(T&lt;=AQ$11,"",IF($A41&gt;AQ$12,"",IF(T=AR$11,EXP(-IRTree!AQ42*h)*AQ108,EXP(-IRTree!AQ42*h)*((AR41+AR42)/2+AQ108))))</f>
        <v/>
      </c>
      <c r="AR41" s="3" t="str">
        <f>IF(T&lt;=AR$11,"",IF($A41&gt;AR$12,"",IF(T=AS$11,EXP(-IRTree!AR42*h)*AR108,EXP(-IRTree!AR42*h)*((AS41+AS42)/2+AR108))))</f>
        <v/>
      </c>
      <c r="AS41" s="3" t="str">
        <f>IF(T&lt;=AS$11,"",IF($A41&gt;AS$12,"",IF(T=AT$11,EXP(-IRTree!AS42*h)*AS108,EXP(-IRTree!AS42*h)*((AT41+AT42)/2+AS108))))</f>
        <v/>
      </c>
      <c r="AT41" s="3" t="str">
        <f>IF(T&lt;=AT$11,"",IF($A41&gt;AT$12,"",IF(T=AU$11,EXP(-IRTree!AT42*h)*AT108,EXP(-IRTree!AT42*h)*((AU41+AU42)/2+AT108))))</f>
        <v/>
      </c>
      <c r="AU41" s="3" t="str">
        <f>IF(T&lt;=AU$11,"",IF($A41&gt;AU$12,"",IF(T=AV$11,EXP(-IRTree!AU42*h)*AU108,EXP(-IRTree!AU42*h)*((AV41+AV42)/2+AU108))))</f>
        <v/>
      </c>
      <c r="AV41" s="3" t="str">
        <f>IF(T&lt;=AV$11,"",IF($A41&gt;AV$12,"",IF(T=AW$11,EXP(-IRTree!AV42*h)*AV108,EXP(-IRTree!AV42*h)*((AW41+AW42)/2+AV108))))</f>
        <v/>
      </c>
      <c r="AW41" s="3" t="str">
        <f>IF(T&lt;=AW$11,"",IF($A41&gt;AW$12,"",IF(T=AX$11,EXP(-IRTree!AW42*h)*AW108,EXP(-IRTree!AW42*h)*((AX41+AX42)/2+AW108))))</f>
        <v/>
      </c>
      <c r="AX41" s="3" t="str">
        <f>IF(T&lt;=AX$11,"",IF($A41&gt;AX$12,"",IF(T=AY$11,EXP(-IRTree!AX42*h)*AX108,EXP(-IRTree!AX42*h)*((AY41+AY42)/2+AX108))))</f>
        <v/>
      </c>
      <c r="AY41" s="3" t="str">
        <f>IF(T&lt;=AY$11,"",IF($A41&gt;AY$12,"",IF(T=AZ$11,EXP(-IRTree!AY42*h)*AY108,EXP(-IRTree!AY42*h)*((AZ41+AZ42)/2+AY108))))</f>
        <v/>
      </c>
      <c r="AZ41" s="3" t="str">
        <f>IF(T&lt;=AZ$11,"",IF($A41&gt;AZ$12,"",IF(T=BA$11,EXP(-IRTree!AZ42*h)*AZ108,EXP(-IRTree!AZ42*h)*((BA41+BA42)/2+AZ108))))</f>
        <v/>
      </c>
      <c r="BA41" s="3" t="str">
        <f>IF(T&lt;=BA$11,"",IF($A41&gt;BA$12,"",IF(T=BB$11,EXP(-IRTree!BA42*h)*BA108,EXP(-IRTree!BA42*h)*((BB41+BB42)/2+BA108))))</f>
        <v/>
      </c>
      <c r="BB41" s="3" t="str">
        <f>IF(T&lt;=BB$11,"",IF($A41&gt;BB$12,"",IF(T=BC$11,EXP(-IRTree!BB42*h)*BB108,EXP(-IRTree!BB42*h)*((BC41+BC42)/2+BB108))))</f>
        <v/>
      </c>
      <c r="BC41" s="3" t="str">
        <f>IF(T&lt;=BC$11,"",IF($A41&gt;BC$12,"",IF(T=BD$11,EXP(-IRTree!BC42*h)*BC108,EXP(-IRTree!BC42*h)*((BD41+BD42)/2+BC108))))</f>
        <v/>
      </c>
      <c r="BD41" s="3" t="str">
        <f>IF(T&lt;=BD$11,"",IF($A41&gt;BD$12,"",IF(T=BE$11,EXP(-IRTree!BD42*h)*BD108,EXP(-IRTree!BD42*h)*((BE41+BE42)/2+BD108))))</f>
        <v/>
      </c>
      <c r="BE41" s="3" t="str">
        <f>IF(T&lt;=BE$11,"",IF($A41&gt;BE$12,"",IF(T=BF$11,EXP(-IRTree!BE42*h)*BE108,EXP(-IRTree!BE42*h)*((BF41+BF42)/2+BE108))))</f>
        <v/>
      </c>
      <c r="BF41" s="3" t="str">
        <f>IF(T&lt;=BF$11,"",IF($A41&gt;BF$12,"",IF(T=BG$11,EXP(-IRTree!BF42*h)*BF108,EXP(-IRTree!BF42*h)*((BG41+BG42)/2+BF108))))</f>
        <v/>
      </c>
      <c r="BG41" s="3" t="str">
        <f>IF(T&lt;=BG$11,"",IF($A41&gt;BG$12,"",IF(T=BH$11,EXP(-IRTree!BG42*h)*BG108,EXP(-IRTree!BG42*h)*((BH41+BH42)/2+BG108))))</f>
        <v/>
      </c>
      <c r="BH41" s="3" t="str">
        <f>IF(T&lt;=BH$11,"",IF($A41&gt;BH$12,"",IF(T=BI$11,EXP(-IRTree!BH42*h)*BH108,EXP(-IRTree!BH42*h)*((BI41+BI42)/2+BH108))))</f>
        <v/>
      </c>
      <c r="BI41" s="3" t="str">
        <f>IF(T&lt;=BI$11,"",IF($A41&gt;BI$12,"",IF(T=BJ$11,EXP(-IRTree!BI42*h)*BI108,EXP(-IRTree!BI42*h)*((BJ41+BJ42)/2+BI108))))</f>
        <v/>
      </c>
      <c r="BJ41" s="3" t="str">
        <f>IF(T&lt;=BJ$11,"",IF($A41&gt;BJ$12,"",IF(T=BK$11,EXP(-IRTree!BJ42*h)*BJ108,EXP(-IRTree!BJ42*h)*((BK41+BK42)/2+BJ108))))</f>
        <v/>
      </c>
    </row>
    <row r="42" spans="1:62">
      <c r="A42" s="12">
        <f t="shared" si="2"/>
        <v>29</v>
      </c>
      <c r="B42" s="3" t="str">
        <f>IF(T&lt;=B$11,"",IF($A42&gt;B$12,"",IF(T=C$11,EXP(-IRTree!B43*h)*B109,EXP(-IRTree!B43*h)*((C42+C43)/2+B109))))</f>
        <v/>
      </c>
      <c r="C42" s="3" t="str">
        <f>IF(T&lt;=C$11,"",IF($A42&gt;C$12,"",IF(T=D$11,EXP(-IRTree!C43*h)*C109,EXP(-IRTree!C43*h)*((D42+D43)/2+C109))))</f>
        <v/>
      </c>
      <c r="D42" s="3" t="str">
        <f>IF(T&lt;=D$11,"",IF($A42&gt;D$12,"",IF(T=E$11,EXP(-IRTree!D43*h)*D109,EXP(-IRTree!D43*h)*((E42+E43)/2+D109))))</f>
        <v/>
      </c>
      <c r="E42" s="3" t="str">
        <f>IF(T&lt;=E$11,"",IF($A42&gt;E$12,"",IF(T=F$11,EXP(-IRTree!E43*h)*E109,EXP(-IRTree!E43*h)*((F42+F43)/2+E109))))</f>
        <v/>
      </c>
      <c r="F42" s="3" t="str">
        <f>IF(T&lt;=F$11,"",IF($A42&gt;F$12,"",IF(T=G$11,EXP(-IRTree!F43*h)*F109,EXP(-IRTree!F43*h)*((G42+G43)/2+F109))))</f>
        <v/>
      </c>
      <c r="G42" s="3" t="str">
        <f>IF(T&lt;=G$11,"",IF($A42&gt;G$12,"",IF(T=H$11,EXP(-IRTree!G43*h)*G109,EXP(-IRTree!G43*h)*((H42+H43)/2+G109))))</f>
        <v/>
      </c>
      <c r="H42" s="3" t="str">
        <f>IF(T&lt;=H$11,"",IF($A42&gt;H$12,"",IF(T=I$11,EXP(-IRTree!H43*h)*H109,EXP(-IRTree!H43*h)*((I42+I43)/2+H109))))</f>
        <v/>
      </c>
      <c r="I42" s="3" t="str">
        <f>IF(T&lt;=I$11,"",IF($A42&gt;I$12,"",IF(T=J$11,EXP(-IRTree!I43*h)*I109,EXP(-IRTree!I43*h)*((J42+J43)/2+I109))))</f>
        <v/>
      </c>
      <c r="J42" s="3" t="str">
        <f>IF(T&lt;=J$11,"",IF($A42&gt;J$12,"",IF(T=K$11,EXP(-IRTree!J43*h)*J109,EXP(-IRTree!J43*h)*((K42+K43)/2+J109))))</f>
        <v/>
      </c>
      <c r="K42" s="3" t="str">
        <f>IF(T&lt;=K$11,"",IF($A42&gt;K$12,"",IF(T=L$11,EXP(-IRTree!K43*h)*K109,EXP(-IRTree!K43*h)*((L42+L43)/2+K109))))</f>
        <v/>
      </c>
      <c r="L42" s="3" t="str">
        <f>IF(T&lt;=L$11,"",IF($A42&gt;L$12,"",IF(T=M$11,EXP(-IRTree!L43*h)*L109,EXP(-IRTree!L43*h)*((M42+M43)/2+L109))))</f>
        <v/>
      </c>
      <c r="M42" s="3" t="str">
        <f>IF(T&lt;=M$11,"",IF($A42&gt;M$12,"",IF(T=N$11,EXP(-IRTree!M43*h)*M109,EXP(-IRTree!M43*h)*((N42+N43)/2+M109))))</f>
        <v/>
      </c>
      <c r="N42" s="3" t="str">
        <f>IF(T&lt;=N$11,"",IF($A42&gt;N$12,"",IF(T=O$11,EXP(-IRTree!N43*h)*N109,EXP(-IRTree!N43*h)*((O42+O43)/2+N109))))</f>
        <v/>
      </c>
      <c r="O42" s="3" t="str">
        <f>IF(T&lt;=O$11,"",IF($A42&gt;O$12,"",IF(T=P$11,EXP(-IRTree!O43*h)*O109,EXP(-IRTree!O43*h)*((P42+P43)/2+O109))))</f>
        <v/>
      </c>
      <c r="P42" s="3" t="str">
        <f>IF(T&lt;=P$11,"",IF($A42&gt;P$12,"",IF(T=Q$11,EXP(-IRTree!P43*h)*P109,EXP(-IRTree!P43*h)*((Q42+Q43)/2+P109))))</f>
        <v/>
      </c>
      <c r="Q42" s="3" t="str">
        <f>IF(T&lt;=Q$11,"",IF($A42&gt;Q$12,"",IF(T=R$11,EXP(-IRTree!Q43*h)*Q109,EXP(-IRTree!Q43*h)*((R42+R43)/2+Q109))))</f>
        <v/>
      </c>
      <c r="R42" s="3" t="str">
        <f>IF(T&lt;=R$11,"",IF($A42&gt;R$12,"",IF(T=S$11,EXP(-IRTree!R43*h)*R109,EXP(-IRTree!R43*h)*((S42+S43)/2+R109))))</f>
        <v/>
      </c>
      <c r="S42" s="3" t="str">
        <f>IF(T&lt;=S$11,"",IF($A42&gt;S$12,"",IF(T=T$11,EXP(-IRTree!S43*h)*S109,EXP(-IRTree!S43*h)*((T42+T43)/2+S109))))</f>
        <v/>
      </c>
      <c r="T42" s="3" t="str">
        <f>IF(T&lt;=T$11,"",IF($A42&gt;T$12,"",IF(T=U$11,EXP(-IRTree!T43*h)*T109,EXP(-IRTree!T43*h)*((U42+U43)/2+T109))))</f>
        <v/>
      </c>
      <c r="U42" s="3" t="str">
        <f>IF(T&lt;=U$11,"",IF($A42&gt;U$12,"",IF(T=V$11,EXP(-IRTree!U43*h)*U109,EXP(-IRTree!U43*h)*((V42+V43)/2+U109))))</f>
        <v/>
      </c>
      <c r="V42" s="3" t="str">
        <f>IF(T&lt;=V$11,"",IF($A42&gt;V$12,"",IF(T=W$11,EXP(-IRTree!V43*h)*V109,EXP(-IRTree!V43*h)*((W42+W43)/2+V109))))</f>
        <v/>
      </c>
      <c r="W42" s="3" t="str">
        <f>IF(T&lt;=W$11,"",IF($A42&gt;W$12,"",IF(T=X$11,EXP(-IRTree!W43*h)*W109,EXP(-IRTree!W43*h)*((X42+X43)/2+W109))))</f>
        <v/>
      </c>
      <c r="X42" s="3" t="str">
        <f>IF(T&lt;=X$11,"",IF($A42&gt;X$12,"",IF(T=Y$11,EXP(-IRTree!X43*h)*X109,EXP(-IRTree!X43*h)*((Y42+Y43)/2+X109))))</f>
        <v/>
      </c>
      <c r="Y42" s="3" t="str">
        <f>IF(T&lt;=Y$11,"",IF($A42&gt;Y$12,"",IF(T=Z$11,EXP(-IRTree!Y43*h)*Y109,EXP(-IRTree!Y43*h)*((Z42+Z43)/2+Y109))))</f>
        <v/>
      </c>
      <c r="Z42" s="3" t="str">
        <f>IF(T&lt;=Z$11,"",IF($A42&gt;Z$12,"",IF(T=AA$11,EXP(-IRTree!Z43*h)*Z109,EXP(-IRTree!Z43*h)*((AA42+AA43)/2+Z109))))</f>
        <v/>
      </c>
      <c r="AA42" s="3" t="str">
        <f>IF(T&lt;=AA$11,"",IF($A42&gt;AA$12,"",IF(T=AB$11,EXP(-IRTree!AA43*h)*AA109,EXP(-IRTree!AA43*h)*((AB42+AB43)/2+AA109))))</f>
        <v/>
      </c>
      <c r="AB42" s="3" t="str">
        <f>IF(T&lt;=AB$11,"",IF($A42&gt;AB$12,"",IF(T=AC$11,EXP(-IRTree!AB43*h)*AB109,EXP(-IRTree!AB43*h)*((AC42+AC43)/2+AB109))))</f>
        <v/>
      </c>
      <c r="AC42" s="3" t="str">
        <f>IF(T&lt;=AC$11,"",IF($A42&gt;AC$12,"",IF(T=AD$11,EXP(-IRTree!AC43*h)*AC109,EXP(-IRTree!AC43*h)*((AD42+AD43)/2+AC109))))</f>
        <v/>
      </c>
      <c r="AD42" s="3" t="str">
        <f>IF(T&lt;=AD$11,"",IF($A42&gt;AD$12,"",IF(T=AE$11,EXP(-IRTree!AD43*h)*AD109,EXP(-IRTree!AD43*h)*((AE42+AE43)/2+AD109))))</f>
        <v/>
      </c>
      <c r="AE42" s="3">
        <f>IF(T&lt;=AE$11,"",IF($A42&gt;AE$12,"",IF(T=AF$11,EXP(-IRTree!AE43*h)*AE109,EXP(-IRTree!AE43*h)*((AF42+AF43)/2+AE109))))</f>
        <v>0</v>
      </c>
      <c r="AF42" s="3">
        <f>IF(T&lt;=AF$11,"",IF($A42&gt;AF$12,"",IF(T=AG$11,EXP(-IRTree!AF43*h)*AF109,EXP(-IRTree!AF43*h)*((AG42+AG43)/2+AF109))))</f>
        <v>0</v>
      </c>
      <c r="AG42" s="3">
        <f>IF(T&lt;=AG$11,"",IF($A42&gt;AG$12,"",IF(T=AH$11,EXP(-IRTree!AG43*h)*AG109,EXP(-IRTree!AG43*h)*((AH42+AH43)/2+AG109))))</f>
        <v>0</v>
      </c>
      <c r="AH42" s="3">
        <f>IF(T&lt;=AH$11,"",IF($A42&gt;AH$12,"",IF(T=AI$11,EXP(-IRTree!AH43*h)*AH109,EXP(-IRTree!AH43*h)*((AI42+AI43)/2+AH109))))</f>
        <v>0</v>
      </c>
      <c r="AI42" s="3">
        <f>IF(T&lt;=AI$11,"",IF($A42&gt;AI$12,"",IF(T=AJ$11,EXP(-IRTree!AI43*h)*AI109,EXP(-IRTree!AI43*h)*((AJ42+AJ43)/2+AI109))))</f>
        <v>0</v>
      </c>
      <c r="AJ42" s="3">
        <f>IF(T&lt;=AJ$11,"",IF($A42&gt;AJ$12,"",IF(T=AK$11,EXP(-IRTree!AJ43*h)*AJ109,EXP(-IRTree!AJ43*h)*((AK42+AK43)/2+AJ109))))</f>
        <v>0</v>
      </c>
      <c r="AK42" s="3">
        <f>IF(T&lt;=AK$11,"",IF($A42&gt;AK$12,"",IF(T=AL$11,EXP(-IRTree!AK43*h)*AK109,EXP(-IRTree!AK43*h)*((AL42+AL43)/2+AK109))))</f>
        <v>0</v>
      </c>
      <c r="AL42" s="3">
        <f>IF(T&lt;=AL$11,"",IF($A42&gt;AL$12,"",IF(T=AM$11,EXP(-IRTree!AL43*h)*AL109,EXP(-IRTree!AL43*h)*((AM42+AM43)/2+AL109))))</f>
        <v>0</v>
      </c>
      <c r="AM42" s="3">
        <f>IF(T&lt;=AM$11,"",IF($A42&gt;AM$12,"",IF(T=AN$11,EXP(-IRTree!AM43*h)*AM109,EXP(-IRTree!AM43*h)*((AN42+AN43)/2+AM109))))</f>
        <v>0</v>
      </c>
      <c r="AN42" s="3">
        <f>IF(T&lt;=AN$11,"",IF($A42&gt;AN$12,"",IF(T=AO$11,EXP(-IRTree!AN43*h)*AN109,EXP(-IRTree!AN43*h)*((AO42+AO43)/2+AN109))))</f>
        <v>0</v>
      </c>
      <c r="AO42" s="3">
        <f>IF(T&lt;=AO$11,"",IF($A42&gt;AO$12,"",IF(T=AP$11,EXP(-IRTree!AO43*h)*AO109,EXP(-IRTree!AO43*h)*((AP42+AP43)/2+AO109))))</f>
        <v>0</v>
      </c>
      <c r="AP42" s="3" t="str">
        <f>IF(T&lt;=AP$11,"",IF($A42&gt;AP$12,"",IF(T=AQ$11,EXP(-IRTree!AP43*h)*AP109,EXP(-IRTree!AP43*h)*((AQ42+AQ43)/2+AP109))))</f>
        <v/>
      </c>
      <c r="AQ42" s="3" t="str">
        <f>IF(T&lt;=AQ$11,"",IF($A42&gt;AQ$12,"",IF(T=AR$11,EXP(-IRTree!AQ43*h)*AQ109,EXP(-IRTree!AQ43*h)*((AR42+AR43)/2+AQ109))))</f>
        <v/>
      </c>
      <c r="AR42" s="3" t="str">
        <f>IF(T&lt;=AR$11,"",IF($A42&gt;AR$12,"",IF(T=AS$11,EXP(-IRTree!AR43*h)*AR109,EXP(-IRTree!AR43*h)*((AS42+AS43)/2+AR109))))</f>
        <v/>
      </c>
      <c r="AS42" s="3" t="str">
        <f>IF(T&lt;=AS$11,"",IF($A42&gt;AS$12,"",IF(T=AT$11,EXP(-IRTree!AS43*h)*AS109,EXP(-IRTree!AS43*h)*((AT42+AT43)/2+AS109))))</f>
        <v/>
      </c>
      <c r="AT42" s="3" t="str">
        <f>IF(T&lt;=AT$11,"",IF($A42&gt;AT$12,"",IF(T=AU$11,EXP(-IRTree!AT43*h)*AT109,EXP(-IRTree!AT43*h)*((AU42+AU43)/2+AT109))))</f>
        <v/>
      </c>
      <c r="AU42" s="3" t="str">
        <f>IF(T&lt;=AU$11,"",IF($A42&gt;AU$12,"",IF(T=AV$11,EXP(-IRTree!AU43*h)*AU109,EXP(-IRTree!AU43*h)*((AV42+AV43)/2+AU109))))</f>
        <v/>
      </c>
      <c r="AV42" s="3" t="str">
        <f>IF(T&lt;=AV$11,"",IF($A42&gt;AV$12,"",IF(T=AW$11,EXP(-IRTree!AV43*h)*AV109,EXP(-IRTree!AV43*h)*((AW42+AW43)/2+AV109))))</f>
        <v/>
      </c>
      <c r="AW42" s="3" t="str">
        <f>IF(T&lt;=AW$11,"",IF($A42&gt;AW$12,"",IF(T=AX$11,EXP(-IRTree!AW43*h)*AW109,EXP(-IRTree!AW43*h)*((AX42+AX43)/2+AW109))))</f>
        <v/>
      </c>
      <c r="AX42" s="3" t="str">
        <f>IF(T&lt;=AX$11,"",IF($A42&gt;AX$12,"",IF(T=AY$11,EXP(-IRTree!AX43*h)*AX109,EXP(-IRTree!AX43*h)*((AY42+AY43)/2+AX109))))</f>
        <v/>
      </c>
      <c r="AY42" s="3" t="str">
        <f>IF(T&lt;=AY$11,"",IF($A42&gt;AY$12,"",IF(T=AZ$11,EXP(-IRTree!AY43*h)*AY109,EXP(-IRTree!AY43*h)*((AZ42+AZ43)/2+AY109))))</f>
        <v/>
      </c>
      <c r="AZ42" s="3" t="str">
        <f>IF(T&lt;=AZ$11,"",IF($A42&gt;AZ$12,"",IF(T=BA$11,EXP(-IRTree!AZ43*h)*AZ109,EXP(-IRTree!AZ43*h)*((BA42+BA43)/2+AZ109))))</f>
        <v/>
      </c>
      <c r="BA42" s="3" t="str">
        <f>IF(T&lt;=BA$11,"",IF($A42&gt;BA$12,"",IF(T=BB$11,EXP(-IRTree!BA43*h)*BA109,EXP(-IRTree!BA43*h)*((BB42+BB43)/2+BA109))))</f>
        <v/>
      </c>
      <c r="BB42" s="3" t="str">
        <f>IF(T&lt;=BB$11,"",IF($A42&gt;BB$12,"",IF(T=BC$11,EXP(-IRTree!BB43*h)*BB109,EXP(-IRTree!BB43*h)*((BC42+BC43)/2+BB109))))</f>
        <v/>
      </c>
      <c r="BC42" s="3" t="str">
        <f>IF(T&lt;=BC$11,"",IF($A42&gt;BC$12,"",IF(T=BD$11,EXP(-IRTree!BC43*h)*BC109,EXP(-IRTree!BC43*h)*((BD42+BD43)/2+BC109))))</f>
        <v/>
      </c>
      <c r="BD42" s="3" t="str">
        <f>IF(T&lt;=BD$11,"",IF($A42&gt;BD$12,"",IF(T=BE$11,EXP(-IRTree!BD43*h)*BD109,EXP(-IRTree!BD43*h)*((BE42+BE43)/2+BD109))))</f>
        <v/>
      </c>
      <c r="BE42" s="3" t="str">
        <f>IF(T&lt;=BE$11,"",IF($A42&gt;BE$12,"",IF(T=BF$11,EXP(-IRTree!BE43*h)*BE109,EXP(-IRTree!BE43*h)*((BF42+BF43)/2+BE109))))</f>
        <v/>
      </c>
      <c r="BF42" s="3" t="str">
        <f>IF(T&lt;=BF$11,"",IF($A42&gt;BF$12,"",IF(T=BG$11,EXP(-IRTree!BF43*h)*BF109,EXP(-IRTree!BF43*h)*((BG42+BG43)/2+BF109))))</f>
        <v/>
      </c>
      <c r="BG42" s="3" t="str">
        <f>IF(T&lt;=BG$11,"",IF($A42&gt;BG$12,"",IF(T=BH$11,EXP(-IRTree!BG43*h)*BG109,EXP(-IRTree!BG43*h)*((BH42+BH43)/2+BG109))))</f>
        <v/>
      </c>
      <c r="BH42" s="3" t="str">
        <f>IF(T&lt;=BH$11,"",IF($A42&gt;BH$12,"",IF(T=BI$11,EXP(-IRTree!BH43*h)*BH109,EXP(-IRTree!BH43*h)*((BI42+BI43)/2+BH109))))</f>
        <v/>
      </c>
      <c r="BI42" s="3" t="str">
        <f>IF(T&lt;=BI$11,"",IF($A42&gt;BI$12,"",IF(T=BJ$11,EXP(-IRTree!BI43*h)*BI109,EXP(-IRTree!BI43*h)*((BJ42+BJ43)/2+BI109))))</f>
        <v/>
      </c>
      <c r="BJ42" s="3" t="str">
        <f>IF(T&lt;=BJ$11,"",IF($A42&gt;BJ$12,"",IF(T=BK$11,EXP(-IRTree!BJ43*h)*BJ109,EXP(-IRTree!BJ43*h)*((BK42+BK43)/2+BJ109))))</f>
        <v/>
      </c>
    </row>
    <row r="43" spans="1:62">
      <c r="A43" s="12">
        <f t="shared" si="2"/>
        <v>30</v>
      </c>
      <c r="B43" s="3" t="str">
        <f>IF(T&lt;=B$11,"",IF($A43&gt;B$12,"",IF(T=C$11,EXP(-IRTree!B44*h)*B110,EXP(-IRTree!B44*h)*((C43+C44)/2+B110))))</f>
        <v/>
      </c>
      <c r="C43" s="3" t="str">
        <f>IF(T&lt;=C$11,"",IF($A43&gt;C$12,"",IF(T=D$11,EXP(-IRTree!C44*h)*C110,EXP(-IRTree!C44*h)*((D43+D44)/2+C110))))</f>
        <v/>
      </c>
      <c r="D43" s="3" t="str">
        <f>IF(T&lt;=D$11,"",IF($A43&gt;D$12,"",IF(T=E$11,EXP(-IRTree!D44*h)*D110,EXP(-IRTree!D44*h)*((E43+E44)/2+D110))))</f>
        <v/>
      </c>
      <c r="E43" s="3" t="str">
        <f>IF(T&lt;=E$11,"",IF($A43&gt;E$12,"",IF(T=F$11,EXP(-IRTree!E44*h)*E110,EXP(-IRTree!E44*h)*((F43+F44)/2+E110))))</f>
        <v/>
      </c>
      <c r="F43" s="3" t="str">
        <f>IF(T&lt;=F$11,"",IF($A43&gt;F$12,"",IF(T=G$11,EXP(-IRTree!F44*h)*F110,EXP(-IRTree!F44*h)*((G43+G44)/2+F110))))</f>
        <v/>
      </c>
      <c r="G43" s="3" t="str">
        <f>IF(T&lt;=G$11,"",IF($A43&gt;G$12,"",IF(T=H$11,EXP(-IRTree!G44*h)*G110,EXP(-IRTree!G44*h)*((H43+H44)/2+G110))))</f>
        <v/>
      </c>
      <c r="H43" s="3" t="str">
        <f>IF(T&lt;=H$11,"",IF($A43&gt;H$12,"",IF(T=I$11,EXP(-IRTree!H44*h)*H110,EXP(-IRTree!H44*h)*((I43+I44)/2+H110))))</f>
        <v/>
      </c>
      <c r="I43" s="3" t="str">
        <f>IF(T&lt;=I$11,"",IF($A43&gt;I$12,"",IF(T=J$11,EXP(-IRTree!I44*h)*I110,EXP(-IRTree!I44*h)*((J43+J44)/2+I110))))</f>
        <v/>
      </c>
      <c r="J43" s="3" t="str">
        <f>IF(T&lt;=J$11,"",IF($A43&gt;J$12,"",IF(T=K$11,EXP(-IRTree!J44*h)*J110,EXP(-IRTree!J44*h)*((K43+K44)/2+J110))))</f>
        <v/>
      </c>
      <c r="K43" s="3" t="str">
        <f>IF(T&lt;=K$11,"",IF($A43&gt;K$12,"",IF(T=L$11,EXP(-IRTree!K44*h)*K110,EXP(-IRTree!K44*h)*((L43+L44)/2+K110))))</f>
        <v/>
      </c>
      <c r="L43" s="3" t="str">
        <f>IF(T&lt;=L$11,"",IF($A43&gt;L$12,"",IF(T=M$11,EXP(-IRTree!L44*h)*L110,EXP(-IRTree!L44*h)*((M43+M44)/2+L110))))</f>
        <v/>
      </c>
      <c r="M43" s="3" t="str">
        <f>IF(T&lt;=M$11,"",IF($A43&gt;M$12,"",IF(T=N$11,EXP(-IRTree!M44*h)*M110,EXP(-IRTree!M44*h)*((N43+N44)/2+M110))))</f>
        <v/>
      </c>
      <c r="N43" s="3" t="str">
        <f>IF(T&lt;=N$11,"",IF($A43&gt;N$12,"",IF(T=O$11,EXP(-IRTree!N44*h)*N110,EXP(-IRTree!N44*h)*((O43+O44)/2+N110))))</f>
        <v/>
      </c>
      <c r="O43" s="3" t="str">
        <f>IF(T&lt;=O$11,"",IF($A43&gt;O$12,"",IF(T=P$11,EXP(-IRTree!O44*h)*O110,EXP(-IRTree!O44*h)*((P43+P44)/2+O110))))</f>
        <v/>
      </c>
      <c r="P43" s="3" t="str">
        <f>IF(T&lt;=P$11,"",IF($A43&gt;P$12,"",IF(T=Q$11,EXP(-IRTree!P44*h)*P110,EXP(-IRTree!P44*h)*((Q43+Q44)/2+P110))))</f>
        <v/>
      </c>
      <c r="Q43" s="3" t="str">
        <f>IF(T&lt;=Q$11,"",IF($A43&gt;Q$12,"",IF(T=R$11,EXP(-IRTree!Q44*h)*Q110,EXP(-IRTree!Q44*h)*((R43+R44)/2+Q110))))</f>
        <v/>
      </c>
      <c r="R43" s="3" t="str">
        <f>IF(T&lt;=R$11,"",IF($A43&gt;R$12,"",IF(T=S$11,EXP(-IRTree!R44*h)*R110,EXP(-IRTree!R44*h)*((S43+S44)/2+R110))))</f>
        <v/>
      </c>
      <c r="S43" s="3" t="str">
        <f>IF(T&lt;=S$11,"",IF($A43&gt;S$12,"",IF(T=T$11,EXP(-IRTree!S44*h)*S110,EXP(-IRTree!S44*h)*((T43+T44)/2+S110))))</f>
        <v/>
      </c>
      <c r="T43" s="3" t="str">
        <f>IF(T&lt;=T$11,"",IF($A43&gt;T$12,"",IF(T=U$11,EXP(-IRTree!T44*h)*T110,EXP(-IRTree!T44*h)*((U43+U44)/2+T110))))</f>
        <v/>
      </c>
      <c r="U43" s="3" t="str">
        <f>IF(T&lt;=U$11,"",IF($A43&gt;U$12,"",IF(T=V$11,EXP(-IRTree!U44*h)*U110,EXP(-IRTree!U44*h)*((V43+V44)/2+U110))))</f>
        <v/>
      </c>
      <c r="V43" s="3" t="str">
        <f>IF(T&lt;=V$11,"",IF($A43&gt;V$12,"",IF(T=W$11,EXP(-IRTree!V44*h)*V110,EXP(-IRTree!V44*h)*((W43+W44)/2+V110))))</f>
        <v/>
      </c>
      <c r="W43" s="3" t="str">
        <f>IF(T&lt;=W$11,"",IF($A43&gt;W$12,"",IF(T=X$11,EXP(-IRTree!W44*h)*W110,EXP(-IRTree!W44*h)*((X43+X44)/2+W110))))</f>
        <v/>
      </c>
      <c r="X43" s="3" t="str">
        <f>IF(T&lt;=X$11,"",IF($A43&gt;X$12,"",IF(T=Y$11,EXP(-IRTree!X44*h)*X110,EXP(-IRTree!X44*h)*((Y43+Y44)/2+X110))))</f>
        <v/>
      </c>
      <c r="Y43" s="3" t="str">
        <f>IF(T&lt;=Y$11,"",IF($A43&gt;Y$12,"",IF(T=Z$11,EXP(-IRTree!Y44*h)*Y110,EXP(-IRTree!Y44*h)*((Z43+Z44)/2+Y110))))</f>
        <v/>
      </c>
      <c r="Z43" s="3" t="str">
        <f>IF(T&lt;=Z$11,"",IF($A43&gt;Z$12,"",IF(T=AA$11,EXP(-IRTree!Z44*h)*Z110,EXP(-IRTree!Z44*h)*((AA43+AA44)/2+Z110))))</f>
        <v/>
      </c>
      <c r="AA43" s="3" t="str">
        <f>IF(T&lt;=AA$11,"",IF($A43&gt;AA$12,"",IF(T=AB$11,EXP(-IRTree!AA44*h)*AA110,EXP(-IRTree!AA44*h)*((AB43+AB44)/2+AA110))))</f>
        <v/>
      </c>
      <c r="AB43" s="3" t="str">
        <f>IF(T&lt;=AB$11,"",IF($A43&gt;AB$12,"",IF(T=AC$11,EXP(-IRTree!AB44*h)*AB110,EXP(-IRTree!AB44*h)*((AC43+AC44)/2+AB110))))</f>
        <v/>
      </c>
      <c r="AC43" s="3" t="str">
        <f>IF(T&lt;=AC$11,"",IF($A43&gt;AC$12,"",IF(T=AD$11,EXP(-IRTree!AC44*h)*AC110,EXP(-IRTree!AC44*h)*((AD43+AD44)/2+AC110))))</f>
        <v/>
      </c>
      <c r="AD43" s="3" t="str">
        <f>IF(T&lt;=AD$11,"",IF($A43&gt;AD$12,"",IF(T=AE$11,EXP(-IRTree!AD44*h)*AD110,EXP(-IRTree!AD44*h)*((AE43+AE44)/2+AD110))))</f>
        <v/>
      </c>
      <c r="AE43" s="3" t="str">
        <f>IF(T&lt;=AE$11,"",IF($A43&gt;AE$12,"",IF(T=AF$11,EXP(-IRTree!AE44*h)*AE110,EXP(-IRTree!AE44*h)*((AF43+AF44)/2+AE110))))</f>
        <v/>
      </c>
      <c r="AF43" s="3">
        <f>IF(T&lt;=AF$11,"",IF($A43&gt;AF$12,"",IF(T=AG$11,EXP(-IRTree!AF44*h)*AF110,EXP(-IRTree!AF44*h)*((AG43+AG44)/2+AF110))))</f>
        <v>0</v>
      </c>
      <c r="AG43" s="3">
        <f>IF(T&lt;=AG$11,"",IF($A43&gt;AG$12,"",IF(T=AH$11,EXP(-IRTree!AG44*h)*AG110,EXP(-IRTree!AG44*h)*((AH43+AH44)/2+AG110))))</f>
        <v>0</v>
      </c>
      <c r="AH43" s="3">
        <f>IF(T&lt;=AH$11,"",IF($A43&gt;AH$12,"",IF(T=AI$11,EXP(-IRTree!AH44*h)*AH110,EXP(-IRTree!AH44*h)*((AI43+AI44)/2+AH110))))</f>
        <v>0</v>
      </c>
      <c r="AI43" s="3">
        <f>IF(T&lt;=AI$11,"",IF($A43&gt;AI$12,"",IF(T=AJ$11,EXP(-IRTree!AI44*h)*AI110,EXP(-IRTree!AI44*h)*((AJ43+AJ44)/2+AI110))))</f>
        <v>0</v>
      </c>
      <c r="AJ43" s="3">
        <f>IF(T&lt;=AJ$11,"",IF($A43&gt;AJ$12,"",IF(T=AK$11,EXP(-IRTree!AJ44*h)*AJ110,EXP(-IRTree!AJ44*h)*((AK43+AK44)/2+AJ110))))</f>
        <v>0</v>
      </c>
      <c r="AK43" s="3">
        <f>IF(T&lt;=AK$11,"",IF($A43&gt;AK$12,"",IF(T=AL$11,EXP(-IRTree!AK44*h)*AK110,EXP(-IRTree!AK44*h)*((AL43+AL44)/2+AK110))))</f>
        <v>0</v>
      </c>
      <c r="AL43" s="3">
        <f>IF(T&lt;=AL$11,"",IF($A43&gt;AL$12,"",IF(T=AM$11,EXP(-IRTree!AL44*h)*AL110,EXP(-IRTree!AL44*h)*((AM43+AM44)/2+AL110))))</f>
        <v>0</v>
      </c>
      <c r="AM43" s="3">
        <f>IF(T&lt;=AM$11,"",IF($A43&gt;AM$12,"",IF(T=AN$11,EXP(-IRTree!AM44*h)*AM110,EXP(-IRTree!AM44*h)*((AN43+AN44)/2+AM110))))</f>
        <v>0</v>
      </c>
      <c r="AN43" s="3">
        <f>IF(T&lt;=AN$11,"",IF($A43&gt;AN$12,"",IF(T=AO$11,EXP(-IRTree!AN44*h)*AN110,EXP(-IRTree!AN44*h)*((AO43+AO44)/2+AN110))))</f>
        <v>0</v>
      </c>
      <c r="AO43" s="3">
        <f>IF(T&lt;=AO$11,"",IF($A43&gt;AO$12,"",IF(T=AP$11,EXP(-IRTree!AO44*h)*AO110,EXP(-IRTree!AO44*h)*((AP43+AP44)/2+AO110))))</f>
        <v>0</v>
      </c>
      <c r="AP43" s="3" t="str">
        <f>IF(T&lt;=AP$11,"",IF($A43&gt;AP$12,"",IF(T=AQ$11,EXP(-IRTree!AP44*h)*AP110,EXP(-IRTree!AP44*h)*((AQ43+AQ44)/2+AP110))))</f>
        <v/>
      </c>
      <c r="AQ43" s="3" t="str">
        <f>IF(T&lt;=AQ$11,"",IF($A43&gt;AQ$12,"",IF(T=AR$11,EXP(-IRTree!AQ44*h)*AQ110,EXP(-IRTree!AQ44*h)*((AR43+AR44)/2+AQ110))))</f>
        <v/>
      </c>
      <c r="AR43" s="3" t="str">
        <f>IF(T&lt;=AR$11,"",IF($A43&gt;AR$12,"",IF(T=AS$11,EXP(-IRTree!AR44*h)*AR110,EXP(-IRTree!AR44*h)*((AS43+AS44)/2+AR110))))</f>
        <v/>
      </c>
      <c r="AS43" s="3" t="str">
        <f>IF(T&lt;=AS$11,"",IF($A43&gt;AS$12,"",IF(T=AT$11,EXP(-IRTree!AS44*h)*AS110,EXP(-IRTree!AS44*h)*((AT43+AT44)/2+AS110))))</f>
        <v/>
      </c>
      <c r="AT43" s="3" t="str">
        <f>IF(T&lt;=AT$11,"",IF($A43&gt;AT$12,"",IF(T=AU$11,EXP(-IRTree!AT44*h)*AT110,EXP(-IRTree!AT44*h)*((AU43+AU44)/2+AT110))))</f>
        <v/>
      </c>
      <c r="AU43" s="3" t="str">
        <f>IF(T&lt;=AU$11,"",IF($A43&gt;AU$12,"",IF(T=AV$11,EXP(-IRTree!AU44*h)*AU110,EXP(-IRTree!AU44*h)*((AV43+AV44)/2+AU110))))</f>
        <v/>
      </c>
      <c r="AV43" s="3" t="str">
        <f>IF(T&lt;=AV$11,"",IF($A43&gt;AV$12,"",IF(T=AW$11,EXP(-IRTree!AV44*h)*AV110,EXP(-IRTree!AV44*h)*((AW43+AW44)/2+AV110))))</f>
        <v/>
      </c>
      <c r="AW43" s="3" t="str">
        <f>IF(T&lt;=AW$11,"",IF($A43&gt;AW$12,"",IF(T=AX$11,EXP(-IRTree!AW44*h)*AW110,EXP(-IRTree!AW44*h)*((AX43+AX44)/2+AW110))))</f>
        <v/>
      </c>
      <c r="AX43" s="3" t="str">
        <f>IF(T&lt;=AX$11,"",IF($A43&gt;AX$12,"",IF(T=AY$11,EXP(-IRTree!AX44*h)*AX110,EXP(-IRTree!AX44*h)*((AY43+AY44)/2+AX110))))</f>
        <v/>
      </c>
      <c r="AY43" s="3" t="str">
        <f>IF(T&lt;=AY$11,"",IF($A43&gt;AY$12,"",IF(T=AZ$11,EXP(-IRTree!AY44*h)*AY110,EXP(-IRTree!AY44*h)*((AZ43+AZ44)/2+AY110))))</f>
        <v/>
      </c>
      <c r="AZ43" s="3" t="str">
        <f>IF(T&lt;=AZ$11,"",IF($A43&gt;AZ$12,"",IF(T=BA$11,EXP(-IRTree!AZ44*h)*AZ110,EXP(-IRTree!AZ44*h)*((BA43+BA44)/2+AZ110))))</f>
        <v/>
      </c>
      <c r="BA43" s="3" t="str">
        <f>IF(T&lt;=BA$11,"",IF($A43&gt;BA$12,"",IF(T=BB$11,EXP(-IRTree!BA44*h)*BA110,EXP(-IRTree!BA44*h)*((BB43+BB44)/2+BA110))))</f>
        <v/>
      </c>
      <c r="BB43" s="3" t="str">
        <f>IF(T&lt;=BB$11,"",IF($A43&gt;BB$12,"",IF(T=BC$11,EXP(-IRTree!BB44*h)*BB110,EXP(-IRTree!BB44*h)*((BC43+BC44)/2+BB110))))</f>
        <v/>
      </c>
      <c r="BC43" s="3" t="str">
        <f>IF(T&lt;=BC$11,"",IF($A43&gt;BC$12,"",IF(T=BD$11,EXP(-IRTree!BC44*h)*BC110,EXP(-IRTree!BC44*h)*((BD43+BD44)/2+BC110))))</f>
        <v/>
      </c>
      <c r="BD43" s="3" t="str">
        <f>IF(T&lt;=BD$11,"",IF($A43&gt;BD$12,"",IF(T=BE$11,EXP(-IRTree!BD44*h)*BD110,EXP(-IRTree!BD44*h)*((BE43+BE44)/2+BD110))))</f>
        <v/>
      </c>
      <c r="BE43" s="3" t="str">
        <f>IF(T&lt;=BE$11,"",IF($A43&gt;BE$12,"",IF(T=BF$11,EXP(-IRTree!BE44*h)*BE110,EXP(-IRTree!BE44*h)*((BF43+BF44)/2+BE110))))</f>
        <v/>
      </c>
      <c r="BF43" s="3" t="str">
        <f>IF(T&lt;=BF$11,"",IF($A43&gt;BF$12,"",IF(T=BG$11,EXP(-IRTree!BF44*h)*BF110,EXP(-IRTree!BF44*h)*((BG43+BG44)/2+BF110))))</f>
        <v/>
      </c>
      <c r="BG43" s="3" t="str">
        <f>IF(T&lt;=BG$11,"",IF($A43&gt;BG$12,"",IF(T=BH$11,EXP(-IRTree!BG44*h)*BG110,EXP(-IRTree!BG44*h)*((BH43+BH44)/2+BG110))))</f>
        <v/>
      </c>
      <c r="BH43" s="3" t="str">
        <f>IF(T&lt;=BH$11,"",IF($A43&gt;BH$12,"",IF(T=BI$11,EXP(-IRTree!BH44*h)*BH110,EXP(-IRTree!BH44*h)*((BI43+BI44)/2+BH110))))</f>
        <v/>
      </c>
      <c r="BI43" s="3" t="str">
        <f>IF(T&lt;=BI$11,"",IF($A43&gt;BI$12,"",IF(T=BJ$11,EXP(-IRTree!BI44*h)*BI110,EXP(-IRTree!BI44*h)*((BJ43+BJ44)/2+BI110))))</f>
        <v/>
      </c>
      <c r="BJ43" s="3" t="str">
        <f>IF(T&lt;=BJ$11,"",IF($A43&gt;BJ$12,"",IF(T=BK$11,EXP(-IRTree!BJ44*h)*BJ110,EXP(-IRTree!BJ44*h)*((BK43+BK44)/2+BJ110))))</f>
        <v/>
      </c>
    </row>
    <row r="44" spans="1:62">
      <c r="A44" s="12">
        <f t="shared" si="2"/>
        <v>31</v>
      </c>
      <c r="B44" s="3" t="str">
        <f>IF(T&lt;=B$11,"",IF($A44&gt;B$12,"",IF(T=C$11,EXP(-IRTree!B45*h)*B111,EXP(-IRTree!B45*h)*((C44+C45)/2+B111))))</f>
        <v/>
      </c>
      <c r="C44" s="3" t="str">
        <f>IF(T&lt;=C$11,"",IF($A44&gt;C$12,"",IF(T=D$11,EXP(-IRTree!C45*h)*C111,EXP(-IRTree!C45*h)*((D44+D45)/2+C111))))</f>
        <v/>
      </c>
      <c r="D44" s="3" t="str">
        <f>IF(T&lt;=D$11,"",IF($A44&gt;D$12,"",IF(T=E$11,EXP(-IRTree!D45*h)*D111,EXP(-IRTree!D45*h)*((E44+E45)/2+D111))))</f>
        <v/>
      </c>
      <c r="E44" s="3" t="str">
        <f>IF(T&lt;=E$11,"",IF($A44&gt;E$12,"",IF(T=F$11,EXP(-IRTree!E45*h)*E111,EXP(-IRTree!E45*h)*((F44+F45)/2+E111))))</f>
        <v/>
      </c>
      <c r="F44" s="3" t="str">
        <f>IF(T&lt;=F$11,"",IF($A44&gt;F$12,"",IF(T=G$11,EXP(-IRTree!F45*h)*F111,EXP(-IRTree!F45*h)*((G44+G45)/2+F111))))</f>
        <v/>
      </c>
      <c r="G44" s="3" t="str">
        <f>IF(T&lt;=G$11,"",IF($A44&gt;G$12,"",IF(T=H$11,EXP(-IRTree!G45*h)*G111,EXP(-IRTree!G45*h)*((H44+H45)/2+G111))))</f>
        <v/>
      </c>
      <c r="H44" s="3" t="str">
        <f>IF(T&lt;=H$11,"",IF($A44&gt;H$12,"",IF(T=I$11,EXP(-IRTree!H45*h)*H111,EXP(-IRTree!H45*h)*((I44+I45)/2+H111))))</f>
        <v/>
      </c>
      <c r="I44" s="3" t="str">
        <f>IF(T&lt;=I$11,"",IF($A44&gt;I$12,"",IF(T=J$11,EXP(-IRTree!I45*h)*I111,EXP(-IRTree!I45*h)*((J44+J45)/2+I111))))</f>
        <v/>
      </c>
      <c r="J44" s="3" t="str">
        <f>IF(T&lt;=J$11,"",IF($A44&gt;J$12,"",IF(T=K$11,EXP(-IRTree!J45*h)*J111,EXP(-IRTree!J45*h)*((K44+K45)/2+J111))))</f>
        <v/>
      </c>
      <c r="K44" s="3" t="str">
        <f>IF(T&lt;=K$11,"",IF($A44&gt;K$12,"",IF(T=L$11,EXP(-IRTree!K45*h)*K111,EXP(-IRTree!K45*h)*((L44+L45)/2+K111))))</f>
        <v/>
      </c>
      <c r="L44" s="3" t="str">
        <f>IF(T&lt;=L$11,"",IF($A44&gt;L$12,"",IF(T=M$11,EXP(-IRTree!L45*h)*L111,EXP(-IRTree!L45*h)*((M44+M45)/2+L111))))</f>
        <v/>
      </c>
      <c r="M44" s="3" t="str">
        <f>IF(T&lt;=M$11,"",IF($A44&gt;M$12,"",IF(T=N$11,EXP(-IRTree!M45*h)*M111,EXP(-IRTree!M45*h)*((N44+N45)/2+M111))))</f>
        <v/>
      </c>
      <c r="N44" s="3" t="str">
        <f>IF(T&lt;=N$11,"",IF($A44&gt;N$12,"",IF(T=O$11,EXP(-IRTree!N45*h)*N111,EXP(-IRTree!N45*h)*((O44+O45)/2+N111))))</f>
        <v/>
      </c>
      <c r="O44" s="3" t="str">
        <f>IF(T&lt;=O$11,"",IF($A44&gt;O$12,"",IF(T=P$11,EXP(-IRTree!O45*h)*O111,EXP(-IRTree!O45*h)*((P44+P45)/2+O111))))</f>
        <v/>
      </c>
      <c r="P44" s="3" t="str">
        <f>IF(T&lt;=P$11,"",IF($A44&gt;P$12,"",IF(T=Q$11,EXP(-IRTree!P45*h)*P111,EXP(-IRTree!P45*h)*((Q44+Q45)/2+P111))))</f>
        <v/>
      </c>
      <c r="Q44" s="3" t="str">
        <f>IF(T&lt;=Q$11,"",IF($A44&gt;Q$12,"",IF(T=R$11,EXP(-IRTree!Q45*h)*Q111,EXP(-IRTree!Q45*h)*((R44+R45)/2+Q111))))</f>
        <v/>
      </c>
      <c r="R44" s="3" t="str">
        <f>IF(T&lt;=R$11,"",IF($A44&gt;R$12,"",IF(T=S$11,EXP(-IRTree!R45*h)*R111,EXP(-IRTree!R45*h)*((S44+S45)/2+R111))))</f>
        <v/>
      </c>
      <c r="S44" s="3" t="str">
        <f>IF(T&lt;=S$11,"",IF($A44&gt;S$12,"",IF(T=T$11,EXP(-IRTree!S45*h)*S111,EXP(-IRTree!S45*h)*((T44+T45)/2+S111))))</f>
        <v/>
      </c>
      <c r="T44" s="3" t="str">
        <f>IF(T&lt;=T$11,"",IF($A44&gt;T$12,"",IF(T=U$11,EXP(-IRTree!T45*h)*T111,EXP(-IRTree!T45*h)*((U44+U45)/2+T111))))</f>
        <v/>
      </c>
      <c r="U44" s="3" t="str">
        <f>IF(T&lt;=U$11,"",IF($A44&gt;U$12,"",IF(T=V$11,EXP(-IRTree!U45*h)*U111,EXP(-IRTree!U45*h)*((V44+V45)/2+U111))))</f>
        <v/>
      </c>
      <c r="V44" s="3" t="str">
        <f>IF(T&lt;=V$11,"",IF($A44&gt;V$12,"",IF(T=W$11,EXP(-IRTree!V45*h)*V111,EXP(-IRTree!V45*h)*((W44+W45)/2+V111))))</f>
        <v/>
      </c>
      <c r="W44" s="3" t="str">
        <f>IF(T&lt;=W$11,"",IF($A44&gt;W$12,"",IF(T=X$11,EXP(-IRTree!W45*h)*W111,EXP(-IRTree!W45*h)*((X44+X45)/2+W111))))</f>
        <v/>
      </c>
      <c r="X44" s="3" t="str">
        <f>IF(T&lt;=X$11,"",IF($A44&gt;X$12,"",IF(T=Y$11,EXP(-IRTree!X45*h)*X111,EXP(-IRTree!X45*h)*((Y44+Y45)/2+X111))))</f>
        <v/>
      </c>
      <c r="Y44" s="3" t="str">
        <f>IF(T&lt;=Y$11,"",IF($A44&gt;Y$12,"",IF(T=Z$11,EXP(-IRTree!Y45*h)*Y111,EXP(-IRTree!Y45*h)*((Z44+Z45)/2+Y111))))</f>
        <v/>
      </c>
      <c r="Z44" s="3" t="str">
        <f>IF(T&lt;=Z$11,"",IF($A44&gt;Z$12,"",IF(T=AA$11,EXP(-IRTree!Z45*h)*Z111,EXP(-IRTree!Z45*h)*((AA44+AA45)/2+Z111))))</f>
        <v/>
      </c>
      <c r="AA44" s="3" t="str">
        <f>IF(T&lt;=AA$11,"",IF($A44&gt;AA$12,"",IF(T=AB$11,EXP(-IRTree!AA45*h)*AA111,EXP(-IRTree!AA45*h)*((AB44+AB45)/2+AA111))))</f>
        <v/>
      </c>
      <c r="AB44" s="3" t="str">
        <f>IF(T&lt;=AB$11,"",IF($A44&gt;AB$12,"",IF(T=AC$11,EXP(-IRTree!AB45*h)*AB111,EXP(-IRTree!AB45*h)*((AC44+AC45)/2+AB111))))</f>
        <v/>
      </c>
      <c r="AC44" s="3" t="str">
        <f>IF(T&lt;=AC$11,"",IF($A44&gt;AC$12,"",IF(T=AD$11,EXP(-IRTree!AC45*h)*AC111,EXP(-IRTree!AC45*h)*((AD44+AD45)/2+AC111))))</f>
        <v/>
      </c>
      <c r="AD44" s="3" t="str">
        <f>IF(T&lt;=AD$11,"",IF($A44&gt;AD$12,"",IF(T=AE$11,EXP(-IRTree!AD45*h)*AD111,EXP(-IRTree!AD45*h)*((AE44+AE45)/2+AD111))))</f>
        <v/>
      </c>
      <c r="AE44" s="3" t="str">
        <f>IF(T&lt;=AE$11,"",IF($A44&gt;AE$12,"",IF(T=AF$11,EXP(-IRTree!AE45*h)*AE111,EXP(-IRTree!AE45*h)*((AF44+AF45)/2+AE111))))</f>
        <v/>
      </c>
      <c r="AF44" s="3" t="str">
        <f>IF(T&lt;=AF$11,"",IF($A44&gt;AF$12,"",IF(T=AG$11,EXP(-IRTree!AF45*h)*AF111,EXP(-IRTree!AF45*h)*((AG44+AG45)/2+AF111))))</f>
        <v/>
      </c>
      <c r="AG44" s="3">
        <f>IF(T&lt;=AG$11,"",IF($A44&gt;AG$12,"",IF(T=AH$11,EXP(-IRTree!AG45*h)*AG111,EXP(-IRTree!AG45*h)*((AH44+AH45)/2+AG111))))</f>
        <v>0</v>
      </c>
      <c r="AH44" s="3">
        <f>IF(T&lt;=AH$11,"",IF($A44&gt;AH$12,"",IF(T=AI$11,EXP(-IRTree!AH45*h)*AH111,EXP(-IRTree!AH45*h)*((AI44+AI45)/2+AH111))))</f>
        <v>0</v>
      </c>
      <c r="AI44" s="3">
        <f>IF(T&lt;=AI$11,"",IF($A44&gt;AI$12,"",IF(T=AJ$11,EXP(-IRTree!AI45*h)*AI111,EXP(-IRTree!AI45*h)*((AJ44+AJ45)/2+AI111))))</f>
        <v>0</v>
      </c>
      <c r="AJ44" s="3">
        <f>IF(T&lt;=AJ$11,"",IF($A44&gt;AJ$12,"",IF(T=AK$11,EXP(-IRTree!AJ45*h)*AJ111,EXP(-IRTree!AJ45*h)*((AK44+AK45)/2+AJ111))))</f>
        <v>0</v>
      </c>
      <c r="AK44" s="3">
        <f>IF(T&lt;=AK$11,"",IF($A44&gt;AK$12,"",IF(T=AL$11,EXP(-IRTree!AK45*h)*AK111,EXP(-IRTree!AK45*h)*((AL44+AL45)/2+AK111))))</f>
        <v>0</v>
      </c>
      <c r="AL44" s="3">
        <f>IF(T&lt;=AL$11,"",IF($A44&gt;AL$12,"",IF(T=AM$11,EXP(-IRTree!AL45*h)*AL111,EXP(-IRTree!AL45*h)*((AM44+AM45)/2+AL111))))</f>
        <v>0</v>
      </c>
      <c r="AM44" s="3">
        <f>IF(T&lt;=AM$11,"",IF($A44&gt;AM$12,"",IF(T=AN$11,EXP(-IRTree!AM45*h)*AM111,EXP(-IRTree!AM45*h)*((AN44+AN45)/2+AM111))))</f>
        <v>0</v>
      </c>
      <c r="AN44" s="3">
        <f>IF(T&lt;=AN$11,"",IF($A44&gt;AN$12,"",IF(T=AO$11,EXP(-IRTree!AN45*h)*AN111,EXP(-IRTree!AN45*h)*((AO44+AO45)/2+AN111))))</f>
        <v>0</v>
      </c>
      <c r="AO44" s="3">
        <f>IF(T&lt;=AO$11,"",IF($A44&gt;AO$12,"",IF(T=AP$11,EXP(-IRTree!AO45*h)*AO111,EXP(-IRTree!AO45*h)*((AP44+AP45)/2+AO111))))</f>
        <v>0</v>
      </c>
      <c r="AP44" s="3" t="str">
        <f>IF(T&lt;=AP$11,"",IF($A44&gt;AP$12,"",IF(T=AQ$11,EXP(-IRTree!AP45*h)*AP111,EXP(-IRTree!AP45*h)*((AQ44+AQ45)/2+AP111))))</f>
        <v/>
      </c>
      <c r="AQ44" s="3" t="str">
        <f>IF(T&lt;=AQ$11,"",IF($A44&gt;AQ$12,"",IF(T=AR$11,EXP(-IRTree!AQ45*h)*AQ111,EXP(-IRTree!AQ45*h)*((AR44+AR45)/2+AQ111))))</f>
        <v/>
      </c>
      <c r="AR44" s="3" t="str">
        <f>IF(T&lt;=AR$11,"",IF($A44&gt;AR$12,"",IF(T=AS$11,EXP(-IRTree!AR45*h)*AR111,EXP(-IRTree!AR45*h)*((AS44+AS45)/2+AR111))))</f>
        <v/>
      </c>
      <c r="AS44" s="3" t="str">
        <f>IF(T&lt;=AS$11,"",IF($A44&gt;AS$12,"",IF(T=AT$11,EXP(-IRTree!AS45*h)*AS111,EXP(-IRTree!AS45*h)*((AT44+AT45)/2+AS111))))</f>
        <v/>
      </c>
      <c r="AT44" s="3" t="str">
        <f>IF(T&lt;=AT$11,"",IF($A44&gt;AT$12,"",IF(T=AU$11,EXP(-IRTree!AT45*h)*AT111,EXP(-IRTree!AT45*h)*((AU44+AU45)/2+AT111))))</f>
        <v/>
      </c>
      <c r="AU44" s="3" t="str">
        <f>IF(T&lt;=AU$11,"",IF($A44&gt;AU$12,"",IF(T=AV$11,EXP(-IRTree!AU45*h)*AU111,EXP(-IRTree!AU45*h)*((AV44+AV45)/2+AU111))))</f>
        <v/>
      </c>
      <c r="AV44" s="3" t="str">
        <f>IF(T&lt;=AV$11,"",IF($A44&gt;AV$12,"",IF(T=AW$11,EXP(-IRTree!AV45*h)*AV111,EXP(-IRTree!AV45*h)*((AW44+AW45)/2+AV111))))</f>
        <v/>
      </c>
      <c r="AW44" s="3" t="str">
        <f>IF(T&lt;=AW$11,"",IF($A44&gt;AW$12,"",IF(T=AX$11,EXP(-IRTree!AW45*h)*AW111,EXP(-IRTree!AW45*h)*((AX44+AX45)/2+AW111))))</f>
        <v/>
      </c>
      <c r="AX44" s="3" t="str">
        <f>IF(T&lt;=AX$11,"",IF($A44&gt;AX$12,"",IF(T=AY$11,EXP(-IRTree!AX45*h)*AX111,EXP(-IRTree!AX45*h)*((AY44+AY45)/2+AX111))))</f>
        <v/>
      </c>
      <c r="AY44" s="3" t="str">
        <f>IF(T&lt;=AY$11,"",IF($A44&gt;AY$12,"",IF(T=AZ$11,EXP(-IRTree!AY45*h)*AY111,EXP(-IRTree!AY45*h)*((AZ44+AZ45)/2+AY111))))</f>
        <v/>
      </c>
      <c r="AZ44" s="3" t="str">
        <f>IF(T&lt;=AZ$11,"",IF($A44&gt;AZ$12,"",IF(T=BA$11,EXP(-IRTree!AZ45*h)*AZ111,EXP(-IRTree!AZ45*h)*((BA44+BA45)/2+AZ111))))</f>
        <v/>
      </c>
      <c r="BA44" s="3" t="str">
        <f>IF(T&lt;=BA$11,"",IF($A44&gt;BA$12,"",IF(T=BB$11,EXP(-IRTree!BA45*h)*BA111,EXP(-IRTree!BA45*h)*((BB44+BB45)/2+BA111))))</f>
        <v/>
      </c>
      <c r="BB44" s="3" t="str">
        <f>IF(T&lt;=BB$11,"",IF($A44&gt;BB$12,"",IF(T=BC$11,EXP(-IRTree!BB45*h)*BB111,EXP(-IRTree!BB45*h)*((BC44+BC45)/2+BB111))))</f>
        <v/>
      </c>
      <c r="BC44" s="3" t="str">
        <f>IF(T&lt;=BC$11,"",IF($A44&gt;BC$12,"",IF(T=BD$11,EXP(-IRTree!BC45*h)*BC111,EXP(-IRTree!BC45*h)*((BD44+BD45)/2+BC111))))</f>
        <v/>
      </c>
      <c r="BD44" s="3" t="str">
        <f>IF(T&lt;=BD$11,"",IF($A44&gt;BD$12,"",IF(T=BE$11,EXP(-IRTree!BD45*h)*BD111,EXP(-IRTree!BD45*h)*((BE44+BE45)/2+BD111))))</f>
        <v/>
      </c>
      <c r="BE44" s="3" t="str">
        <f>IF(T&lt;=BE$11,"",IF($A44&gt;BE$12,"",IF(T=BF$11,EXP(-IRTree!BE45*h)*BE111,EXP(-IRTree!BE45*h)*((BF44+BF45)/2+BE111))))</f>
        <v/>
      </c>
      <c r="BF44" s="3" t="str">
        <f>IF(T&lt;=BF$11,"",IF($A44&gt;BF$12,"",IF(T=BG$11,EXP(-IRTree!BF45*h)*BF111,EXP(-IRTree!BF45*h)*((BG44+BG45)/2+BF111))))</f>
        <v/>
      </c>
      <c r="BG44" s="3" t="str">
        <f>IF(T&lt;=BG$11,"",IF($A44&gt;BG$12,"",IF(T=BH$11,EXP(-IRTree!BG45*h)*BG111,EXP(-IRTree!BG45*h)*((BH44+BH45)/2+BG111))))</f>
        <v/>
      </c>
      <c r="BH44" s="3" t="str">
        <f>IF(T&lt;=BH$11,"",IF($A44&gt;BH$12,"",IF(T=BI$11,EXP(-IRTree!BH45*h)*BH111,EXP(-IRTree!BH45*h)*((BI44+BI45)/2+BH111))))</f>
        <v/>
      </c>
      <c r="BI44" s="3" t="str">
        <f>IF(T&lt;=BI$11,"",IF($A44&gt;BI$12,"",IF(T=BJ$11,EXP(-IRTree!BI45*h)*BI111,EXP(-IRTree!BI45*h)*((BJ44+BJ45)/2+BI111))))</f>
        <v/>
      </c>
      <c r="BJ44" s="3" t="str">
        <f>IF(T&lt;=BJ$11,"",IF($A44&gt;BJ$12,"",IF(T=BK$11,EXP(-IRTree!BJ45*h)*BJ111,EXP(-IRTree!BJ45*h)*((BK44+BK45)/2+BJ111))))</f>
        <v/>
      </c>
    </row>
    <row r="45" spans="1:62">
      <c r="A45" s="12">
        <f t="shared" si="2"/>
        <v>32</v>
      </c>
      <c r="B45" s="3" t="str">
        <f>IF(T&lt;=B$11,"",IF($A45&gt;B$12,"",IF(T=C$11,EXP(-IRTree!B46*h)*B112,EXP(-IRTree!B46*h)*((C45+C46)/2+B112))))</f>
        <v/>
      </c>
      <c r="C45" s="3" t="str">
        <f>IF(T&lt;=C$11,"",IF($A45&gt;C$12,"",IF(T=D$11,EXP(-IRTree!C46*h)*C112,EXP(-IRTree!C46*h)*((D45+D46)/2+C112))))</f>
        <v/>
      </c>
      <c r="D45" s="3" t="str">
        <f>IF(T&lt;=D$11,"",IF($A45&gt;D$12,"",IF(T=E$11,EXP(-IRTree!D46*h)*D112,EXP(-IRTree!D46*h)*((E45+E46)/2+D112))))</f>
        <v/>
      </c>
      <c r="E45" s="3" t="str">
        <f>IF(T&lt;=E$11,"",IF($A45&gt;E$12,"",IF(T=F$11,EXP(-IRTree!E46*h)*E112,EXP(-IRTree!E46*h)*((F45+F46)/2+E112))))</f>
        <v/>
      </c>
      <c r="F45" s="3" t="str">
        <f>IF(T&lt;=F$11,"",IF($A45&gt;F$12,"",IF(T=G$11,EXP(-IRTree!F46*h)*F112,EXP(-IRTree!F46*h)*((G45+G46)/2+F112))))</f>
        <v/>
      </c>
      <c r="G45" s="3" t="str">
        <f>IF(T&lt;=G$11,"",IF($A45&gt;G$12,"",IF(T=H$11,EXP(-IRTree!G46*h)*G112,EXP(-IRTree!G46*h)*((H45+H46)/2+G112))))</f>
        <v/>
      </c>
      <c r="H45" s="3" t="str">
        <f>IF(T&lt;=H$11,"",IF($A45&gt;H$12,"",IF(T=I$11,EXP(-IRTree!H46*h)*H112,EXP(-IRTree!H46*h)*((I45+I46)/2+H112))))</f>
        <v/>
      </c>
      <c r="I45" s="3" t="str">
        <f>IF(T&lt;=I$11,"",IF($A45&gt;I$12,"",IF(T=J$11,EXP(-IRTree!I46*h)*I112,EXP(-IRTree!I46*h)*((J45+J46)/2+I112))))</f>
        <v/>
      </c>
      <c r="J45" s="3" t="str">
        <f>IF(T&lt;=J$11,"",IF($A45&gt;J$12,"",IF(T=K$11,EXP(-IRTree!J46*h)*J112,EXP(-IRTree!J46*h)*((K45+K46)/2+J112))))</f>
        <v/>
      </c>
      <c r="K45" s="3" t="str">
        <f>IF(T&lt;=K$11,"",IF($A45&gt;K$12,"",IF(T=L$11,EXP(-IRTree!K46*h)*K112,EXP(-IRTree!K46*h)*((L45+L46)/2+K112))))</f>
        <v/>
      </c>
      <c r="L45" s="3" t="str">
        <f>IF(T&lt;=L$11,"",IF($A45&gt;L$12,"",IF(T=M$11,EXP(-IRTree!L46*h)*L112,EXP(-IRTree!L46*h)*((M45+M46)/2+L112))))</f>
        <v/>
      </c>
      <c r="M45" s="3" t="str">
        <f>IF(T&lt;=M$11,"",IF($A45&gt;M$12,"",IF(T=N$11,EXP(-IRTree!M46*h)*M112,EXP(-IRTree!M46*h)*((N45+N46)/2+M112))))</f>
        <v/>
      </c>
      <c r="N45" s="3" t="str">
        <f>IF(T&lt;=N$11,"",IF($A45&gt;N$12,"",IF(T=O$11,EXP(-IRTree!N46*h)*N112,EXP(-IRTree!N46*h)*((O45+O46)/2+N112))))</f>
        <v/>
      </c>
      <c r="O45" s="3" t="str">
        <f>IF(T&lt;=O$11,"",IF($A45&gt;O$12,"",IF(T=P$11,EXP(-IRTree!O46*h)*O112,EXP(-IRTree!O46*h)*((P45+P46)/2+O112))))</f>
        <v/>
      </c>
      <c r="P45" s="3" t="str">
        <f>IF(T&lt;=P$11,"",IF($A45&gt;P$12,"",IF(T=Q$11,EXP(-IRTree!P46*h)*P112,EXP(-IRTree!P46*h)*((Q45+Q46)/2+P112))))</f>
        <v/>
      </c>
      <c r="Q45" s="3" t="str">
        <f>IF(T&lt;=Q$11,"",IF($A45&gt;Q$12,"",IF(T=R$11,EXP(-IRTree!Q46*h)*Q112,EXP(-IRTree!Q46*h)*((R45+R46)/2+Q112))))</f>
        <v/>
      </c>
      <c r="R45" s="3" t="str">
        <f>IF(T&lt;=R$11,"",IF($A45&gt;R$12,"",IF(T=S$11,EXP(-IRTree!R46*h)*R112,EXP(-IRTree!R46*h)*((S45+S46)/2+R112))))</f>
        <v/>
      </c>
      <c r="S45" s="3" t="str">
        <f>IF(T&lt;=S$11,"",IF($A45&gt;S$12,"",IF(T=T$11,EXP(-IRTree!S46*h)*S112,EXP(-IRTree!S46*h)*((T45+T46)/2+S112))))</f>
        <v/>
      </c>
      <c r="T45" s="3" t="str">
        <f>IF(T&lt;=T$11,"",IF($A45&gt;T$12,"",IF(T=U$11,EXP(-IRTree!T46*h)*T112,EXP(-IRTree!T46*h)*((U45+U46)/2+T112))))</f>
        <v/>
      </c>
      <c r="U45" s="3" t="str">
        <f>IF(T&lt;=U$11,"",IF($A45&gt;U$12,"",IF(T=V$11,EXP(-IRTree!U46*h)*U112,EXP(-IRTree!U46*h)*((V45+V46)/2+U112))))</f>
        <v/>
      </c>
      <c r="V45" s="3" t="str">
        <f>IF(T&lt;=V$11,"",IF($A45&gt;V$12,"",IF(T=W$11,EXP(-IRTree!V46*h)*V112,EXP(-IRTree!V46*h)*((W45+W46)/2+V112))))</f>
        <v/>
      </c>
      <c r="W45" s="3" t="str">
        <f>IF(T&lt;=W$11,"",IF($A45&gt;W$12,"",IF(T=X$11,EXP(-IRTree!W46*h)*W112,EXP(-IRTree!W46*h)*((X45+X46)/2+W112))))</f>
        <v/>
      </c>
      <c r="X45" s="3" t="str">
        <f>IF(T&lt;=X$11,"",IF($A45&gt;X$12,"",IF(T=Y$11,EXP(-IRTree!X46*h)*X112,EXP(-IRTree!X46*h)*((Y45+Y46)/2+X112))))</f>
        <v/>
      </c>
      <c r="Y45" s="3" t="str">
        <f>IF(T&lt;=Y$11,"",IF($A45&gt;Y$12,"",IF(T=Z$11,EXP(-IRTree!Y46*h)*Y112,EXP(-IRTree!Y46*h)*((Z45+Z46)/2+Y112))))</f>
        <v/>
      </c>
      <c r="Z45" s="3" t="str">
        <f>IF(T&lt;=Z$11,"",IF($A45&gt;Z$12,"",IF(T=AA$11,EXP(-IRTree!Z46*h)*Z112,EXP(-IRTree!Z46*h)*((AA45+AA46)/2+Z112))))</f>
        <v/>
      </c>
      <c r="AA45" s="3" t="str">
        <f>IF(T&lt;=AA$11,"",IF($A45&gt;AA$12,"",IF(T=AB$11,EXP(-IRTree!AA46*h)*AA112,EXP(-IRTree!AA46*h)*((AB45+AB46)/2+AA112))))</f>
        <v/>
      </c>
      <c r="AB45" s="3" t="str">
        <f>IF(T&lt;=AB$11,"",IF($A45&gt;AB$12,"",IF(T=AC$11,EXP(-IRTree!AB46*h)*AB112,EXP(-IRTree!AB46*h)*((AC45+AC46)/2+AB112))))</f>
        <v/>
      </c>
      <c r="AC45" s="3" t="str">
        <f>IF(T&lt;=AC$11,"",IF($A45&gt;AC$12,"",IF(T=AD$11,EXP(-IRTree!AC46*h)*AC112,EXP(-IRTree!AC46*h)*((AD45+AD46)/2+AC112))))</f>
        <v/>
      </c>
      <c r="AD45" s="3" t="str">
        <f>IF(T&lt;=AD$11,"",IF($A45&gt;AD$12,"",IF(T=AE$11,EXP(-IRTree!AD46*h)*AD112,EXP(-IRTree!AD46*h)*((AE45+AE46)/2+AD112))))</f>
        <v/>
      </c>
      <c r="AE45" s="3" t="str">
        <f>IF(T&lt;=AE$11,"",IF($A45&gt;AE$12,"",IF(T=AF$11,EXP(-IRTree!AE46*h)*AE112,EXP(-IRTree!AE46*h)*((AF45+AF46)/2+AE112))))</f>
        <v/>
      </c>
      <c r="AF45" s="3" t="str">
        <f>IF(T&lt;=AF$11,"",IF($A45&gt;AF$12,"",IF(T=AG$11,EXP(-IRTree!AF46*h)*AF112,EXP(-IRTree!AF46*h)*((AG45+AG46)/2+AF112))))</f>
        <v/>
      </c>
      <c r="AG45" s="3" t="str">
        <f>IF(T&lt;=AG$11,"",IF($A45&gt;AG$12,"",IF(T=AH$11,EXP(-IRTree!AG46*h)*AG112,EXP(-IRTree!AG46*h)*((AH45+AH46)/2+AG112))))</f>
        <v/>
      </c>
      <c r="AH45" s="3">
        <f>IF(T&lt;=AH$11,"",IF($A45&gt;AH$12,"",IF(T=AI$11,EXP(-IRTree!AH46*h)*AH112,EXP(-IRTree!AH46*h)*((AI45+AI46)/2+AH112))))</f>
        <v>0</v>
      </c>
      <c r="AI45" s="3">
        <f>IF(T&lt;=AI$11,"",IF($A45&gt;AI$12,"",IF(T=AJ$11,EXP(-IRTree!AI46*h)*AI112,EXP(-IRTree!AI46*h)*((AJ45+AJ46)/2+AI112))))</f>
        <v>0</v>
      </c>
      <c r="AJ45" s="3">
        <f>IF(T&lt;=AJ$11,"",IF($A45&gt;AJ$12,"",IF(T=AK$11,EXP(-IRTree!AJ46*h)*AJ112,EXP(-IRTree!AJ46*h)*((AK45+AK46)/2+AJ112))))</f>
        <v>0</v>
      </c>
      <c r="AK45" s="3">
        <f>IF(T&lt;=AK$11,"",IF($A45&gt;AK$12,"",IF(T=AL$11,EXP(-IRTree!AK46*h)*AK112,EXP(-IRTree!AK46*h)*((AL45+AL46)/2+AK112))))</f>
        <v>0</v>
      </c>
      <c r="AL45" s="3">
        <f>IF(T&lt;=AL$11,"",IF($A45&gt;AL$12,"",IF(T=AM$11,EXP(-IRTree!AL46*h)*AL112,EXP(-IRTree!AL46*h)*((AM45+AM46)/2+AL112))))</f>
        <v>0</v>
      </c>
      <c r="AM45" s="3">
        <f>IF(T&lt;=AM$11,"",IF($A45&gt;AM$12,"",IF(T=AN$11,EXP(-IRTree!AM46*h)*AM112,EXP(-IRTree!AM46*h)*((AN45+AN46)/2+AM112))))</f>
        <v>0</v>
      </c>
      <c r="AN45" s="3">
        <f>IF(T&lt;=AN$11,"",IF($A45&gt;AN$12,"",IF(T=AO$11,EXP(-IRTree!AN46*h)*AN112,EXP(-IRTree!AN46*h)*((AO45+AO46)/2+AN112))))</f>
        <v>0</v>
      </c>
      <c r="AO45" s="3">
        <f>IF(T&lt;=AO$11,"",IF($A45&gt;AO$12,"",IF(T=AP$11,EXP(-IRTree!AO46*h)*AO112,EXP(-IRTree!AO46*h)*((AP45+AP46)/2+AO112))))</f>
        <v>0</v>
      </c>
      <c r="AP45" s="3" t="str">
        <f>IF(T&lt;=AP$11,"",IF($A45&gt;AP$12,"",IF(T=AQ$11,EXP(-IRTree!AP46*h)*AP112,EXP(-IRTree!AP46*h)*((AQ45+AQ46)/2+AP112))))</f>
        <v/>
      </c>
      <c r="AQ45" s="3" t="str">
        <f>IF(T&lt;=AQ$11,"",IF($A45&gt;AQ$12,"",IF(T=AR$11,EXP(-IRTree!AQ46*h)*AQ112,EXP(-IRTree!AQ46*h)*((AR45+AR46)/2+AQ112))))</f>
        <v/>
      </c>
      <c r="AR45" s="3" t="str">
        <f>IF(T&lt;=AR$11,"",IF($A45&gt;AR$12,"",IF(T=AS$11,EXP(-IRTree!AR46*h)*AR112,EXP(-IRTree!AR46*h)*((AS45+AS46)/2+AR112))))</f>
        <v/>
      </c>
      <c r="AS45" s="3" t="str">
        <f>IF(T&lt;=AS$11,"",IF($A45&gt;AS$12,"",IF(T=AT$11,EXP(-IRTree!AS46*h)*AS112,EXP(-IRTree!AS46*h)*((AT45+AT46)/2+AS112))))</f>
        <v/>
      </c>
      <c r="AT45" s="3" t="str">
        <f>IF(T&lt;=AT$11,"",IF($A45&gt;AT$12,"",IF(T=AU$11,EXP(-IRTree!AT46*h)*AT112,EXP(-IRTree!AT46*h)*((AU45+AU46)/2+AT112))))</f>
        <v/>
      </c>
      <c r="AU45" s="3" t="str">
        <f>IF(T&lt;=AU$11,"",IF($A45&gt;AU$12,"",IF(T=AV$11,EXP(-IRTree!AU46*h)*AU112,EXP(-IRTree!AU46*h)*((AV45+AV46)/2+AU112))))</f>
        <v/>
      </c>
      <c r="AV45" s="3" t="str">
        <f>IF(T&lt;=AV$11,"",IF($A45&gt;AV$12,"",IF(T=AW$11,EXP(-IRTree!AV46*h)*AV112,EXP(-IRTree!AV46*h)*((AW45+AW46)/2+AV112))))</f>
        <v/>
      </c>
      <c r="AW45" s="3" t="str">
        <f>IF(T&lt;=AW$11,"",IF($A45&gt;AW$12,"",IF(T=AX$11,EXP(-IRTree!AW46*h)*AW112,EXP(-IRTree!AW46*h)*((AX45+AX46)/2+AW112))))</f>
        <v/>
      </c>
      <c r="AX45" s="3" t="str">
        <f>IF(T&lt;=AX$11,"",IF($A45&gt;AX$12,"",IF(T=AY$11,EXP(-IRTree!AX46*h)*AX112,EXP(-IRTree!AX46*h)*((AY45+AY46)/2+AX112))))</f>
        <v/>
      </c>
      <c r="AY45" s="3" t="str">
        <f>IF(T&lt;=AY$11,"",IF($A45&gt;AY$12,"",IF(T=AZ$11,EXP(-IRTree!AY46*h)*AY112,EXP(-IRTree!AY46*h)*((AZ45+AZ46)/2+AY112))))</f>
        <v/>
      </c>
      <c r="AZ45" s="3" t="str">
        <f>IF(T&lt;=AZ$11,"",IF($A45&gt;AZ$12,"",IF(T=BA$11,EXP(-IRTree!AZ46*h)*AZ112,EXP(-IRTree!AZ46*h)*((BA45+BA46)/2+AZ112))))</f>
        <v/>
      </c>
      <c r="BA45" s="3" t="str">
        <f>IF(T&lt;=BA$11,"",IF($A45&gt;BA$12,"",IF(T=BB$11,EXP(-IRTree!BA46*h)*BA112,EXP(-IRTree!BA46*h)*((BB45+BB46)/2+BA112))))</f>
        <v/>
      </c>
      <c r="BB45" s="3" t="str">
        <f>IF(T&lt;=BB$11,"",IF($A45&gt;BB$12,"",IF(T=BC$11,EXP(-IRTree!BB46*h)*BB112,EXP(-IRTree!BB46*h)*((BC45+BC46)/2+BB112))))</f>
        <v/>
      </c>
      <c r="BC45" s="3" t="str">
        <f>IF(T&lt;=BC$11,"",IF($A45&gt;BC$12,"",IF(T=BD$11,EXP(-IRTree!BC46*h)*BC112,EXP(-IRTree!BC46*h)*((BD45+BD46)/2+BC112))))</f>
        <v/>
      </c>
      <c r="BD45" s="3" t="str">
        <f>IF(T&lt;=BD$11,"",IF($A45&gt;BD$12,"",IF(T=BE$11,EXP(-IRTree!BD46*h)*BD112,EXP(-IRTree!BD46*h)*((BE45+BE46)/2+BD112))))</f>
        <v/>
      </c>
      <c r="BE45" s="3" t="str">
        <f>IF(T&lt;=BE$11,"",IF($A45&gt;BE$12,"",IF(T=BF$11,EXP(-IRTree!BE46*h)*BE112,EXP(-IRTree!BE46*h)*((BF45+BF46)/2+BE112))))</f>
        <v/>
      </c>
      <c r="BF45" s="3" t="str">
        <f>IF(T&lt;=BF$11,"",IF($A45&gt;BF$12,"",IF(T=BG$11,EXP(-IRTree!BF46*h)*BF112,EXP(-IRTree!BF46*h)*((BG45+BG46)/2+BF112))))</f>
        <v/>
      </c>
      <c r="BG45" s="3" t="str">
        <f>IF(T&lt;=BG$11,"",IF($A45&gt;BG$12,"",IF(T=BH$11,EXP(-IRTree!BG46*h)*BG112,EXP(-IRTree!BG46*h)*((BH45+BH46)/2+BG112))))</f>
        <v/>
      </c>
      <c r="BH45" s="3" t="str">
        <f>IF(T&lt;=BH$11,"",IF($A45&gt;BH$12,"",IF(T=BI$11,EXP(-IRTree!BH46*h)*BH112,EXP(-IRTree!BH46*h)*((BI45+BI46)/2+BH112))))</f>
        <v/>
      </c>
      <c r="BI45" s="3" t="str">
        <f>IF(T&lt;=BI$11,"",IF($A45&gt;BI$12,"",IF(T=BJ$11,EXP(-IRTree!BI46*h)*BI112,EXP(-IRTree!BI46*h)*((BJ45+BJ46)/2+BI112))))</f>
        <v/>
      </c>
      <c r="BJ45" s="3" t="str">
        <f>IF(T&lt;=BJ$11,"",IF($A45&gt;BJ$12,"",IF(T=BK$11,EXP(-IRTree!BJ46*h)*BJ112,EXP(-IRTree!BJ46*h)*((BK45+BK46)/2+BJ112))))</f>
        <v/>
      </c>
    </row>
    <row r="46" spans="1:62">
      <c r="A46" s="12">
        <f t="shared" si="2"/>
        <v>33</v>
      </c>
      <c r="B46" s="3" t="str">
        <f>IF(T&lt;=B$11,"",IF($A46&gt;B$12,"",IF(T=C$11,EXP(-IRTree!B47*h)*B113,EXP(-IRTree!B47*h)*((C46+C47)/2+B113))))</f>
        <v/>
      </c>
      <c r="C46" s="3" t="str">
        <f>IF(T&lt;=C$11,"",IF($A46&gt;C$12,"",IF(T=D$11,EXP(-IRTree!C47*h)*C113,EXP(-IRTree!C47*h)*((D46+D47)/2+C113))))</f>
        <v/>
      </c>
      <c r="D46" s="3" t="str">
        <f>IF(T&lt;=D$11,"",IF($A46&gt;D$12,"",IF(T=E$11,EXP(-IRTree!D47*h)*D113,EXP(-IRTree!D47*h)*((E46+E47)/2+D113))))</f>
        <v/>
      </c>
      <c r="E46" s="3" t="str">
        <f>IF(T&lt;=E$11,"",IF($A46&gt;E$12,"",IF(T=F$11,EXP(-IRTree!E47*h)*E113,EXP(-IRTree!E47*h)*((F46+F47)/2+E113))))</f>
        <v/>
      </c>
      <c r="F46" s="3" t="str">
        <f>IF(T&lt;=F$11,"",IF($A46&gt;F$12,"",IF(T=G$11,EXP(-IRTree!F47*h)*F113,EXP(-IRTree!F47*h)*((G46+G47)/2+F113))))</f>
        <v/>
      </c>
      <c r="G46" s="3" t="str">
        <f>IF(T&lt;=G$11,"",IF($A46&gt;G$12,"",IF(T=H$11,EXP(-IRTree!G47*h)*G113,EXP(-IRTree!G47*h)*((H46+H47)/2+G113))))</f>
        <v/>
      </c>
      <c r="H46" s="3" t="str">
        <f>IF(T&lt;=H$11,"",IF($A46&gt;H$12,"",IF(T=I$11,EXP(-IRTree!H47*h)*H113,EXP(-IRTree!H47*h)*((I46+I47)/2+H113))))</f>
        <v/>
      </c>
      <c r="I46" s="3" t="str">
        <f>IF(T&lt;=I$11,"",IF($A46&gt;I$12,"",IF(T=J$11,EXP(-IRTree!I47*h)*I113,EXP(-IRTree!I47*h)*((J46+J47)/2+I113))))</f>
        <v/>
      </c>
      <c r="J46" s="3" t="str">
        <f>IF(T&lt;=J$11,"",IF($A46&gt;J$12,"",IF(T=K$11,EXP(-IRTree!J47*h)*J113,EXP(-IRTree!J47*h)*((K46+K47)/2+J113))))</f>
        <v/>
      </c>
      <c r="K46" s="3" t="str">
        <f>IF(T&lt;=K$11,"",IF($A46&gt;K$12,"",IF(T=L$11,EXP(-IRTree!K47*h)*K113,EXP(-IRTree!K47*h)*((L46+L47)/2+K113))))</f>
        <v/>
      </c>
      <c r="L46" s="3" t="str">
        <f>IF(T&lt;=L$11,"",IF($A46&gt;L$12,"",IF(T=M$11,EXP(-IRTree!L47*h)*L113,EXP(-IRTree!L47*h)*((M46+M47)/2+L113))))</f>
        <v/>
      </c>
      <c r="M46" s="3" t="str">
        <f>IF(T&lt;=M$11,"",IF($A46&gt;M$12,"",IF(T=N$11,EXP(-IRTree!M47*h)*M113,EXP(-IRTree!M47*h)*((N46+N47)/2+M113))))</f>
        <v/>
      </c>
      <c r="N46" s="3" t="str">
        <f>IF(T&lt;=N$11,"",IF($A46&gt;N$12,"",IF(T=O$11,EXP(-IRTree!N47*h)*N113,EXP(-IRTree!N47*h)*((O46+O47)/2+N113))))</f>
        <v/>
      </c>
      <c r="O46" s="3" t="str">
        <f>IF(T&lt;=O$11,"",IF($A46&gt;O$12,"",IF(T=P$11,EXP(-IRTree!O47*h)*O113,EXP(-IRTree!O47*h)*((P46+P47)/2+O113))))</f>
        <v/>
      </c>
      <c r="P46" s="3" t="str">
        <f>IF(T&lt;=P$11,"",IF($A46&gt;P$12,"",IF(T=Q$11,EXP(-IRTree!P47*h)*P113,EXP(-IRTree!P47*h)*((Q46+Q47)/2+P113))))</f>
        <v/>
      </c>
      <c r="Q46" s="3" t="str">
        <f>IF(T&lt;=Q$11,"",IF($A46&gt;Q$12,"",IF(T=R$11,EXP(-IRTree!Q47*h)*Q113,EXP(-IRTree!Q47*h)*((R46+R47)/2+Q113))))</f>
        <v/>
      </c>
      <c r="R46" s="3" t="str">
        <f>IF(T&lt;=R$11,"",IF($A46&gt;R$12,"",IF(T=S$11,EXP(-IRTree!R47*h)*R113,EXP(-IRTree!R47*h)*((S46+S47)/2+R113))))</f>
        <v/>
      </c>
      <c r="S46" s="3" t="str">
        <f>IF(T&lt;=S$11,"",IF($A46&gt;S$12,"",IF(T=T$11,EXP(-IRTree!S47*h)*S113,EXP(-IRTree!S47*h)*((T46+T47)/2+S113))))</f>
        <v/>
      </c>
      <c r="T46" s="3" t="str">
        <f>IF(T&lt;=T$11,"",IF($A46&gt;T$12,"",IF(T=U$11,EXP(-IRTree!T47*h)*T113,EXP(-IRTree!T47*h)*((U46+U47)/2+T113))))</f>
        <v/>
      </c>
      <c r="U46" s="3" t="str">
        <f>IF(T&lt;=U$11,"",IF($A46&gt;U$12,"",IF(T=V$11,EXP(-IRTree!U47*h)*U113,EXP(-IRTree!U47*h)*((V46+V47)/2+U113))))</f>
        <v/>
      </c>
      <c r="V46" s="3" t="str">
        <f>IF(T&lt;=V$11,"",IF($A46&gt;V$12,"",IF(T=W$11,EXP(-IRTree!V47*h)*V113,EXP(-IRTree!V47*h)*((W46+W47)/2+V113))))</f>
        <v/>
      </c>
      <c r="W46" s="3" t="str">
        <f>IF(T&lt;=W$11,"",IF($A46&gt;W$12,"",IF(T=X$11,EXP(-IRTree!W47*h)*W113,EXP(-IRTree!W47*h)*((X46+X47)/2+W113))))</f>
        <v/>
      </c>
      <c r="X46" s="3" t="str">
        <f>IF(T&lt;=X$11,"",IF($A46&gt;X$12,"",IF(T=Y$11,EXP(-IRTree!X47*h)*X113,EXP(-IRTree!X47*h)*((Y46+Y47)/2+X113))))</f>
        <v/>
      </c>
      <c r="Y46" s="3" t="str">
        <f>IF(T&lt;=Y$11,"",IF($A46&gt;Y$12,"",IF(T=Z$11,EXP(-IRTree!Y47*h)*Y113,EXP(-IRTree!Y47*h)*((Z46+Z47)/2+Y113))))</f>
        <v/>
      </c>
      <c r="Z46" s="3" t="str">
        <f>IF(T&lt;=Z$11,"",IF($A46&gt;Z$12,"",IF(T=AA$11,EXP(-IRTree!Z47*h)*Z113,EXP(-IRTree!Z47*h)*((AA46+AA47)/2+Z113))))</f>
        <v/>
      </c>
      <c r="AA46" s="3" t="str">
        <f>IF(T&lt;=AA$11,"",IF($A46&gt;AA$12,"",IF(T=AB$11,EXP(-IRTree!AA47*h)*AA113,EXP(-IRTree!AA47*h)*((AB46+AB47)/2+AA113))))</f>
        <v/>
      </c>
      <c r="AB46" s="3" t="str">
        <f>IF(T&lt;=AB$11,"",IF($A46&gt;AB$12,"",IF(T=AC$11,EXP(-IRTree!AB47*h)*AB113,EXP(-IRTree!AB47*h)*((AC46+AC47)/2+AB113))))</f>
        <v/>
      </c>
      <c r="AC46" s="3" t="str">
        <f>IF(T&lt;=AC$11,"",IF($A46&gt;AC$12,"",IF(T=AD$11,EXP(-IRTree!AC47*h)*AC113,EXP(-IRTree!AC47*h)*((AD46+AD47)/2+AC113))))</f>
        <v/>
      </c>
      <c r="AD46" s="3" t="str">
        <f>IF(T&lt;=AD$11,"",IF($A46&gt;AD$12,"",IF(T=AE$11,EXP(-IRTree!AD47*h)*AD113,EXP(-IRTree!AD47*h)*((AE46+AE47)/2+AD113))))</f>
        <v/>
      </c>
      <c r="AE46" s="3" t="str">
        <f>IF(T&lt;=AE$11,"",IF($A46&gt;AE$12,"",IF(T=AF$11,EXP(-IRTree!AE47*h)*AE113,EXP(-IRTree!AE47*h)*((AF46+AF47)/2+AE113))))</f>
        <v/>
      </c>
      <c r="AF46" s="3" t="str">
        <f>IF(T&lt;=AF$11,"",IF($A46&gt;AF$12,"",IF(T=AG$11,EXP(-IRTree!AF47*h)*AF113,EXP(-IRTree!AF47*h)*((AG46+AG47)/2+AF113))))</f>
        <v/>
      </c>
      <c r="AG46" s="3" t="str">
        <f>IF(T&lt;=AG$11,"",IF($A46&gt;AG$12,"",IF(T=AH$11,EXP(-IRTree!AG47*h)*AG113,EXP(-IRTree!AG47*h)*((AH46+AH47)/2+AG113))))</f>
        <v/>
      </c>
      <c r="AH46" s="3" t="str">
        <f>IF(T&lt;=AH$11,"",IF($A46&gt;AH$12,"",IF(T=AI$11,EXP(-IRTree!AH47*h)*AH113,EXP(-IRTree!AH47*h)*((AI46+AI47)/2+AH113))))</f>
        <v/>
      </c>
      <c r="AI46" s="3">
        <f>IF(T&lt;=AI$11,"",IF($A46&gt;AI$12,"",IF(T=AJ$11,EXP(-IRTree!AI47*h)*AI113,EXP(-IRTree!AI47*h)*((AJ46+AJ47)/2+AI113))))</f>
        <v>0</v>
      </c>
      <c r="AJ46" s="3">
        <f>IF(T&lt;=AJ$11,"",IF($A46&gt;AJ$12,"",IF(T=AK$11,EXP(-IRTree!AJ47*h)*AJ113,EXP(-IRTree!AJ47*h)*((AK46+AK47)/2+AJ113))))</f>
        <v>0</v>
      </c>
      <c r="AK46" s="3">
        <f>IF(T&lt;=AK$11,"",IF($A46&gt;AK$12,"",IF(T=AL$11,EXP(-IRTree!AK47*h)*AK113,EXP(-IRTree!AK47*h)*((AL46+AL47)/2+AK113))))</f>
        <v>0</v>
      </c>
      <c r="AL46" s="3">
        <f>IF(T&lt;=AL$11,"",IF($A46&gt;AL$12,"",IF(T=AM$11,EXP(-IRTree!AL47*h)*AL113,EXP(-IRTree!AL47*h)*((AM46+AM47)/2+AL113))))</f>
        <v>0</v>
      </c>
      <c r="AM46" s="3">
        <f>IF(T&lt;=AM$11,"",IF($A46&gt;AM$12,"",IF(T=AN$11,EXP(-IRTree!AM47*h)*AM113,EXP(-IRTree!AM47*h)*((AN46+AN47)/2+AM113))))</f>
        <v>0</v>
      </c>
      <c r="AN46" s="3">
        <f>IF(T&lt;=AN$11,"",IF($A46&gt;AN$12,"",IF(T=AO$11,EXP(-IRTree!AN47*h)*AN113,EXP(-IRTree!AN47*h)*((AO46+AO47)/2+AN113))))</f>
        <v>0</v>
      </c>
      <c r="AO46" s="3">
        <f>IF(T&lt;=AO$11,"",IF($A46&gt;AO$12,"",IF(T=AP$11,EXP(-IRTree!AO47*h)*AO113,EXP(-IRTree!AO47*h)*((AP46+AP47)/2+AO113))))</f>
        <v>0</v>
      </c>
      <c r="AP46" s="3" t="str">
        <f>IF(T&lt;=AP$11,"",IF($A46&gt;AP$12,"",IF(T=AQ$11,EXP(-IRTree!AP47*h)*AP113,EXP(-IRTree!AP47*h)*((AQ46+AQ47)/2+AP113))))</f>
        <v/>
      </c>
      <c r="AQ46" s="3" t="str">
        <f>IF(T&lt;=AQ$11,"",IF($A46&gt;AQ$12,"",IF(T=AR$11,EXP(-IRTree!AQ47*h)*AQ113,EXP(-IRTree!AQ47*h)*((AR46+AR47)/2+AQ113))))</f>
        <v/>
      </c>
      <c r="AR46" s="3" t="str">
        <f>IF(T&lt;=AR$11,"",IF($A46&gt;AR$12,"",IF(T=AS$11,EXP(-IRTree!AR47*h)*AR113,EXP(-IRTree!AR47*h)*((AS46+AS47)/2+AR113))))</f>
        <v/>
      </c>
      <c r="AS46" s="3" t="str">
        <f>IF(T&lt;=AS$11,"",IF($A46&gt;AS$12,"",IF(T=AT$11,EXP(-IRTree!AS47*h)*AS113,EXP(-IRTree!AS47*h)*((AT46+AT47)/2+AS113))))</f>
        <v/>
      </c>
      <c r="AT46" s="3" t="str">
        <f>IF(T&lt;=AT$11,"",IF($A46&gt;AT$12,"",IF(T=AU$11,EXP(-IRTree!AT47*h)*AT113,EXP(-IRTree!AT47*h)*((AU46+AU47)/2+AT113))))</f>
        <v/>
      </c>
      <c r="AU46" s="3" t="str">
        <f>IF(T&lt;=AU$11,"",IF($A46&gt;AU$12,"",IF(T=AV$11,EXP(-IRTree!AU47*h)*AU113,EXP(-IRTree!AU47*h)*((AV46+AV47)/2+AU113))))</f>
        <v/>
      </c>
      <c r="AV46" s="3" t="str">
        <f>IF(T&lt;=AV$11,"",IF($A46&gt;AV$12,"",IF(T=AW$11,EXP(-IRTree!AV47*h)*AV113,EXP(-IRTree!AV47*h)*((AW46+AW47)/2+AV113))))</f>
        <v/>
      </c>
      <c r="AW46" s="3" t="str">
        <f>IF(T&lt;=AW$11,"",IF($A46&gt;AW$12,"",IF(T=AX$11,EXP(-IRTree!AW47*h)*AW113,EXP(-IRTree!AW47*h)*((AX46+AX47)/2+AW113))))</f>
        <v/>
      </c>
      <c r="AX46" s="3" t="str">
        <f>IF(T&lt;=AX$11,"",IF($A46&gt;AX$12,"",IF(T=AY$11,EXP(-IRTree!AX47*h)*AX113,EXP(-IRTree!AX47*h)*((AY46+AY47)/2+AX113))))</f>
        <v/>
      </c>
      <c r="AY46" s="3" t="str">
        <f>IF(T&lt;=AY$11,"",IF($A46&gt;AY$12,"",IF(T=AZ$11,EXP(-IRTree!AY47*h)*AY113,EXP(-IRTree!AY47*h)*((AZ46+AZ47)/2+AY113))))</f>
        <v/>
      </c>
      <c r="AZ46" s="3" t="str">
        <f>IF(T&lt;=AZ$11,"",IF($A46&gt;AZ$12,"",IF(T=BA$11,EXP(-IRTree!AZ47*h)*AZ113,EXP(-IRTree!AZ47*h)*((BA46+BA47)/2+AZ113))))</f>
        <v/>
      </c>
      <c r="BA46" s="3" t="str">
        <f>IF(T&lt;=BA$11,"",IF($A46&gt;BA$12,"",IF(T=BB$11,EXP(-IRTree!BA47*h)*BA113,EXP(-IRTree!BA47*h)*((BB46+BB47)/2+BA113))))</f>
        <v/>
      </c>
      <c r="BB46" s="3" t="str">
        <f>IF(T&lt;=BB$11,"",IF($A46&gt;BB$12,"",IF(T=BC$11,EXP(-IRTree!BB47*h)*BB113,EXP(-IRTree!BB47*h)*((BC46+BC47)/2+BB113))))</f>
        <v/>
      </c>
      <c r="BC46" s="3" t="str">
        <f>IF(T&lt;=BC$11,"",IF($A46&gt;BC$12,"",IF(T=BD$11,EXP(-IRTree!BC47*h)*BC113,EXP(-IRTree!BC47*h)*((BD46+BD47)/2+BC113))))</f>
        <v/>
      </c>
      <c r="BD46" s="3" t="str">
        <f>IF(T&lt;=BD$11,"",IF($A46&gt;BD$12,"",IF(T=BE$11,EXP(-IRTree!BD47*h)*BD113,EXP(-IRTree!BD47*h)*((BE46+BE47)/2+BD113))))</f>
        <v/>
      </c>
      <c r="BE46" s="3" t="str">
        <f>IF(T&lt;=BE$11,"",IF($A46&gt;BE$12,"",IF(T=BF$11,EXP(-IRTree!BE47*h)*BE113,EXP(-IRTree!BE47*h)*((BF46+BF47)/2+BE113))))</f>
        <v/>
      </c>
      <c r="BF46" s="3" t="str">
        <f>IF(T&lt;=BF$11,"",IF($A46&gt;BF$12,"",IF(T=BG$11,EXP(-IRTree!BF47*h)*BF113,EXP(-IRTree!BF47*h)*((BG46+BG47)/2+BF113))))</f>
        <v/>
      </c>
      <c r="BG46" s="3" t="str">
        <f>IF(T&lt;=BG$11,"",IF($A46&gt;BG$12,"",IF(T=BH$11,EXP(-IRTree!BG47*h)*BG113,EXP(-IRTree!BG47*h)*((BH46+BH47)/2+BG113))))</f>
        <v/>
      </c>
      <c r="BH46" s="3" t="str">
        <f>IF(T&lt;=BH$11,"",IF($A46&gt;BH$12,"",IF(T=BI$11,EXP(-IRTree!BH47*h)*BH113,EXP(-IRTree!BH47*h)*((BI46+BI47)/2+BH113))))</f>
        <v/>
      </c>
      <c r="BI46" s="3" t="str">
        <f>IF(T&lt;=BI$11,"",IF($A46&gt;BI$12,"",IF(T=BJ$11,EXP(-IRTree!BI47*h)*BI113,EXP(-IRTree!BI47*h)*((BJ46+BJ47)/2+BI113))))</f>
        <v/>
      </c>
      <c r="BJ46" s="3" t="str">
        <f>IF(T&lt;=BJ$11,"",IF($A46&gt;BJ$12,"",IF(T=BK$11,EXP(-IRTree!BJ47*h)*BJ113,EXP(-IRTree!BJ47*h)*((BK46+BK47)/2+BJ113))))</f>
        <v/>
      </c>
    </row>
    <row r="47" spans="1:62">
      <c r="A47" s="12">
        <f t="shared" si="2"/>
        <v>34</v>
      </c>
      <c r="B47" s="3" t="str">
        <f>IF(T&lt;=B$11,"",IF($A47&gt;B$12,"",IF(T=C$11,EXP(-IRTree!B48*h)*B114,EXP(-IRTree!B48*h)*((C47+C48)/2+B114))))</f>
        <v/>
      </c>
      <c r="C47" s="3" t="str">
        <f>IF(T&lt;=C$11,"",IF($A47&gt;C$12,"",IF(T=D$11,EXP(-IRTree!C48*h)*C114,EXP(-IRTree!C48*h)*((D47+D48)/2+C114))))</f>
        <v/>
      </c>
      <c r="D47" s="3" t="str">
        <f>IF(T&lt;=D$11,"",IF($A47&gt;D$12,"",IF(T=E$11,EXP(-IRTree!D48*h)*D114,EXP(-IRTree!D48*h)*((E47+E48)/2+D114))))</f>
        <v/>
      </c>
      <c r="E47" s="3" t="str">
        <f>IF(T&lt;=E$11,"",IF($A47&gt;E$12,"",IF(T=F$11,EXP(-IRTree!E48*h)*E114,EXP(-IRTree!E48*h)*((F47+F48)/2+E114))))</f>
        <v/>
      </c>
      <c r="F47" s="3" t="str">
        <f>IF(T&lt;=F$11,"",IF($A47&gt;F$12,"",IF(T=G$11,EXP(-IRTree!F48*h)*F114,EXP(-IRTree!F48*h)*((G47+G48)/2+F114))))</f>
        <v/>
      </c>
      <c r="G47" s="3" t="str">
        <f>IF(T&lt;=G$11,"",IF($A47&gt;G$12,"",IF(T=H$11,EXP(-IRTree!G48*h)*G114,EXP(-IRTree!G48*h)*((H47+H48)/2+G114))))</f>
        <v/>
      </c>
      <c r="H47" s="3" t="str">
        <f>IF(T&lt;=H$11,"",IF($A47&gt;H$12,"",IF(T=I$11,EXP(-IRTree!H48*h)*H114,EXP(-IRTree!H48*h)*((I47+I48)/2+H114))))</f>
        <v/>
      </c>
      <c r="I47" s="3" t="str">
        <f>IF(T&lt;=I$11,"",IF($A47&gt;I$12,"",IF(T=J$11,EXP(-IRTree!I48*h)*I114,EXP(-IRTree!I48*h)*((J47+J48)/2+I114))))</f>
        <v/>
      </c>
      <c r="J47" s="3" t="str">
        <f>IF(T&lt;=J$11,"",IF($A47&gt;J$12,"",IF(T=K$11,EXP(-IRTree!J48*h)*J114,EXP(-IRTree!J48*h)*((K47+K48)/2+J114))))</f>
        <v/>
      </c>
      <c r="K47" s="3" t="str">
        <f>IF(T&lt;=K$11,"",IF($A47&gt;K$12,"",IF(T=L$11,EXP(-IRTree!K48*h)*K114,EXP(-IRTree!K48*h)*((L47+L48)/2+K114))))</f>
        <v/>
      </c>
      <c r="L47" s="3" t="str">
        <f>IF(T&lt;=L$11,"",IF($A47&gt;L$12,"",IF(T=M$11,EXP(-IRTree!L48*h)*L114,EXP(-IRTree!L48*h)*((M47+M48)/2+L114))))</f>
        <v/>
      </c>
      <c r="M47" s="3" t="str">
        <f>IF(T&lt;=M$11,"",IF($A47&gt;M$12,"",IF(T=N$11,EXP(-IRTree!M48*h)*M114,EXP(-IRTree!M48*h)*((N47+N48)/2+M114))))</f>
        <v/>
      </c>
      <c r="N47" s="3" t="str">
        <f>IF(T&lt;=N$11,"",IF($A47&gt;N$12,"",IF(T=O$11,EXP(-IRTree!N48*h)*N114,EXP(-IRTree!N48*h)*((O47+O48)/2+N114))))</f>
        <v/>
      </c>
      <c r="O47" s="3" t="str">
        <f>IF(T&lt;=O$11,"",IF($A47&gt;O$12,"",IF(T=P$11,EXP(-IRTree!O48*h)*O114,EXP(-IRTree!O48*h)*((P47+P48)/2+O114))))</f>
        <v/>
      </c>
      <c r="P47" s="3" t="str">
        <f>IF(T&lt;=P$11,"",IF($A47&gt;P$12,"",IF(T=Q$11,EXP(-IRTree!P48*h)*P114,EXP(-IRTree!P48*h)*((Q47+Q48)/2+P114))))</f>
        <v/>
      </c>
      <c r="Q47" s="3" t="str">
        <f>IF(T&lt;=Q$11,"",IF($A47&gt;Q$12,"",IF(T=R$11,EXP(-IRTree!Q48*h)*Q114,EXP(-IRTree!Q48*h)*((R47+R48)/2+Q114))))</f>
        <v/>
      </c>
      <c r="R47" s="3" t="str">
        <f>IF(T&lt;=R$11,"",IF($A47&gt;R$12,"",IF(T=S$11,EXP(-IRTree!R48*h)*R114,EXP(-IRTree!R48*h)*((S47+S48)/2+R114))))</f>
        <v/>
      </c>
      <c r="S47" s="3" t="str">
        <f>IF(T&lt;=S$11,"",IF($A47&gt;S$12,"",IF(T=T$11,EXP(-IRTree!S48*h)*S114,EXP(-IRTree!S48*h)*((T47+T48)/2+S114))))</f>
        <v/>
      </c>
      <c r="T47" s="3" t="str">
        <f>IF(T&lt;=T$11,"",IF($A47&gt;T$12,"",IF(T=U$11,EXP(-IRTree!T48*h)*T114,EXP(-IRTree!T48*h)*((U47+U48)/2+T114))))</f>
        <v/>
      </c>
      <c r="U47" s="3" t="str">
        <f>IF(T&lt;=U$11,"",IF($A47&gt;U$12,"",IF(T=V$11,EXP(-IRTree!U48*h)*U114,EXP(-IRTree!U48*h)*((V47+V48)/2+U114))))</f>
        <v/>
      </c>
      <c r="V47" s="3" t="str">
        <f>IF(T&lt;=V$11,"",IF($A47&gt;V$12,"",IF(T=W$11,EXP(-IRTree!V48*h)*V114,EXP(-IRTree!V48*h)*((W47+W48)/2+V114))))</f>
        <v/>
      </c>
      <c r="W47" s="3" t="str">
        <f>IF(T&lt;=W$11,"",IF($A47&gt;W$12,"",IF(T=X$11,EXP(-IRTree!W48*h)*W114,EXP(-IRTree!W48*h)*((X47+X48)/2+W114))))</f>
        <v/>
      </c>
      <c r="X47" s="3" t="str">
        <f>IF(T&lt;=X$11,"",IF($A47&gt;X$12,"",IF(T=Y$11,EXP(-IRTree!X48*h)*X114,EXP(-IRTree!X48*h)*((Y47+Y48)/2+X114))))</f>
        <v/>
      </c>
      <c r="Y47" s="3" t="str">
        <f>IF(T&lt;=Y$11,"",IF($A47&gt;Y$12,"",IF(T=Z$11,EXP(-IRTree!Y48*h)*Y114,EXP(-IRTree!Y48*h)*((Z47+Z48)/2+Y114))))</f>
        <v/>
      </c>
      <c r="Z47" s="3" t="str">
        <f>IF(T&lt;=Z$11,"",IF($A47&gt;Z$12,"",IF(T=AA$11,EXP(-IRTree!Z48*h)*Z114,EXP(-IRTree!Z48*h)*((AA47+AA48)/2+Z114))))</f>
        <v/>
      </c>
      <c r="AA47" s="3" t="str">
        <f>IF(T&lt;=AA$11,"",IF($A47&gt;AA$12,"",IF(T=AB$11,EXP(-IRTree!AA48*h)*AA114,EXP(-IRTree!AA48*h)*((AB47+AB48)/2+AA114))))</f>
        <v/>
      </c>
      <c r="AB47" s="3" t="str">
        <f>IF(T&lt;=AB$11,"",IF($A47&gt;AB$12,"",IF(T=AC$11,EXP(-IRTree!AB48*h)*AB114,EXP(-IRTree!AB48*h)*((AC47+AC48)/2+AB114))))</f>
        <v/>
      </c>
      <c r="AC47" s="3" t="str">
        <f>IF(T&lt;=AC$11,"",IF($A47&gt;AC$12,"",IF(T=AD$11,EXP(-IRTree!AC48*h)*AC114,EXP(-IRTree!AC48*h)*((AD47+AD48)/2+AC114))))</f>
        <v/>
      </c>
      <c r="AD47" s="3" t="str">
        <f>IF(T&lt;=AD$11,"",IF($A47&gt;AD$12,"",IF(T=AE$11,EXP(-IRTree!AD48*h)*AD114,EXP(-IRTree!AD48*h)*((AE47+AE48)/2+AD114))))</f>
        <v/>
      </c>
      <c r="AE47" s="3" t="str">
        <f>IF(T&lt;=AE$11,"",IF($A47&gt;AE$12,"",IF(T=AF$11,EXP(-IRTree!AE48*h)*AE114,EXP(-IRTree!AE48*h)*((AF47+AF48)/2+AE114))))</f>
        <v/>
      </c>
      <c r="AF47" s="3" t="str">
        <f>IF(T&lt;=AF$11,"",IF($A47&gt;AF$12,"",IF(T=AG$11,EXP(-IRTree!AF48*h)*AF114,EXP(-IRTree!AF48*h)*((AG47+AG48)/2+AF114))))</f>
        <v/>
      </c>
      <c r="AG47" s="3" t="str">
        <f>IF(T&lt;=AG$11,"",IF($A47&gt;AG$12,"",IF(T=AH$11,EXP(-IRTree!AG48*h)*AG114,EXP(-IRTree!AG48*h)*((AH47+AH48)/2+AG114))))</f>
        <v/>
      </c>
      <c r="AH47" s="3" t="str">
        <f>IF(T&lt;=AH$11,"",IF($A47&gt;AH$12,"",IF(T=AI$11,EXP(-IRTree!AH48*h)*AH114,EXP(-IRTree!AH48*h)*((AI47+AI48)/2+AH114))))</f>
        <v/>
      </c>
      <c r="AI47" s="3" t="str">
        <f>IF(T&lt;=AI$11,"",IF($A47&gt;AI$12,"",IF(T=AJ$11,EXP(-IRTree!AI48*h)*AI114,EXP(-IRTree!AI48*h)*((AJ47+AJ48)/2+AI114))))</f>
        <v/>
      </c>
      <c r="AJ47" s="3">
        <f>IF(T&lt;=AJ$11,"",IF($A47&gt;AJ$12,"",IF(T=AK$11,EXP(-IRTree!AJ48*h)*AJ114,EXP(-IRTree!AJ48*h)*((AK47+AK48)/2+AJ114))))</f>
        <v>0</v>
      </c>
      <c r="AK47" s="3">
        <f>IF(T&lt;=AK$11,"",IF($A47&gt;AK$12,"",IF(T=AL$11,EXP(-IRTree!AK48*h)*AK114,EXP(-IRTree!AK48*h)*((AL47+AL48)/2+AK114))))</f>
        <v>0</v>
      </c>
      <c r="AL47" s="3">
        <f>IF(T&lt;=AL$11,"",IF($A47&gt;AL$12,"",IF(T=AM$11,EXP(-IRTree!AL48*h)*AL114,EXP(-IRTree!AL48*h)*((AM47+AM48)/2+AL114))))</f>
        <v>0</v>
      </c>
      <c r="AM47" s="3">
        <f>IF(T&lt;=AM$11,"",IF($A47&gt;AM$12,"",IF(T=AN$11,EXP(-IRTree!AM48*h)*AM114,EXP(-IRTree!AM48*h)*((AN47+AN48)/2+AM114))))</f>
        <v>0</v>
      </c>
      <c r="AN47" s="3">
        <f>IF(T&lt;=AN$11,"",IF($A47&gt;AN$12,"",IF(T=AO$11,EXP(-IRTree!AN48*h)*AN114,EXP(-IRTree!AN48*h)*((AO47+AO48)/2+AN114))))</f>
        <v>0</v>
      </c>
      <c r="AO47" s="3">
        <f>IF(T&lt;=AO$11,"",IF($A47&gt;AO$12,"",IF(T=AP$11,EXP(-IRTree!AO48*h)*AO114,EXP(-IRTree!AO48*h)*((AP47+AP48)/2+AO114))))</f>
        <v>0</v>
      </c>
      <c r="AP47" s="3" t="str">
        <f>IF(T&lt;=AP$11,"",IF($A47&gt;AP$12,"",IF(T=AQ$11,EXP(-IRTree!AP48*h)*AP114,EXP(-IRTree!AP48*h)*((AQ47+AQ48)/2+AP114))))</f>
        <v/>
      </c>
      <c r="AQ47" s="3" t="str">
        <f>IF(T&lt;=AQ$11,"",IF($A47&gt;AQ$12,"",IF(T=AR$11,EXP(-IRTree!AQ48*h)*AQ114,EXP(-IRTree!AQ48*h)*((AR47+AR48)/2+AQ114))))</f>
        <v/>
      </c>
      <c r="AR47" s="3" t="str">
        <f>IF(T&lt;=AR$11,"",IF($A47&gt;AR$12,"",IF(T=AS$11,EXP(-IRTree!AR48*h)*AR114,EXP(-IRTree!AR48*h)*((AS47+AS48)/2+AR114))))</f>
        <v/>
      </c>
      <c r="AS47" s="3" t="str">
        <f>IF(T&lt;=AS$11,"",IF($A47&gt;AS$12,"",IF(T=AT$11,EXP(-IRTree!AS48*h)*AS114,EXP(-IRTree!AS48*h)*((AT47+AT48)/2+AS114))))</f>
        <v/>
      </c>
      <c r="AT47" s="3" t="str">
        <f>IF(T&lt;=AT$11,"",IF($A47&gt;AT$12,"",IF(T=AU$11,EXP(-IRTree!AT48*h)*AT114,EXP(-IRTree!AT48*h)*((AU47+AU48)/2+AT114))))</f>
        <v/>
      </c>
      <c r="AU47" s="3" t="str">
        <f>IF(T&lt;=AU$11,"",IF($A47&gt;AU$12,"",IF(T=AV$11,EXP(-IRTree!AU48*h)*AU114,EXP(-IRTree!AU48*h)*((AV47+AV48)/2+AU114))))</f>
        <v/>
      </c>
      <c r="AV47" s="3" t="str">
        <f>IF(T&lt;=AV$11,"",IF($A47&gt;AV$12,"",IF(T=AW$11,EXP(-IRTree!AV48*h)*AV114,EXP(-IRTree!AV48*h)*((AW47+AW48)/2+AV114))))</f>
        <v/>
      </c>
      <c r="AW47" s="3" t="str">
        <f>IF(T&lt;=AW$11,"",IF($A47&gt;AW$12,"",IF(T=AX$11,EXP(-IRTree!AW48*h)*AW114,EXP(-IRTree!AW48*h)*((AX47+AX48)/2+AW114))))</f>
        <v/>
      </c>
      <c r="AX47" s="3" t="str">
        <f>IF(T&lt;=AX$11,"",IF($A47&gt;AX$12,"",IF(T=AY$11,EXP(-IRTree!AX48*h)*AX114,EXP(-IRTree!AX48*h)*((AY47+AY48)/2+AX114))))</f>
        <v/>
      </c>
      <c r="AY47" s="3" t="str">
        <f>IF(T&lt;=AY$11,"",IF($A47&gt;AY$12,"",IF(T=AZ$11,EXP(-IRTree!AY48*h)*AY114,EXP(-IRTree!AY48*h)*((AZ47+AZ48)/2+AY114))))</f>
        <v/>
      </c>
      <c r="AZ47" s="3" t="str">
        <f>IF(T&lt;=AZ$11,"",IF($A47&gt;AZ$12,"",IF(T=BA$11,EXP(-IRTree!AZ48*h)*AZ114,EXP(-IRTree!AZ48*h)*((BA47+BA48)/2+AZ114))))</f>
        <v/>
      </c>
      <c r="BA47" s="3" t="str">
        <f>IF(T&lt;=BA$11,"",IF($A47&gt;BA$12,"",IF(T=BB$11,EXP(-IRTree!BA48*h)*BA114,EXP(-IRTree!BA48*h)*((BB47+BB48)/2+BA114))))</f>
        <v/>
      </c>
      <c r="BB47" s="3" t="str">
        <f>IF(T&lt;=BB$11,"",IF($A47&gt;BB$12,"",IF(T=BC$11,EXP(-IRTree!BB48*h)*BB114,EXP(-IRTree!BB48*h)*((BC47+BC48)/2+BB114))))</f>
        <v/>
      </c>
      <c r="BC47" s="3" t="str">
        <f>IF(T&lt;=BC$11,"",IF($A47&gt;BC$12,"",IF(T=BD$11,EXP(-IRTree!BC48*h)*BC114,EXP(-IRTree!BC48*h)*((BD47+BD48)/2+BC114))))</f>
        <v/>
      </c>
      <c r="BD47" s="3" t="str">
        <f>IF(T&lt;=BD$11,"",IF($A47&gt;BD$12,"",IF(T=BE$11,EXP(-IRTree!BD48*h)*BD114,EXP(-IRTree!BD48*h)*((BE47+BE48)/2+BD114))))</f>
        <v/>
      </c>
      <c r="BE47" s="3" t="str">
        <f>IF(T&lt;=BE$11,"",IF($A47&gt;BE$12,"",IF(T=BF$11,EXP(-IRTree!BE48*h)*BE114,EXP(-IRTree!BE48*h)*((BF47+BF48)/2+BE114))))</f>
        <v/>
      </c>
      <c r="BF47" s="3" t="str">
        <f>IF(T&lt;=BF$11,"",IF($A47&gt;BF$12,"",IF(T=BG$11,EXP(-IRTree!BF48*h)*BF114,EXP(-IRTree!BF48*h)*((BG47+BG48)/2+BF114))))</f>
        <v/>
      </c>
      <c r="BG47" s="3" t="str">
        <f>IF(T&lt;=BG$11,"",IF($A47&gt;BG$12,"",IF(T=BH$11,EXP(-IRTree!BG48*h)*BG114,EXP(-IRTree!BG48*h)*((BH47+BH48)/2+BG114))))</f>
        <v/>
      </c>
      <c r="BH47" s="3" t="str">
        <f>IF(T&lt;=BH$11,"",IF($A47&gt;BH$12,"",IF(T=BI$11,EXP(-IRTree!BH48*h)*BH114,EXP(-IRTree!BH48*h)*((BI47+BI48)/2+BH114))))</f>
        <v/>
      </c>
      <c r="BI47" s="3" t="str">
        <f>IF(T&lt;=BI$11,"",IF($A47&gt;BI$12,"",IF(T=BJ$11,EXP(-IRTree!BI48*h)*BI114,EXP(-IRTree!BI48*h)*((BJ47+BJ48)/2+BI114))))</f>
        <v/>
      </c>
      <c r="BJ47" s="3" t="str">
        <f>IF(T&lt;=BJ$11,"",IF($A47&gt;BJ$12,"",IF(T=BK$11,EXP(-IRTree!BJ48*h)*BJ114,EXP(-IRTree!BJ48*h)*((BK47+BK48)/2+BJ114))))</f>
        <v/>
      </c>
    </row>
    <row r="48" spans="1:62">
      <c r="A48" s="12">
        <f t="shared" si="2"/>
        <v>35</v>
      </c>
      <c r="B48" s="3" t="str">
        <f>IF(T&lt;=B$11,"",IF($A48&gt;B$12,"",IF(T=C$11,EXP(-IRTree!B49*h)*B115,EXP(-IRTree!B49*h)*((C48+C49)/2+B115))))</f>
        <v/>
      </c>
      <c r="C48" s="3" t="str">
        <f>IF(T&lt;=C$11,"",IF($A48&gt;C$12,"",IF(T=D$11,EXP(-IRTree!C49*h)*C115,EXP(-IRTree!C49*h)*((D48+D49)/2+C115))))</f>
        <v/>
      </c>
      <c r="D48" s="3" t="str">
        <f>IF(T&lt;=D$11,"",IF($A48&gt;D$12,"",IF(T=E$11,EXP(-IRTree!D49*h)*D115,EXP(-IRTree!D49*h)*((E48+E49)/2+D115))))</f>
        <v/>
      </c>
      <c r="E48" s="3" t="str">
        <f>IF(T&lt;=E$11,"",IF($A48&gt;E$12,"",IF(T=F$11,EXP(-IRTree!E49*h)*E115,EXP(-IRTree!E49*h)*((F48+F49)/2+E115))))</f>
        <v/>
      </c>
      <c r="F48" s="3" t="str">
        <f>IF(T&lt;=F$11,"",IF($A48&gt;F$12,"",IF(T=G$11,EXP(-IRTree!F49*h)*F115,EXP(-IRTree!F49*h)*((G48+G49)/2+F115))))</f>
        <v/>
      </c>
      <c r="G48" s="3" t="str">
        <f>IF(T&lt;=G$11,"",IF($A48&gt;G$12,"",IF(T=H$11,EXP(-IRTree!G49*h)*G115,EXP(-IRTree!G49*h)*((H48+H49)/2+G115))))</f>
        <v/>
      </c>
      <c r="H48" s="3" t="str">
        <f>IF(T&lt;=H$11,"",IF($A48&gt;H$12,"",IF(T=I$11,EXP(-IRTree!H49*h)*H115,EXP(-IRTree!H49*h)*((I48+I49)/2+H115))))</f>
        <v/>
      </c>
      <c r="I48" s="3" t="str">
        <f>IF(T&lt;=I$11,"",IF($A48&gt;I$12,"",IF(T=J$11,EXP(-IRTree!I49*h)*I115,EXP(-IRTree!I49*h)*((J48+J49)/2+I115))))</f>
        <v/>
      </c>
      <c r="J48" s="3" t="str">
        <f>IF(T&lt;=J$11,"",IF($A48&gt;J$12,"",IF(T=K$11,EXP(-IRTree!J49*h)*J115,EXP(-IRTree!J49*h)*((K48+K49)/2+J115))))</f>
        <v/>
      </c>
      <c r="K48" s="3" t="str">
        <f>IF(T&lt;=K$11,"",IF($A48&gt;K$12,"",IF(T=L$11,EXP(-IRTree!K49*h)*K115,EXP(-IRTree!K49*h)*((L48+L49)/2+K115))))</f>
        <v/>
      </c>
      <c r="L48" s="3" t="str">
        <f>IF(T&lt;=L$11,"",IF($A48&gt;L$12,"",IF(T=M$11,EXP(-IRTree!L49*h)*L115,EXP(-IRTree!L49*h)*((M48+M49)/2+L115))))</f>
        <v/>
      </c>
      <c r="M48" s="3" t="str">
        <f>IF(T&lt;=M$11,"",IF($A48&gt;M$12,"",IF(T=N$11,EXP(-IRTree!M49*h)*M115,EXP(-IRTree!M49*h)*((N48+N49)/2+M115))))</f>
        <v/>
      </c>
      <c r="N48" s="3" t="str">
        <f>IF(T&lt;=N$11,"",IF($A48&gt;N$12,"",IF(T=O$11,EXP(-IRTree!N49*h)*N115,EXP(-IRTree!N49*h)*((O48+O49)/2+N115))))</f>
        <v/>
      </c>
      <c r="O48" s="3" t="str">
        <f>IF(T&lt;=O$11,"",IF($A48&gt;O$12,"",IF(T=P$11,EXP(-IRTree!O49*h)*O115,EXP(-IRTree!O49*h)*((P48+P49)/2+O115))))</f>
        <v/>
      </c>
      <c r="P48" s="3" t="str">
        <f>IF(T&lt;=P$11,"",IF($A48&gt;P$12,"",IF(T=Q$11,EXP(-IRTree!P49*h)*P115,EXP(-IRTree!P49*h)*((Q48+Q49)/2+P115))))</f>
        <v/>
      </c>
      <c r="Q48" s="3" t="str">
        <f>IF(T&lt;=Q$11,"",IF($A48&gt;Q$12,"",IF(T=R$11,EXP(-IRTree!Q49*h)*Q115,EXP(-IRTree!Q49*h)*((R48+R49)/2+Q115))))</f>
        <v/>
      </c>
      <c r="R48" s="3" t="str">
        <f>IF(T&lt;=R$11,"",IF($A48&gt;R$12,"",IF(T=S$11,EXP(-IRTree!R49*h)*R115,EXP(-IRTree!R49*h)*((S48+S49)/2+R115))))</f>
        <v/>
      </c>
      <c r="S48" s="3" t="str">
        <f>IF(T&lt;=S$11,"",IF($A48&gt;S$12,"",IF(T=T$11,EXP(-IRTree!S49*h)*S115,EXP(-IRTree!S49*h)*((T48+T49)/2+S115))))</f>
        <v/>
      </c>
      <c r="T48" s="3" t="str">
        <f>IF(T&lt;=T$11,"",IF($A48&gt;T$12,"",IF(T=U$11,EXP(-IRTree!T49*h)*T115,EXP(-IRTree!T49*h)*((U48+U49)/2+T115))))</f>
        <v/>
      </c>
      <c r="U48" s="3" t="str">
        <f>IF(T&lt;=U$11,"",IF($A48&gt;U$12,"",IF(T=V$11,EXP(-IRTree!U49*h)*U115,EXP(-IRTree!U49*h)*((V48+V49)/2+U115))))</f>
        <v/>
      </c>
      <c r="V48" s="3" t="str">
        <f>IF(T&lt;=V$11,"",IF($A48&gt;V$12,"",IF(T=W$11,EXP(-IRTree!V49*h)*V115,EXP(-IRTree!V49*h)*((W48+W49)/2+V115))))</f>
        <v/>
      </c>
      <c r="W48" s="3" t="str">
        <f>IF(T&lt;=W$11,"",IF($A48&gt;W$12,"",IF(T=X$11,EXP(-IRTree!W49*h)*W115,EXP(-IRTree!W49*h)*((X48+X49)/2+W115))))</f>
        <v/>
      </c>
      <c r="X48" s="3" t="str">
        <f>IF(T&lt;=X$11,"",IF($A48&gt;X$12,"",IF(T=Y$11,EXP(-IRTree!X49*h)*X115,EXP(-IRTree!X49*h)*((Y48+Y49)/2+X115))))</f>
        <v/>
      </c>
      <c r="Y48" s="3" t="str">
        <f>IF(T&lt;=Y$11,"",IF($A48&gt;Y$12,"",IF(T=Z$11,EXP(-IRTree!Y49*h)*Y115,EXP(-IRTree!Y49*h)*((Z48+Z49)/2+Y115))))</f>
        <v/>
      </c>
      <c r="Z48" s="3" t="str">
        <f>IF(T&lt;=Z$11,"",IF($A48&gt;Z$12,"",IF(T=AA$11,EXP(-IRTree!Z49*h)*Z115,EXP(-IRTree!Z49*h)*((AA48+AA49)/2+Z115))))</f>
        <v/>
      </c>
      <c r="AA48" s="3" t="str">
        <f>IF(T&lt;=AA$11,"",IF($A48&gt;AA$12,"",IF(T=AB$11,EXP(-IRTree!AA49*h)*AA115,EXP(-IRTree!AA49*h)*((AB48+AB49)/2+AA115))))</f>
        <v/>
      </c>
      <c r="AB48" s="3" t="str">
        <f>IF(T&lt;=AB$11,"",IF($A48&gt;AB$12,"",IF(T=AC$11,EXP(-IRTree!AB49*h)*AB115,EXP(-IRTree!AB49*h)*((AC48+AC49)/2+AB115))))</f>
        <v/>
      </c>
      <c r="AC48" s="3" t="str">
        <f>IF(T&lt;=AC$11,"",IF($A48&gt;AC$12,"",IF(T=AD$11,EXP(-IRTree!AC49*h)*AC115,EXP(-IRTree!AC49*h)*((AD48+AD49)/2+AC115))))</f>
        <v/>
      </c>
      <c r="AD48" s="3" t="str">
        <f>IF(T&lt;=AD$11,"",IF($A48&gt;AD$12,"",IF(T=AE$11,EXP(-IRTree!AD49*h)*AD115,EXP(-IRTree!AD49*h)*((AE48+AE49)/2+AD115))))</f>
        <v/>
      </c>
      <c r="AE48" s="3" t="str">
        <f>IF(T&lt;=AE$11,"",IF($A48&gt;AE$12,"",IF(T=AF$11,EXP(-IRTree!AE49*h)*AE115,EXP(-IRTree!AE49*h)*((AF48+AF49)/2+AE115))))</f>
        <v/>
      </c>
      <c r="AF48" s="3" t="str">
        <f>IF(T&lt;=AF$11,"",IF($A48&gt;AF$12,"",IF(T=AG$11,EXP(-IRTree!AF49*h)*AF115,EXP(-IRTree!AF49*h)*((AG48+AG49)/2+AF115))))</f>
        <v/>
      </c>
      <c r="AG48" s="3" t="str">
        <f>IF(T&lt;=AG$11,"",IF($A48&gt;AG$12,"",IF(T=AH$11,EXP(-IRTree!AG49*h)*AG115,EXP(-IRTree!AG49*h)*((AH48+AH49)/2+AG115))))</f>
        <v/>
      </c>
      <c r="AH48" s="3" t="str">
        <f>IF(T&lt;=AH$11,"",IF($A48&gt;AH$12,"",IF(T=AI$11,EXP(-IRTree!AH49*h)*AH115,EXP(-IRTree!AH49*h)*((AI48+AI49)/2+AH115))))</f>
        <v/>
      </c>
      <c r="AI48" s="3" t="str">
        <f>IF(T&lt;=AI$11,"",IF($A48&gt;AI$12,"",IF(T=AJ$11,EXP(-IRTree!AI49*h)*AI115,EXP(-IRTree!AI49*h)*((AJ48+AJ49)/2+AI115))))</f>
        <v/>
      </c>
      <c r="AJ48" s="3" t="str">
        <f>IF(T&lt;=AJ$11,"",IF($A48&gt;AJ$12,"",IF(T=AK$11,EXP(-IRTree!AJ49*h)*AJ115,EXP(-IRTree!AJ49*h)*((AK48+AK49)/2+AJ115))))</f>
        <v/>
      </c>
      <c r="AK48" s="3">
        <f>IF(T&lt;=AK$11,"",IF($A48&gt;AK$12,"",IF(T=AL$11,EXP(-IRTree!AK49*h)*AK115,EXP(-IRTree!AK49*h)*((AL48+AL49)/2+AK115))))</f>
        <v>0</v>
      </c>
      <c r="AL48" s="3">
        <f>IF(T&lt;=AL$11,"",IF($A48&gt;AL$12,"",IF(T=AM$11,EXP(-IRTree!AL49*h)*AL115,EXP(-IRTree!AL49*h)*((AM48+AM49)/2+AL115))))</f>
        <v>0</v>
      </c>
      <c r="AM48" s="3">
        <f>IF(T&lt;=AM$11,"",IF($A48&gt;AM$12,"",IF(T=AN$11,EXP(-IRTree!AM49*h)*AM115,EXP(-IRTree!AM49*h)*((AN48+AN49)/2+AM115))))</f>
        <v>0</v>
      </c>
      <c r="AN48" s="3">
        <f>IF(T&lt;=AN$11,"",IF($A48&gt;AN$12,"",IF(T=AO$11,EXP(-IRTree!AN49*h)*AN115,EXP(-IRTree!AN49*h)*((AO48+AO49)/2+AN115))))</f>
        <v>0</v>
      </c>
      <c r="AO48" s="3">
        <f>IF(T&lt;=AO$11,"",IF($A48&gt;AO$12,"",IF(T=AP$11,EXP(-IRTree!AO49*h)*AO115,EXP(-IRTree!AO49*h)*((AP48+AP49)/2+AO115))))</f>
        <v>0</v>
      </c>
      <c r="AP48" s="3" t="str">
        <f>IF(T&lt;=AP$11,"",IF($A48&gt;AP$12,"",IF(T=AQ$11,EXP(-IRTree!AP49*h)*AP115,EXP(-IRTree!AP49*h)*((AQ48+AQ49)/2+AP115))))</f>
        <v/>
      </c>
      <c r="AQ48" s="3" t="str">
        <f>IF(T&lt;=AQ$11,"",IF($A48&gt;AQ$12,"",IF(T=AR$11,EXP(-IRTree!AQ49*h)*AQ115,EXP(-IRTree!AQ49*h)*((AR48+AR49)/2+AQ115))))</f>
        <v/>
      </c>
      <c r="AR48" s="3" t="str">
        <f>IF(T&lt;=AR$11,"",IF($A48&gt;AR$12,"",IF(T=AS$11,EXP(-IRTree!AR49*h)*AR115,EXP(-IRTree!AR49*h)*((AS48+AS49)/2+AR115))))</f>
        <v/>
      </c>
      <c r="AS48" s="3" t="str">
        <f>IF(T&lt;=AS$11,"",IF($A48&gt;AS$12,"",IF(T=AT$11,EXP(-IRTree!AS49*h)*AS115,EXP(-IRTree!AS49*h)*((AT48+AT49)/2+AS115))))</f>
        <v/>
      </c>
      <c r="AT48" s="3" t="str">
        <f>IF(T&lt;=AT$11,"",IF($A48&gt;AT$12,"",IF(T=AU$11,EXP(-IRTree!AT49*h)*AT115,EXP(-IRTree!AT49*h)*((AU48+AU49)/2+AT115))))</f>
        <v/>
      </c>
      <c r="AU48" s="3" t="str">
        <f>IF(T&lt;=AU$11,"",IF($A48&gt;AU$12,"",IF(T=AV$11,EXP(-IRTree!AU49*h)*AU115,EXP(-IRTree!AU49*h)*((AV48+AV49)/2+AU115))))</f>
        <v/>
      </c>
      <c r="AV48" s="3" t="str">
        <f>IF(T&lt;=AV$11,"",IF($A48&gt;AV$12,"",IF(T=AW$11,EXP(-IRTree!AV49*h)*AV115,EXP(-IRTree!AV49*h)*((AW48+AW49)/2+AV115))))</f>
        <v/>
      </c>
      <c r="AW48" s="3" t="str">
        <f>IF(T&lt;=AW$11,"",IF($A48&gt;AW$12,"",IF(T=AX$11,EXP(-IRTree!AW49*h)*AW115,EXP(-IRTree!AW49*h)*((AX48+AX49)/2+AW115))))</f>
        <v/>
      </c>
      <c r="AX48" s="3" t="str">
        <f>IF(T&lt;=AX$11,"",IF($A48&gt;AX$12,"",IF(T=AY$11,EXP(-IRTree!AX49*h)*AX115,EXP(-IRTree!AX49*h)*((AY48+AY49)/2+AX115))))</f>
        <v/>
      </c>
      <c r="AY48" s="3" t="str">
        <f>IF(T&lt;=AY$11,"",IF($A48&gt;AY$12,"",IF(T=AZ$11,EXP(-IRTree!AY49*h)*AY115,EXP(-IRTree!AY49*h)*((AZ48+AZ49)/2+AY115))))</f>
        <v/>
      </c>
      <c r="AZ48" s="3" t="str">
        <f>IF(T&lt;=AZ$11,"",IF($A48&gt;AZ$12,"",IF(T=BA$11,EXP(-IRTree!AZ49*h)*AZ115,EXP(-IRTree!AZ49*h)*((BA48+BA49)/2+AZ115))))</f>
        <v/>
      </c>
      <c r="BA48" s="3" t="str">
        <f>IF(T&lt;=BA$11,"",IF($A48&gt;BA$12,"",IF(T=BB$11,EXP(-IRTree!BA49*h)*BA115,EXP(-IRTree!BA49*h)*((BB48+BB49)/2+BA115))))</f>
        <v/>
      </c>
      <c r="BB48" s="3" t="str">
        <f>IF(T&lt;=BB$11,"",IF($A48&gt;BB$12,"",IF(T=BC$11,EXP(-IRTree!BB49*h)*BB115,EXP(-IRTree!BB49*h)*((BC48+BC49)/2+BB115))))</f>
        <v/>
      </c>
      <c r="BC48" s="3" t="str">
        <f>IF(T&lt;=BC$11,"",IF($A48&gt;BC$12,"",IF(T=BD$11,EXP(-IRTree!BC49*h)*BC115,EXP(-IRTree!BC49*h)*((BD48+BD49)/2+BC115))))</f>
        <v/>
      </c>
      <c r="BD48" s="3" t="str">
        <f>IF(T&lt;=BD$11,"",IF($A48&gt;BD$12,"",IF(T=BE$11,EXP(-IRTree!BD49*h)*BD115,EXP(-IRTree!BD49*h)*((BE48+BE49)/2+BD115))))</f>
        <v/>
      </c>
      <c r="BE48" s="3" t="str">
        <f>IF(T&lt;=BE$11,"",IF($A48&gt;BE$12,"",IF(T=BF$11,EXP(-IRTree!BE49*h)*BE115,EXP(-IRTree!BE49*h)*((BF48+BF49)/2+BE115))))</f>
        <v/>
      </c>
      <c r="BF48" s="3" t="str">
        <f>IF(T&lt;=BF$11,"",IF($A48&gt;BF$12,"",IF(T=BG$11,EXP(-IRTree!BF49*h)*BF115,EXP(-IRTree!BF49*h)*((BG48+BG49)/2+BF115))))</f>
        <v/>
      </c>
      <c r="BG48" s="3" t="str">
        <f>IF(T&lt;=BG$11,"",IF($A48&gt;BG$12,"",IF(T=BH$11,EXP(-IRTree!BG49*h)*BG115,EXP(-IRTree!BG49*h)*((BH48+BH49)/2+BG115))))</f>
        <v/>
      </c>
      <c r="BH48" s="3" t="str">
        <f>IF(T&lt;=BH$11,"",IF($A48&gt;BH$12,"",IF(T=BI$11,EXP(-IRTree!BH49*h)*BH115,EXP(-IRTree!BH49*h)*((BI48+BI49)/2+BH115))))</f>
        <v/>
      </c>
      <c r="BI48" s="3" t="str">
        <f>IF(T&lt;=BI$11,"",IF($A48&gt;BI$12,"",IF(T=BJ$11,EXP(-IRTree!BI49*h)*BI115,EXP(-IRTree!BI49*h)*((BJ48+BJ49)/2+BI115))))</f>
        <v/>
      </c>
      <c r="BJ48" s="3" t="str">
        <f>IF(T&lt;=BJ$11,"",IF($A48&gt;BJ$12,"",IF(T=BK$11,EXP(-IRTree!BJ49*h)*BJ115,EXP(-IRTree!BJ49*h)*((BK48+BK49)/2+BJ115))))</f>
        <v/>
      </c>
    </row>
    <row r="49" spans="1:62">
      <c r="A49" s="12">
        <f t="shared" si="2"/>
        <v>36</v>
      </c>
      <c r="B49" s="3" t="str">
        <f>IF(T&lt;=B$11,"",IF($A49&gt;B$12,"",IF(T=C$11,EXP(-IRTree!B50*h)*B116,EXP(-IRTree!B50*h)*((C49+C50)/2+B116))))</f>
        <v/>
      </c>
      <c r="C49" s="3" t="str">
        <f>IF(T&lt;=C$11,"",IF($A49&gt;C$12,"",IF(T=D$11,EXP(-IRTree!C50*h)*C116,EXP(-IRTree!C50*h)*((D49+D50)/2+C116))))</f>
        <v/>
      </c>
      <c r="D49" s="3" t="str">
        <f>IF(T&lt;=D$11,"",IF($A49&gt;D$12,"",IF(T=E$11,EXP(-IRTree!D50*h)*D116,EXP(-IRTree!D50*h)*((E49+E50)/2+D116))))</f>
        <v/>
      </c>
      <c r="E49" s="3" t="str">
        <f>IF(T&lt;=E$11,"",IF($A49&gt;E$12,"",IF(T=F$11,EXP(-IRTree!E50*h)*E116,EXP(-IRTree!E50*h)*((F49+F50)/2+E116))))</f>
        <v/>
      </c>
      <c r="F49" s="3" t="str">
        <f>IF(T&lt;=F$11,"",IF($A49&gt;F$12,"",IF(T=G$11,EXP(-IRTree!F50*h)*F116,EXP(-IRTree!F50*h)*((G49+G50)/2+F116))))</f>
        <v/>
      </c>
      <c r="G49" s="3" t="str">
        <f>IF(T&lt;=G$11,"",IF($A49&gt;G$12,"",IF(T=H$11,EXP(-IRTree!G50*h)*G116,EXP(-IRTree!G50*h)*((H49+H50)/2+G116))))</f>
        <v/>
      </c>
      <c r="H49" s="3" t="str">
        <f>IF(T&lt;=H$11,"",IF($A49&gt;H$12,"",IF(T=I$11,EXP(-IRTree!H50*h)*H116,EXP(-IRTree!H50*h)*((I49+I50)/2+H116))))</f>
        <v/>
      </c>
      <c r="I49" s="3" t="str">
        <f>IF(T&lt;=I$11,"",IF($A49&gt;I$12,"",IF(T=J$11,EXP(-IRTree!I50*h)*I116,EXP(-IRTree!I50*h)*((J49+J50)/2+I116))))</f>
        <v/>
      </c>
      <c r="J49" s="3" t="str">
        <f>IF(T&lt;=J$11,"",IF($A49&gt;J$12,"",IF(T=K$11,EXP(-IRTree!J50*h)*J116,EXP(-IRTree!J50*h)*((K49+K50)/2+J116))))</f>
        <v/>
      </c>
      <c r="K49" s="3" t="str">
        <f>IF(T&lt;=K$11,"",IF($A49&gt;K$12,"",IF(T=L$11,EXP(-IRTree!K50*h)*K116,EXP(-IRTree!K50*h)*((L49+L50)/2+K116))))</f>
        <v/>
      </c>
      <c r="L49" s="3" t="str">
        <f>IF(T&lt;=L$11,"",IF($A49&gt;L$12,"",IF(T=M$11,EXP(-IRTree!L50*h)*L116,EXP(-IRTree!L50*h)*((M49+M50)/2+L116))))</f>
        <v/>
      </c>
      <c r="M49" s="3" t="str">
        <f>IF(T&lt;=M$11,"",IF($A49&gt;M$12,"",IF(T=N$11,EXP(-IRTree!M50*h)*M116,EXP(-IRTree!M50*h)*((N49+N50)/2+M116))))</f>
        <v/>
      </c>
      <c r="N49" s="3" t="str">
        <f>IF(T&lt;=N$11,"",IF($A49&gt;N$12,"",IF(T=O$11,EXP(-IRTree!N50*h)*N116,EXP(-IRTree!N50*h)*((O49+O50)/2+N116))))</f>
        <v/>
      </c>
      <c r="O49" s="3" t="str">
        <f>IF(T&lt;=O$11,"",IF($A49&gt;O$12,"",IF(T=P$11,EXP(-IRTree!O50*h)*O116,EXP(-IRTree!O50*h)*((P49+P50)/2+O116))))</f>
        <v/>
      </c>
      <c r="P49" s="3" t="str">
        <f>IF(T&lt;=P$11,"",IF($A49&gt;P$12,"",IF(T=Q$11,EXP(-IRTree!P50*h)*P116,EXP(-IRTree!P50*h)*((Q49+Q50)/2+P116))))</f>
        <v/>
      </c>
      <c r="Q49" s="3" t="str">
        <f>IF(T&lt;=Q$11,"",IF($A49&gt;Q$12,"",IF(T=R$11,EXP(-IRTree!Q50*h)*Q116,EXP(-IRTree!Q50*h)*((R49+R50)/2+Q116))))</f>
        <v/>
      </c>
      <c r="R49" s="3" t="str">
        <f>IF(T&lt;=R$11,"",IF($A49&gt;R$12,"",IF(T=S$11,EXP(-IRTree!R50*h)*R116,EXP(-IRTree!R50*h)*((S49+S50)/2+R116))))</f>
        <v/>
      </c>
      <c r="S49" s="3" t="str">
        <f>IF(T&lt;=S$11,"",IF($A49&gt;S$12,"",IF(T=T$11,EXP(-IRTree!S50*h)*S116,EXP(-IRTree!S50*h)*((T49+T50)/2+S116))))</f>
        <v/>
      </c>
      <c r="T49" s="3" t="str">
        <f>IF(T&lt;=T$11,"",IF($A49&gt;T$12,"",IF(T=U$11,EXP(-IRTree!T50*h)*T116,EXP(-IRTree!T50*h)*((U49+U50)/2+T116))))</f>
        <v/>
      </c>
      <c r="U49" s="3" t="str">
        <f>IF(T&lt;=U$11,"",IF($A49&gt;U$12,"",IF(T=V$11,EXP(-IRTree!U50*h)*U116,EXP(-IRTree!U50*h)*((V49+V50)/2+U116))))</f>
        <v/>
      </c>
      <c r="V49" s="3" t="str">
        <f>IF(T&lt;=V$11,"",IF($A49&gt;V$12,"",IF(T=W$11,EXP(-IRTree!V50*h)*V116,EXP(-IRTree!V50*h)*((W49+W50)/2+V116))))</f>
        <v/>
      </c>
      <c r="W49" s="3" t="str">
        <f>IF(T&lt;=W$11,"",IF($A49&gt;W$12,"",IF(T=X$11,EXP(-IRTree!W50*h)*W116,EXP(-IRTree!W50*h)*((X49+X50)/2+W116))))</f>
        <v/>
      </c>
      <c r="X49" s="3" t="str">
        <f>IF(T&lt;=X$11,"",IF($A49&gt;X$12,"",IF(T=Y$11,EXP(-IRTree!X50*h)*X116,EXP(-IRTree!X50*h)*((Y49+Y50)/2+X116))))</f>
        <v/>
      </c>
      <c r="Y49" s="3" t="str">
        <f>IF(T&lt;=Y$11,"",IF($A49&gt;Y$12,"",IF(T=Z$11,EXP(-IRTree!Y50*h)*Y116,EXP(-IRTree!Y50*h)*((Z49+Z50)/2+Y116))))</f>
        <v/>
      </c>
      <c r="Z49" s="3" t="str">
        <f>IF(T&lt;=Z$11,"",IF($A49&gt;Z$12,"",IF(T=AA$11,EXP(-IRTree!Z50*h)*Z116,EXP(-IRTree!Z50*h)*((AA49+AA50)/2+Z116))))</f>
        <v/>
      </c>
      <c r="AA49" s="3" t="str">
        <f>IF(T&lt;=AA$11,"",IF($A49&gt;AA$12,"",IF(T=AB$11,EXP(-IRTree!AA50*h)*AA116,EXP(-IRTree!AA50*h)*((AB49+AB50)/2+AA116))))</f>
        <v/>
      </c>
      <c r="AB49" s="3" t="str">
        <f>IF(T&lt;=AB$11,"",IF($A49&gt;AB$12,"",IF(T=AC$11,EXP(-IRTree!AB50*h)*AB116,EXP(-IRTree!AB50*h)*((AC49+AC50)/2+AB116))))</f>
        <v/>
      </c>
      <c r="AC49" s="3" t="str">
        <f>IF(T&lt;=AC$11,"",IF($A49&gt;AC$12,"",IF(T=AD$11,EXP(-IRTree!AC50*h)*AC116,EXP(-IRTree!AC50*h)*((AD49+AD50)/2+AC116))))</f>
        <v/>
      </c>
      <c r="AD49" s="3" t="str">
        <f>IF(T&lt;=AD$11,"",IF($A49&gt;AD$12,"",IF(T=AE$11,EXP(-IRTree!AD50*h)*AD116,EXP(-IRTree!AD50*h)*((AE49+AE50)/2+AD116))))</f>
        <v/>
      </c>
      <c r="AE49" s="3" t="str">
        <f>IF(T&lt;=AE$11,"",IF($A49&gt;AE$12,"",IF(T=AF$11,EXP(-IRTree!AE50*h)*AE116,EXP(-IRTree!AE50*h)*((AF49+AF50)/2+AE116))))</f>
        <v/>
      </c>
      <c r="AF49" s="3" t="str">
        <f>IF(T&lt;=AF$11,"",IF($A49&gt;AF$12,"",IF(T=AG$11,EXP(-IRTree!AF50*h)*AF116,EXP(-IRTree!AF50*h)*((AG49+AG50)/2+AF116))))</f>
        <v/>
      </c>
      <c r="AG49" s="3" t="str">
        <f>IF(T&lt;=AG$11,"",IF($A49&gt;AG$12,"",IF(T=AH$11,EXP(-IRTree!AG50*h)*AG116,EXP(-IRTree!AG50*h)*((AH49+AH50)/2+AG116))))</f>
        <v/>
      </c>
      <c r="AH49" s="3" t="str">
        <f>IF(T&lt;=AH$11,"",IF($A49&gt;AH$12,"",IF(T=AI$11,EXP(-IRTree!AH50*h)*AH116,EXP(-IRTree!AH50*h)*((AI49+AI50)/2+AH116))))</f>
        <v/>
      </c>
      <c r="AI49" s="3" t="str">
        <f>IF(T&lt;=AI$11,"",IF($A49&gt;AI$12,"",IF(T=AJ$11,EXP(-IRTree!AI50*h)*AI116,EXP(-IRTree!AI50*h)*((AJ49+AJ50)/2+AI116))))</f>
        <v/>
      </c>
      <c r="AJ49" s="3" t="str">
        <f>IF(T&lt;=AJ$11,"",IF($A49&gt;AJ$12,"",IF(T=AK$11,EXP(-IRTree!AJ50*h)*AJ116,EXP(-IRTree!AJ50*h)*((AK49+AK50)/2+AJ116))))</f>
        <v/>
      </c>
      <c r="AK49" s="3" t="str">
        <f>IF(T&lt;=AK$11,"",IF($A49&gt;AK$12,"",IF(T=AL$11,EXP(-IRTree!AK50*h)*AK116,EXP(-IRTree!AK50*h)*((AL49+AL50)/2+AK116))))</f>
        <v/>
      </c>
      <c r="AL49" s="3">
        <f>IF(T&lt;=AL$11,"",IF($A49&gt;AL$12,"",IF(T=AM$11,EXP(-IRTree!AL50*h)*AL116,EXP(-IRTree!AL50*h)*((AM49+AM50)/2+AL116))))</f>
        <v>0</v>
      </c>
      <c r="AM49" s="3">
        <f>IF(T&lt;=AM$11,"",IF($A49&gt;AM$12,"",IF(T=AN$11,EXP(-IRTree!AM50*h)*AM116,EXP(-IRTree!AM50*h)*((AN49+AN50)/2+AM116))))</f>
        <v>0</v>
      </c>
      <c r="AN49" s="3">
        <f>IF(T&lt;=AN$11,"",IF($A49&gt;AN$12,"",IF(T=AO$11,EXP(-IRTree!AN50*h)*AN116,EXP(-IRTree!AN50*h)*((AO49+AO50)/2+AN116))))</f>
        <v>0</v>
      </c>
      <c r="AO49" s="3">
        <f>IF(T&lt;=AO$11,"",IF($A49&gt;AO$12,"",IF(T=AP$11,EXP(-IRTree!AO50*h)*AO116,EXP(-IRTree!AO50*h)*((AP49+AP50)/2+AO116))))</f>
        <v>0</v>
      </c>
      <c r="AP49" s="3" t="str">
        <f>IF(T&lt;=AP$11,"",IF($A49&gt;AP$12,"",IF(T=AQ$11,EXP(-IRTree!AP50*h)*AP116,EXP(-IRTree!AP50*h)*((AQ49+AQ50)/2+AP116))))</f>
        <v/>
      </c>
      <c r="AQ49" s="3" t="str">
        <f>IF(T&lt;=AQ$11,"",IF($A49&gt;AQ$12,"",IF(T=AR$11,EXP(-IRTree!AQ50*h)*AQ116,EXP(-IRTree!AQ50*h)*((AR49+AR50)/2+AQ116))))</f>
        <v/>
      </c>
      <c r="AR49" s="3" t="str">
        <f>IF(T&lt;=AR$11,"",IF($A49&gt;AR$12,"",IF(T=AS$11,EXP(-IRTree!AR50*h)*AR116,EXP(-IRTree!AR50*h)*((AS49+AS50)/2+AR116))))</f>
        <v/>
      </c>
      <c r="AS49" s="3" t="str">
        <f>IF(T&lt;=AS$11,"",IF($A49&gt;AS$12,"",IF(T=AT$11,EXP(-IRTree!AS50*h)*AS116,EXP(-IRTree!AS50*h)*((AT49+AT50)/2+AS116))))</f>
        <v/>
      </c>
      <c r="AT49" s="3" t="str">
        <f>IF(T&lt;=AT$11,"",IF($A49&gt;AT$12,"",IF(T=AU$11,EXP(-IRTree!AT50*h)*AT116,EXP(-IRTree!AT50*h)*((AU49+AU50)/2+AT116))))</f>
        <v/>
      </c>
      <c r="AU49" s="3" t="str">
        <f>IF(T&lt;=AU$11,"",IF($A49&gt;AU$12,"",IF(T=AV$11,EXP(-IRTree!AU50*h)*AU116,EXP(-IRTree!AU50*h)*((AV49+AV50)/2+AU116))))</f>
        <v/>
      </c>
      <c r="AV49" s="3" t="str">
        <f>IF(T&lt;=AV$11,"",IF($A49&gt;AV$12,"",IF(T=AW$11,EXP(-IRTree!AV50*h)*AV116,EXP(-IRTree!AV50*h)*((AW49+AW50)/2+AV116))))</f>
        <v/>
      </c>
      <c r="AW49" s="3" t="str">
        <f>IF(T&lt;=AW$11,"",IF($A49&gt;AW$12,"",IF(T=AX$11,EXP(-IRTree!AW50*h)*AW116,EXP(-IRTree!AW50*h)*((AX49+AX50)/2+AW116))))</f>
        <v/>
      </c>
      <c r="AX49" s="3" t="str">
        <f>IF(T&lt;=AX$11,"",IF($A49&gt;AX$12,"",IF(T=AY$11,EXP(-IRTree!AX50*h)*AX116,EXP(-IRTree!AX50*h)*((AY49+AY50)/2+AX116))))</f>
        <v/>
      </c>
      <c r="AY49" s="3" t="str">
        <f>IF(T&lt;=AY$11,"",IF($A49&gt;AY$12,"",IF(T=AZ$11,EXP(-IRTree!AY50*h)*AY116,EXP(-IRTree!AY50*h)*((AZ49+AZ50)/2+AY116))))</f>
        <v/>
      </c>
      <c r="AZ49" s="3" t="str">
        <f>IF(T&lt;=AZ$11,"",IF($A49&gt;AZ$12,"",IF(T=BA$11,EXP(-IRTree!AZ50*h)*AZ116,EXP(-IRTree!AZ50*h)*((BA49+BA50)/2+AZ116))))</f>
        <v/>
      </c>
      <c r="BA49" s="3" t="str">
        <f>IF(T&lt;=BA$11,"",IF($A49&gt;BA$12,"",IF(T=BB$11,EXP(-IRTree!BA50*h)*BA116,EXP(-IRTree!BA50*h)*((BB49+BB50)/2+BA116))))</f>
        <v/>
      </c>
      <c r="BB49" s="3" t="str">
        <f>IF(T&lt;=BB$11,"",IF($A49&gt;BB$12,"",IF(T=BC$11,EXP(-IRTree!BB50*h)*BB116,EXP(-IRTree!BB50*h)*((BC49+BC50)/2+BB116))))</f>
        <v/>
      </c>
      <c r="BC49" s="3" t="str">
        <f>IF(T&lt;=BC$11,"",IF($A49&gt;BC$12,"",IF(T=BD$11,EXP(-IRTree!BC50*h)*BC116,EXP(-IRTree!BC50*h)*((BD49+BD50)/2+BC116))))</f>
        <v/>
      </c>
      <c r="BD49" s="3" t="str">
        <f>IF(T&lt;=BD$11,"",IF($A49&gt;BD$12,"",IF(T=BE$11,EXP(-IRTree!BD50*h)*BD116,EXP(-IRTree!BD50*h)*((BE49+BE50)/2+BD116))))</f>
        <v/>
      </c>
      <c r="BE49" s="3" t="str">
        <f>IF(T&lt;=BE$11,"",IF($A49&gt;BE$12,"",IF(T=BF$11,EXP(-IRTree!BE50*h)*BE116,EXP(-IRTree!BE50*h)*((BF49+BF50)/2+BE116))))</f>
        <v/>
      </c>
      <c r="BF49" s="3" t="str">
        <f>IF(T&lt;=BF$11,"",IF($A49&gt;BF$12,"",IF(T=BG$11,EXP(-IRTree!BF50*h)*BF116,EXP(-IRTree!BF50*h)*((BG49+BG50)/2+BF116))))</f>
        <v/>
      </c>
      <c r="BG49" s="3" t="str">
        <f>IF(T&lt;=BG$11,"",IF($A49&gt;BG$12,"",IF(T=BH$11,EXP(-IRTree!BG50*h)*BG116,EXP(-IRTree!BG50*h)*((BH49+BH50)/2+BG116))))</f>
        <v/>
      </c>
      <c r="BH49" s="3" t="str">
        <f>IF(T&lt;=BH$11,"",IF($A49&gt;BH$12,"",IF(T=BI$11,EXP(-IRTree!BH50*h)*BH116,EXP(-IRTree!BH50*h)*((BI49+BI50)/2+BH116))))</f>
        <v/>
      </c>
      <c r="BI49" s="3" t="str">
        <f>IF(T&lt;=BI$11,"",IF($A49&gt;BI$12,"",IF(T=BJ$11,EXP(-IRTree!BI50*h)*BI116,EXP(-IRTree!BI50*h)*((BJ49+BJ50)/2+BI116))))</f>
        <v/>
      </c>
      <c r="BJ49" s="3" t="str">
        <f>IF(T&lt;=BJ$11,"",IF($A49&gt;BJ$12,"",IF(T=BK$11,EXP(-IRTree!BJ50*h)*BJ116,EXP(-IRTree!BJ50*h)*((BK49+BK50)/2+BJ116))))</f>
        <v/>
      </c>
    </row>
    <row r="50" spans="1:62">
      <c r="A50" s="12">
        <f t="shared" si="2"/>
        <v>37</v>
      </c>
      <c r="B50" s="3" t="str">
        <f>IF(T&lt;=B$11,"",IF($A50&gt;B$12,"",IF(T=C$11,EXP(-IRTree!B51*h)*B117,EXP(-IRTree!B51*h)*((C50+C51)/2+B117))))</f>
        <v/>
      </c>
      <c r="C50" s="3" t="str">
        <f>IF(T&lt;=C$11,"",IF($A50&gt;C$12,"",IF(T=D$11,EXP(-IRTree!C51*h)*C117,EXP(-IRTree!C51*h)*((D50+D51)/2+C117))))</f>
        <v/>
      </c>
      <c r="D50" s="3" t="str">
        <f>IF(T&lt;=D$11,"",IF($A50&gt;D$12,"",IF(T=E$11,EXP(-IRTree!D51*h)*D117,EXP(-IRTree!D51*h)*((E50+E51)/2+D117))))</f>
        <v/>
      </c>
      <c r="E50" s="3" t="str">
        <f>IF(T&lt;=E$11,"",IF($A50&gt;E$12,"",IF(T=F$11,EXP(-IRTree!E51*h)*E117,EXP(-IRTree!E51*h)*((F50+F51)/2+E117))))</f>
        <v/>
      </c>
      <c r="F50" s="3" t="str">
        <f>IF(T&lt;=F$11,"",IF($A50&gt;F$12,"",IF(T=G$11,EXP(-IRTree!F51*h)*F117,EXP(-IRTree!F51*h)*((G50+G51)/2+F117))))</f>
        <v/>
      </c>
      <c r="G50" s="3" t="str">
        <f>IF(T&lt;=G$11,"",IF($A50&gt;G$12,"",IF(T=H$11,EXP(-IRTree!G51*h)*G117,EXP(-IRTree!G51*h)*((H50+H51)/2+G117))))</f>
        <v/>
      </c>
      <c r="H50" s="3" t="str">
        <f>IF(T&lt;=H$11,"",IF($A50&gt;H$12,"",IF(T=I$11,EXP(-IRTree!H51*h)*H117,EXP(-IRTree!H51*h)*((I50+I51)/2+H117))))</f>
        <v/>
      </c>
      <c r="I50" s="3" t="str">
        <f>IF(T&lt;=I$11,"",IF($A50&gt;I$12,"",IF(T=J$11,EXP(-IRTree!I51*h)*I117,EXP(-IRTree!I51*h)*((J50+J51)/2+I117))))</f>
        <v/>
      </c>
      <c r="J50" s="3" t="str">
        <f>IF(T&lt;=J$11,"",IF($A50&gt;J$12,"",IF(T=K$11,EXP(-IRTree!J51*h)*J117,EXP(-IRTree!J51*h)*((K50+K51)/2+J117))))</f>
        <v/>
      </c>
      <c r="K50" s="3" t="str">
        <f>IF(T&lt;=K$11,"",IF($A50&gt;K$12,"",IF(T=L$11,EXP(-IRTree!K51*h)*K117,EXP(-IRTree!K51*h)*((L50+L51)/2+K117))))</f>
        <v/>
      </c>
      <c r="L50" s="3" t="str">
        <f>IF(T&lt;=L$11,"",IF($A50&gt;L$12,"",IF(T=M$11,EXP(-IRTree!L51*h)*L117,EXP(-IRTree!L51*h)*((M50+M51)/2+L117))))</f>
        <v/>
      </c>
      <c r="M50" s="3" t="str">
        <f>IF(T&lt;=M$11,"",IF($A50&gt;M$12,"",IF(T=N$11,EXP(-IRTree!M51*h)*M117,EXP(-IRTree!M51*h)*((N50+N51)/2+M117))))</f>
        <v/>
      </c>
      <c r="N50" s="3" t="str">
        <f>IF(T&lt;=N$11,"",IF($A50&gt;N$12,"",IF(T=O$11,EXP(-IRTree!N51*h)*N117,EXP(-IRTree!N51*h)*((O50+O51)/2+N117))))</f>
        <v/>
      </c>
      <c r="O50" s="3" t="str">
        <f>IF(T&lt;=O$11,"",IF($A50&gt;O$12,"",IF(T=P$11,EXP(-IRTree!O51*h)*O117,EXP(-IRTree!O51*h)*((P50+P51)/2+O117))))</f>
        <v/>
      </c>
      <c r="P50" s="3" t="str">
        <f>IF(T&lt;=P$11,"",IF($A50&gt;P$12,"",IF(T=Q$11,EXP(-IRTree!P51*h)*P117,EXP(-IRTree!P51*h)*((Q50+Q51)/2+P117))))</f>
        <v/>
      </c>
      <c r="Q50" s="3" t="str">
        <f>IF(T&lt;=Q$11,"",IF($A50&gt;Q$12,"",IF(T=R$11,EXP(-IRTree!Q51*h)*Q117,EXP(-IRTree!Q51*h)*((R50+R51)/2+Q117))))</f>
        <v/>
      </c>
      <c r="R50" s="3" t="str">
        <f>IF(T&lt;=R$11,"",IF($A50&gt;R$12,"",IF(T=S$11,EXP(-IRTree!R51*h)*R117,EXP(-IRTree!R51*h)*((S50+S51)/2+R117))))</f>
        <v/>
      </c>
      <c r="S50" s="3" t="str">
        <f>IF(T&lt;=S$11,"",IF($A50&gt;S$12,"",IF(T=T$11,EXP(-IRTree!S51*h)*S117,EXP(-IRTree!S51*h)*((T50+T51)/2+S117))))</f>
        <v/>
      </c>
      <c r="T50" s="3" t="str">
        <f>IF(T&lt;=T$11,"",IF($A50&gt;T$12,"",IF(T=U$11,EXP(-IRTree!T51*h)*T117,EXP(-IRTree!T51*h)*((U50+U51)/2+T117))))</f>
        <v/>
      </c>
      <c r="U50" s="3" t="str">
        <f>IF(T&lt;=U$11,"",IF($A50&gt;U$12,"",IF(T=V$11,EXP(-IRTree!U51*h)*U117,EXP(-IRTree!U51*h)*((V50+V51)/2+U117))))</f>
        <v/>
      </c>
      <c r="V50" s="3" t="str">
        <f>IF(T&lt;=V$11,"",IF($A50&gt;V$12,"",IF(T=W$11,EXP(-IRTree!V51*h)*V117,EXP(-IRTree!V51*h)*((W50+W51)/2+V117))))</f>
        <v/>
      </c>
      <c r="W50" s="3" t="str">
        <f>IF(T&lt;=W$11,"",IF($A50&gt;W$12,"",IF(T=X$11,EXP(-IRTree!W51*h)*W117,EXP(-IRTree!W51*h)*((X50+X51)/2+W117))))</f>
        <v/>
      </c>
      <c r="X50" s="3" t="str">
        <f>IF(T&lt;=X$11,"",IF($A50&gt;X$12,"",IF(T=Y$11,EXP(-IRTree!X51*h)*X117,EXP(-IRTree!X51*h)*((Y50+Y51)/2+X117))))</f>
        <v/>
      </c>
      <c r="Y50" s="3" t="str">
        <f>IF(T&lt;=Y$11,"",IF($A50&gt;Y$12,"",IF(T=Z$11,EXP(-IRTree!Y51*h)*Y117,EXP(-IRTree!Y51*h)*((Z50+Z51)/2+Y117))))</f>
        <v/>
      </c>
      <c r="Z50" s="3" t="str">
        <f>IF(T&lt;=Z$11,"",IF($A50&gt;Z$12,"",IF(T=AA$11,EXP(-IRTree!Z51*h)*Z117,EXP(-IRTree!Z51*h)*((AA50+AA51)/2+Z117))))</f>
        <v/>
      </c>
      <c r="AA50" s="3" t="str">
        <f>IF(T&lt;=AA$11,"",IF($A50&gt;AA$12,"",IF(T=AB$11,EXP(-IRTree!AA51*h)*AA117,EXP(-IRTree!AA51*h)*((AB50+AB51)/2+AA117))))</f>
        <v/>
      </c>
      <c r="AB50" s="3" t="str">
        <f>IF(T&lt;=AB$11,"",IF($A50&gt;AB$12,"",IF(T=AC$11,EXP(-IRTree!AB51*h)*AB117,EXP(-IRTree!AB51*h)*((AC50+AC51)/2+AB117))))</f>
        <v/>
      </c>
      <c r="AC50" s="3" t="str">
        <f>IF(T&lt;=AC$11,"",IF($A50&gt;AC$12,"",IF(T=AD$11,EXP(-IRTree!AC51*h)*AC117,EXP(-IRTree!AC51*h)*((AD50+AD51)/2+AC117))))</f>
        <v/>
      </c>
      <c r="AD50" s="3" t="str">
        <f>IF(T&lt;=AD$11,"",IF($A50&gt;AD$12,"",IF(T=AE$11,EXP(-IRTree!AD51*h)*AD117,EXP(-IRTree!AD51*h)*((AE50+AE51)/2+AD117))))</f>
        <v/>
      </c>
      <c r="AE50" s="3" t="str">
        <f>IF(T&lt;=AE$11,"",IF($A50&gt;AE$12,"",IF(T=AF$11,EXP(-IRTree!AE51*h)*AE117,EXP(-IRTree!AE51*h)*((AF50+AF51)/2+AE117))))</f>
        <v/>
      </c>
      <c r="AF50" s="3" t="str">
        <f>IF(T&lt;=AF$11,"",IF($A50&gt;AF$12,"",IF(T=AG$11,EXP(-IRTree!AF51*h)*AF117,EXP(-IRTree!AF51*h)*((AG50+AG51)/2+AF117))))</f>
        <v/>
      </c>
      <c r="AG50" s="3" t="str">
        <f>IF(T&lt;=AG$11,"",IF($A50&gt;AG$12,"",IF(T=AH$11,EXP(-IRTree!AG51*h)*AG117,EXP(-IRTree!AG51*h)*((AH50+AH51)/2+AG117))))</f>
        <v/>
      </c>
      <c r="AH50" s="3" t="str">
        <f>IF(T&lt;=AH$11,"",IF($A50&gt;AH$12,"",IF(T=AI$11,EXP(-IRTree!AH51*h)*AH117,EXP(-IRTree!AH51*h)*((AI50+AI51)/2+AH117))))</f>
        <v/>
      </c>
      <c r="AI50" s="3" t="str">
        <f>IF(T&lt;=AI$11,"",IF($A50&gt;AI$12,"",IF(T=AJ$11,EXP(-IRTree!AI51*h)*AI117,EXP(-IRTree!AI51*h)*((AJ50+AJ51)/2+AI117))))</f>
        <v/>
      </c>
      <c r="AJ50" s="3" t="str">
        <f>IF(T&lt;=AJ$11,"",IF($A50&gt;AJ$12,"",IF(T=AK$11,EXP(-IRTree!AJ51*h)*AJ117,EXP(-IRTree!AJ51*h)*((AK50+AK51)/2+AJ117))))</f>
        <v/>
      </c>
      <c r="AK50" s="3" t="str">
        <f>IF(T&lt;=AK$11,"",IF($A50&gt;AK$12,"",IF(T=AL$11,EXP(-IRTree!AK51*h)*AK117,EXP(-IRTree!AK51*h)*((AL50+AL51)/2+AK117))))</f>
        <v/>
      </c>
      <c r="AL50" s="3" t="str">
        <f>IF(T&lt;=AL$11,"",IF($A50&gt;AL$12,"",IF(T=AM$11,EXP(-IRTree!AL51*h)*AL117,EXP(-IRTree!AL51*h)*((AM50+AM51)/2+AL117))))</f>
        <v/>
      </c>
      <c r="AM50" s="3">
        <f>IF(T&lt;=AM$11,"",IF($A50&gt;AM$12,"",IF(T=AN$11,EXP(-IRTree!AM51*h)*AM117,EXP(-IRTree!AM51*h)*((AN50+AN51)/2+AM117))))</f>
        <v>0</v>
      </c>
      <c r="AN50" s="3">
        <f>IF(T&lt;=AN$11,"",IF($A50&gt;AN$12,"",IF(T=AO$11,EXP(-IRTree!AN51*h)*AN117,EXP(-IRTree!AN51*h)*((AO50+AO51)/2+AN117))))</f>
        <v>0</v>
      </c>
      <c r="AO50" s="3">
        <f>IF(T&lt;=AO$11,"",IF($A50&gt;AO$12,"",IF(T=AP$11,EXP(-IRTree!AO51*h)*AO117,EXP(-IRTree!AO51*h)*((AP50+AP51)/2+AO117))))</f>
        <v>0</v>
      </c>
      <c r="AP50" s="3" t="str">
        <f>IF(T&lt;=AP$11,"",IF($A50&gt;AP$12,"",IF(T=AQ$11,EXP(-IRTree!AP51*h)*AP117,EXP(-IRTree!AP51*h)*((AQ50+AQ51)/2+AP117))))</f>
        <v/>
      </c>
      <c r="AQ50" s="3" t="str">
        <f>IF(T&lt;=AQ$11,"",IF($A50&gt;AQ$12,"",IF(T=AR$11,EXP(-IRTree!AQ51*h)*AQ117,EXP(-IRTree!AQ51*h)*((AR50+AR51)/2+AQ117))))</f>
        <v/>
      </c>
      <c r="AR50" s="3" t="str">
        <f>IF(T&lt;=AR$11,"",IF($A50&gt;AR$12,"",IF(T=AS$11,EXP(-IRTree!AR51*h)*AR117,EXP(-IRTree!AR51*h)*((AS50+AS51)/2+AR117))))</f>
        <v/>
      </c>
      <c r="AS50" s="3" t="str">
        <f>IF(T&lt;=AS$11,"",IF($A50&gt;AS$12,"",IF(T=AT$11,EXP(-IRTree!AS51*h)*AS117,EXP(-IRTree!AS51*h)*((AT50+AT51)/2+AS117))))</f>
        <v/>
      </c>
      <c r="AT50" s="3" t="str">
        <f>IF(T&lt;=AT$11,"",IF($A50&gt;AT$12,"",IF(T=AU$11,EXP(-IRTree!AT51*h)*AT117,EXP(-IRTree!AT51*h)*((AU50+AU51)/2+AT117))))</f>
        <v/>
      </c>
      <c r="AU50" s="3" t="str">
        <f>IF(T&lt;=AU$11,"",IF($A50&gt;AU$12,"",IF(T=AV$11,EXP(-IRTree!AU51*h)*AU117,EXP(-IRTree!AU51*h)*((AV50+AV51)/2+AU117))))</f>
        <v/>
      </c>
      <c r="AV50" s="3" t="str">
        <f>IF(T&lt;=AV$11,"",IF($A50&gt;AV$12,"",IF(T=AW$11,EXP(-IRTree!AV51*h)*AV117,EXP(-IRTree!AV51*h)*((AW50+AW51)/2+AV117))))</f>
        <v/>
      </c>
      <c r="AW50" s="3" t="str">
        <f>IF(T&lt;=AW$11,"",IF($A50&gt;AW$12,"",IF(T=AX$11,EXP(-IRTree!AW51*h)*AW117,EXP(-IRTree!AW51*h)*((AX50+AX51)/2+AW117))))</f>
        <v/>
      </c>
      <c r="AX50" s="3" t="str">
        <f>IF(T&lt;=AX$11,"",IF($A50&gt;AX$12,"",IF(T=AY$11,EXP(-IRTree!AX51*h)*AX117,EXP(-IRTree!AX51*h)*((AY50+AY51)/2+AX117))))</f>
        <v/>
      </c>
      <c r="AY50" s="3" t="str">
        <f>IF(T&lt;=AY$11,"",IF($A50&gt;AY$12,"",IF(T=AZ$11,EXP(-IRTree!AY51*h)*AY117,EXP(-IRTree!AY51*h)*((AZ50+AZ51)/2+AY117))))</f>
        <v/>
      </c>
      <c r="AZ50" s="3" t="str">
        <f>IF(T&lt;=AZ$11,"",IF($A50&gt;AZ$12,"",IF(T=BA$11,EXP(-IRTree!AZ51*h)*AZ117,EXP(-IRTree!AZ51*h)*((BA50+BA51)/2+AZ117))))</f>
        <v/>
      </c>
      <c r="BA50" s="3" t="str">
        <f>IF(T&lt;=BA$11,"",IF($A50&gt;BA$12,"",IF(T=BB$11,EXP(-IRTree!BA51*h)*BA117,EXP(-IRTree!BA51*h)*((BB50+BB51)/2+BA117))))</f>
        <v/>
      </c>
      <c r="BB50" s="3" t="str">
        <f>IF(T&lt;=BB$11,"",IF($A50&gt;BB$12,"",IF(T=BC$11,EXP(-IRTree!BB51*h)*BB117,EXP(-IRTree!BB51*h)*((BC50+BC51)/2+BB117))))</f>
        <v/>
      </c>
      <c r="BC50" s="3" t="str">
        <f>IF(T&lt;=BC$11,"",IF($A50&gt;BC$12,"",IF(T=BD$11,EXP(-IRTree!BC51*h)*BC117,EXP(-IRTree!BC51*h)*((BD50+BD51)/2+BC117))))</f>
        <v/>
      </c>
      <c r="BD50" s="3" t="str">
        <f>IF(T&lt;=BD$11,"",IF($A50&gt;BD$12,"",IF(T=BE$11,EXP(-IRTree!BD51*h)*BD117,EXP(-IRTree!BD51*h)*((BE50+BE51)/2+BD117))))</f>
        <v/>
      </c>
      <c r="BE50" s="3" t="str">
        <f>IF(T&lt;=BE$11,"",IF($A50&gt;BE$12,"",IF(T=BF$11,EXP(-IRTree!BE51*h)*BE117,EXP(-IRTree!BE51*h)*((BF50+BF51)/2+BE117))))</f>
        <v/>
      </c>
      <c r="BF50" s="3" t="str">
        <f>IF(T&lt;=BF$11,"",IF($A50&gt;BF$12,"",IF(T=BG$11,EXP(-IRTree!BF51*h)*BF117,EXP(-IRTree!BF51*h)*((BG50+BG51)/2+BF117))))</f>
        <v/>
      </c>
      <c r="BG50" s="3" t="str">
        <f>IF(T&lt;=BG$11,"",IF($A50&gt;BG$12,"",IF(T=BH$11,EXP(-IRTree!BG51*h)*BG117,EXP(-IRTree!BG51*h)*((BH50+BH51)/2+BG117))))</f>
        <v/>
      </c>
      <c r="BH50" s="3" t="str">
        <f>IF(T&lt;=BH$11,"",IF($A50&gt;BH$12,"",IF(T=BI$11,EXP(-IRTree!BH51*h)*BH117,EXP(-IRTree!BH51*h)*((BI50+BI51)/2+BH117))))</f>
        <v/>
      </c>
      <c r="BI50" s="3" t="str">
        <f>IF(T&lt;=BI$11,"",IF($A50&gt;BI$12,"",IF(T=BJ$11,EXP(-IRTree!BI51*h)*BI117,EXP(-IRTree!BI51*h)*((BJ50+BJ51)/2+BI117))))</f>
        <v/>
      </c>
      <c r="BJ50" s="3" t="str">
        <f>IF(T&lt;=BJ$11,"",IF($A50&gt;BJ$12,"",IF(T=BK$11,EXP(-IRTree!BJ51*h)*BJ117,EXP(-IRTree!BJ51*h)*((BK50+BK51)/2+BJ117))))</f>
        <v/>
      </c>
    </row>
    <row r="51" spans="1:62">
      <c r="A51" s="12">
        <f t="shared" si="2"/>
        <v>38</v>
      </c>
      <c r="B51" s="3" t="str">
        <f>IF(T&lt;=B$11,"",IF($A51&gt;B$12,"",IF(T=C$11,EXP(-IRTree!B52*h)*B118,EXP(-IRTree!B52*h)*((C51+C52)/2+B118))))</f>
        <v/>
      </c>
      <c r="C51" s="3" t="str">
        <f>IF(T&lt;=C$11,"",IF($A51&gt;C$12,"",IF(T=D$11,EXP(-IRTree!C52*h)*C118,EXP(-IRTree!C52*h)*((D51+D52)/2+C118))))</f>
        <v/>
      </c>
      <c r="D51" s="3" t="str">
        <f>IF(T&lt;=D$11,"",IF($A51&gt;D$12,"",IF(T=E$11,EXP(-IRTree!D52*h)*D118,EXP(-IRTree!D52*h)*((E51+E52)/2+D118))))</f>
        <v/>
      </c>
      <c r="E51" s="3" t="str">
        <f>IF(T&lt;=E$11,"",IF($A51&gt;E$12,"",IF(T=F$11,EXP(-IRTree!E52*h)*E118,EXP(-IRTree!E52*h)*((F51+F52)/2+E118))))</f>
        <v/>
      </c>
      <c r="F51" s="3" t="str">
        <f>IF(T&lt;=F$11,"",IF($A51&gt;F$12,"",IF(T=G$11,EXP(-IRTree!F52*h)*F118,EXP(-IRTree!F52*h)*((G51+G52)/2+F118))))</f>
        <v/>
      </c>
      <c r="G51" s="3" t="str">
        <f>IF(T&lt;=G$11,"",IF($A51&gt;G$12,"",IF(T=H$11,EXP(-IRTree!G52*h)*G118,EXP(-IRTree!G52*h)*((H51+H52)/2+G118))))</f>
        <v/>
      </c>
      <c r="H51" s="3" t="str">
        <f>IF(T&lt;=H$11,"",IF($A51&gt;H$12,"",IF(T=I$11,EXP(-IRTree!H52*h)*H118,EXP(-IRTree!H52*h)*((I51+I52)/2+H118))))</f>
        <v/>
      </c>
      <c r="I51" s="3" t="str">
        <f>IF(T&lt;=I$11,"",IF($A51&gt;I$12,"",IF(T=J$11,EXP(-IRTree!I52*h)*I118,EXP(-IRTree!I52*h)*((J51+J52)/2+I118))))</f>
        <v/>
      </c>
      <c r="J51" s="3" t="str">
        <f>IF(T&lt;=J$11,"",IF($A51&gt;J$12,"",IF(T=K$11,EXP(-IRTree!J52*h)*J118,EXP(-IRTree!J52*h)*((K51+K52)/2+J118))))</f>
        <v/>
      </c>
      <c r="K51" s="3" t="str">
        <f>IF(T&lt;=K$11,"",IF($A51&gt;K$12,"",IF(T=L$11,EXP(-IRTree!K52*h)*K118,EXP(-IRTree!K52*h)*((L51+L52)/2+K118))))</f>
        <v/>
      </c>
      <c r="L51" s="3" t="str">
        <f>IF(T&lt;=L$11,"",IF($A51&gt;L$12,"",IF(T=M$11,EXP(-IRTree!L52*h)*L118,EXP(-IRTree!L52*h)*((M51+M52)/2+L118))))</f>
        <v/>
      </c>
      <c r="M51" s="3" t="str">
        <f>IF(T&lt;=M$11,"",IF($A51&gt;M$12,"",IF(T=N$11,EXP(-IRTree!M52*h)*M118,EXP(-IRTree!M52*h)*((N51+N52)/2+M118))))</f>
        <v/>
      </c>
      <c r="N51" s="3" t="str">
        <f>IF(T&lt;=N$11,"",IF($A51&gt;N$12,"",IF(T=O$11,EXP(-IRTree!N52*h)*N118,EXP(-IRTree!N52*h)*((O51+O52)/2+N118))))</f>
        <v/>
      </c>
      <c r="O51" s="3" t="str">
        <f>IF(T&lt;=O$11,"",IF($A51&gt;O$12,"",IF(T=P$11,EXP(-IRTree!O52*h)*O118,EXP(-IRTree!O52*h)*((P51+P52)/2+O118))))</f>
        <v/>
      </c>
      <c r="P51" s="3" t="str">
        <f>IF(T&lt;=P$11,"",IF($A51&gt;P$12,"",IF(T=Q$11,EXP(-IRTree!P52*h)*P118,EXP(-IRTree!P52*h)*((Q51+Q52)/2+P118))))</f>
        <v/>
      </c>
      <c r="Q51" s="3" t="str">
        <f>IF(T&lt;=Q$11,"",IF($A51&gt;Q$12,"",IF(T=R$11,EXP(-IRTree!Q52*h)*Q118,EXP(-IRTree!Q52*h)*((R51+R52)/2+Q118))))</f>
        <v/>
      </c>
      <c r="R51" s="3" t="str">
        <f>IF(T&lt;=R$11,"",IF($A51&gt;R$12,"",IF(T=S$11,EXP(-IRTree!R52*h)*R118,EXP(-IRTree!R52*h)*((S51+S52)/2+R118))))</f>
        <v/>
      </c>
      <c r="S51" s="3" t="str">
        <f>IF(T&lt;=S$11,"",IF($A51&gt;S$12,"",IF(T=T$11,EXP(-IRTree!S52*h)*S118,EXP(-IRTree!S52*h)*((T51+T52)/2+S118))))</f>
        <v/>
      </c>
      <c r="T51" s="3" t="str">
        <f>IF(T&lt;=T$11,"",IF($A51&gt;T$12,"",IF(T=U$11,EXP(-IRTree!T52*h)*T118,EXP(-IRTree!T52*h)*((U51+U52)/2+T118))))</f>
        <v/>
      </c>
      <c r="U51" s="3" t="str">
        <f>IF(T&lt;=U$11,"",IF($A51&gt;U$12,"",IF(T=V$11,EXP(-IRTree!U52*h)*U118,EXP(-IRTree!U52*h)*((V51+V52)/2+U118))))</f>
        <v/>
      </c>
      <c r="V51" s="3" t="str">
        <f>IF(T&lt;=V$11,"",IF($A51&gt;V$12,"",IF(T=W$11,EXP(-IRTree!V52*h)*V118,EXP(-IRTree!V52*h)*((W51+W52)/2+V118))))</f>
        <v/>
      </c>
      <c r="W51" s="3" t="str">
        <f>IF(T&lt;=W$11,"",IF($A51&gt;W$12,"",IF(T=X$11,EXP(-IRTree!W52*h)*W118,EXP(-IRTree!W52*h)*((X51+X52)/2+W118))))</f>
        <v/>
      </c>
      <c r="X51" s="3" t="str">
        <f>IF(T&lt;=X$11,"",IF($A51&gt;X$12,"",IF(T=Y$11,EXP(-IRTree!X52*h)*X118,EXP(-IRTree!X52*h)*((Y51+Y52)/2+X118))))</f>
        <v/>
      </c>
      <c r="Y51" s="3" t="str">
        <f>IF(T&lt;=Y$11,"",IF($A51&gt;Y$12,"",IF(T=Z$11,EXP(-IRTree!Y52*h)*Y118,EXP(-IRTree!Y52*h)*((Z51+Z52)/2+Y118))))</f>
        <v/>
      </c>
      <c r="Z51" s="3" t="str">
        <f>IF(T&lt;=Z$11,"",IF($A51&gt;Z$12,"",IF(T=AA$11,EXP(-IRTree!Z52*h)*Z118,EXP(-IRTree!Z52*h)*((AA51+AA52)/2+Z118))))</f>
        <v/>
      </c>
      <c r="AA51" s="3" t="str">
        <f>IF(T&lt;=AA$11,"",IF($A51&gt;AA$12,"",IF(T=AB$11,EXP(-IRTree!AA52*h)*AA118,EXP(-IRTree!AA52*h)*((AB51+AB52)/2+AA118))))</f>
        <v/>
      </c>
      <c r="AB51" s="3" t="str">
        <f>IF(T&lt;=AB$11,"",IF($A51&gt;AB$12,"",IF(T=AC$11,EXP(-IRTree!AB52*h)*AB118,EXP(-IRTree!AB52*h)*((AC51+AC52)/2+AB118))))</f>
        <v/>
      </c>
      <c r="AC51" s="3" t="str">
        <f>IF(T&lt;=AC$11,"",IF($A51&gt;AC$12,"",IF(T=AD$11,EXP(-IRTree!AC52*h)*AC118,EXP(-IRTree!AC52*h)*((AD51+AD52)/2+AC118))))</f>
        <v/>
      </c>
      <c r="AD51" s="3" t="str">
        <f>IF(T&lt;=AD$11,"",IF($A51&gt;AD$12,"",IF(T=AE$11,EXP(-IRTree!AD52*h)*AD118,EXP(-IRTree!AD52*h)*((AE51+AE52)/2+AD118))))</f>
        <v/>
      </c>
      <c r="AE51" s="3" t="str">
        <f>IF(T&lt;=AE$11,"",IF($A51&gt;AE$12,"",IF(T=AF$11,EXP(-IRTree!AE52*h)*AE118,EXP(-IRTree!AE52*h)*((AF51+AF52)/2+AE118))))</f>
        <v/>
      </c>
      <c r="AF51" s="3" t="str">
        <f>IF(T&lt;=AF$11,"",IF($A51&gt;AF$12,"",IF(T=AG$11,EXP(-IRTree!AF52*h)*AF118,EXP(-IRTree!AF52*h)*((AG51+AG52)/2+AF118))))</f>
        <v/>
      </c>
      <c r="AG51" s="3" t="str">
        <f>IF(T&lt;=AG$11,"",IF($A51&gt;AG$12,"",IF(T=AH$11,EXP(-IRTree!AG52*h)*AG118,EXP(-IRTree!AG52*h)*((AH51+AH52)/2+AG118))))</f>
        <v/>
      </c>
      <c r="AH51" s="3" t="str">
        <f>IF(T&lt;=AH$11,"",IF($A51&gt;AH$12,"",IF(T=AI$11,EXP(-IRTree!AH52*h)*AH118,EXP(-IRTree!AH52*h)*((AI51+AI52)/2+AH118))))</f>
        <v/>
      </c>
      <c r="AI51" s="3" t="str">
        <f>IF(T&lt;=AI$11,"",IF($A51&gt;AI$12,"",IF(T=AJ$11,EXP(-IRTree!AI52*h)*AI118,EXP(-IRTree!AI52*h)*((AJ51+AJ52)/2+AI118))))</f>
        <v/>
      </c>
      <c r="AJ51" s="3" t="str">
        <f>IF(T&lt;=AJ$11,"",IF($A51&gt;AJ$12,"",IF(T=AK$11,EXP(-IRTree!AJ52*h)*AJ118,EXP(-IRTree!AJ52*h)*((AK51+AK52)/2+AJ118))))</f>
        <v/>
      </c>
      <c r="AK51" s="3" t="str">
        <f>IF(T&lt;=AK$11,"",IF($A51&gt;AK$12,"",IF(T=AL$11,EXP(-IRTree!AK52*h)*AK118,EXP(-IRTree!AK52*h)*((AL51+AL52)/2+AK118))))</f>
        <v/>
      </c>
      <c r="AL51" s="3" t="str">
        <f>IF(T&lt;=AL$11,"",IF($A51&gt;AL$12,"",IF(T=AM$11,EXP(-IRTree!AL52*h)*AL118,EXP(-IRTree!AL52*h)*((AM51+AM52)/2+AL118))))</f>
        <v/>
      </c>
      <c r="AM51" s="3" t="str">
        <f>IF(T&lt;=AM$11,"",IF($A51&gt;AM$12,"",IF(T=AN$11,EXP(-IRTree!AM52*h)*AM118,EXP(-IRTree!AM52*h)*((AN51+AN52)/2+AM118))))</f>
        <v/>
      </c>
      <c r="AN51" s="3">
        <f>IF(T&lt;=AN$11,"",IF($A51&gt;AN$12,"",IF(T=AO$11,EXP(-IRTree!AN52*h)*AN118,EXP(-IRTree!AN52*h)*((AO51+AO52)/2+AN118))))</f>
        <v>0</v>
      </c>
      <c r="AO51" s="3">
        <f>IF(T&lt;=AO$11,"",IF($A51&gt;AO$12,"",IF(T=AP$11,EXP(-IRTree!AO52*h)*AO118,EXP(-IRTree!AO52*h)*((AP51+AP52)/2+AO118))))</f>
        <v>0</v>
      </c>
      <c r="AP51" s="3" t="str">
        <f>IF(T&lt;=AP$11,"",IF($A51&gt;AP$12,"",IF(T=AQ$11,EXP(-IRTree!AP52*h)*AP118,EXP(-IRTree!AP52*h)*((AQ51+AQ52)/2+AP118))))</f>
        <v/>
      </c>
      <c r="AQ51" s="3" t="str">
        <f>IF(T&lt;=AQ$11,"",IF($A51&gt;AQ$12,"",IF(T=AR$11,EXP(-IRTree!AQ52*h)*AQ118,EXP(-IRTree!AQ52*h)*((AR51+AR52)/2+AQ118))))</f>
        <v/>
      </c>
      <c r="AR51" s="3" t="str">
        <f>IF(T&lt;=AR$11,"",IF($A51&gt;AR$12,"",IF(T=AS$11,EXP(-IRTree!AR52*h)*AR118,EXP(-IRTree!AR52*h)*((AS51+AS52)/2+AR118))))</f>
        <v/>
      </c>
      <c r="AS51" s="3" t="str">
        <f>IF(T&lt;=AS$11,"",IF($A51&gt;AS$12,"",IF(T=AT$11,EXP(-IRTree!AS52*h)*AS118,EXP(-IRTree!AS52*h)*((AT51+AT52)/2+AS118))))</f>
        <v/>
      </c>
      <c r="AT51" s="3" t="str">
        <f>IF(T&lt;=AT$11,"",IF($A51&gt;AT$12,"",IF(T=AU$11,EXP(-IRTree!AT52*h)*AT118,EXP(-IRTree!AT52*h)*((AU51+AU52)/2+AT118))))</f>
        <v/>
      </c>
      <c r="AU51" s="3" t="str">
        <f>IF(T&lt;=AU$11,"",IF($A51&gt;AU$12,"",IF(T=AV$11,EXP(-IRTree!AU52*h)*AU118,EXP(-IRTree!AU52*h)*((AV51+AV52)/2+AU118))))</f>
        <v/>
      </c>
      <c r="AV51" s="3" t="str">
        <f>IF(T&lt;=AV$11,"",IF($A51&gt;AV$12,"",IF(T=AW$11,EXP(-IRTree!AV52*h)*AV118,EXP(-IRTree!AV52*h)*((AW51+AW52)/2+AV118))))</f>
        <v/>
      </c>
      <c r="AW51" s="3" t="str">
        <f>IF(T&lt;=AW$11,"",IF($A51&gt;AW$12,"",IF(T=AX$11,EXP(-IRTree!AW52*h)*AW118,EXP(-IRTree!AW52*h)*((AX51+AX52)/2+AW118))))</f>
        <v/>
      </c>
      <c r="AX51" s="3" t="str">
        <f>IF(T&lt;=AX$11,"",IF($A51&gt;AX$12,"",IF(T=AY$11,EXP(-IRTree!AX52*h)*AX118,EXP(-IRTree!AX52*h)*((AY51+AY52)/2+AX118))))</f>
        <v/>
      </c>
      <c r="AY51" s="3" t="str">
        <f>IF(T&lt;=AY$11,"",IF($A51&gt;AY$12,"",IF(T=AZ$11,EXP(-IRTree!AY52*h)*AY118,EXP(-IRTree!AY52*h)*((AZ51+AZ52)/2+AY118))))</f>
        <v/>
      </c>
      <c r="AZ51" s="3" t="str">
        <f>IF(T&lt;=AZ$11,"",IF($A51&gt;AZ$12,"",IF(T=BA$11,EXP(-IRTree!AZ52*h)*AZ118,EXP(-IRTree!AZ52*h)*((BA51+BA52)/2+AZ118))))</f>
        <v/>
      </c>
      <c r="BA51" s="3" t="str">
        <f>IF(T&lt;=BA$11,"",IF($A51&gt;BA$12,"",IF(T=BB$11,EXP(-IRTree!BA52*h)*BA118,EXP(-IRTree!BA52*h)*((BB51+BB52)/2+BA118))))</f>
        <v/>
      </c>
      <c r="BB51" s="3" t="str">
        <f>IF(T&lt;=BB$11,"",IF($A51&gt;BB$12,"",IF(T=BC$11,EXP(-IRTree!BB52*h)*BB118,EXP(-IRTree!BB52*h)*((BC51+BC52)/2+BB118))))</f>
        <v/>
      </c>
      <c r="BC51" s="3" t="str">
        <f>IF(T&lt;=BC$11,"",IF($A51&gt;BC$12,"",IF(T=BD$11,EXP(-IRTree!BC52*h)*BC118,EXP(-IRTree!BC52*h)*((BD51+BD52)/2+BC118))))</f>
        <v/>
      </c>
      <c r="BD51" s="3" t="str">
        <f>IF(T&lt;=BD$11,"",IF($A51&gt;BD$12,"",IF(T=BE$11,EXP(-IRTree!BD52*h)*BD118,EXP(-IRTree!BD52*h)*((BE51+BE52)/2+BD118))))</f>
        <v/>
      </c>
      <c r="BE51" s="3" t="str">
        <f>IF(T&lt;=BE$11,"",IF($A51&gt;BE$12,"",IF(T=BF$11,EXP(-IRTree!BE52*h)*BE118,EXP(-IRTree!BE52*h)*((BF51+BF52)/2+BE118))))</f>
        <v/>
      </c>
      <c r="BF51" s="3" t="str">
        <f>IF(T&lt;=BF$11,"",IF($A51&gt;BF$12,"",IF(T=BG$11,EXP(-IRTree!BF52*h)*BF118,EXP(-IRTree!BF52*h)*((BG51+BG52)/2+BF118))))</f>
        <v/>
      </c>
      <c r="BG51" s="3" t="str">
        <f>IF(T&lt;=BG$11,"",IF($A51&gt;BG$12,"",IF(T=BH$11,EXP(-IRTree!BG52*h)*BG118,EXP(-IRTree!BG52*h)*((BH51+BH52)/2+BG118))))</f>
        <v/>
      </c>
      <c r="BH51" s="3" t="str">
        <f>IF(T&lt;=BH$11,"",IF($A51&gt;BH$12,"",IF(T=BI$11,EXP(-IRTree!BH52*h)*BH118,EXP(-IRTree!BH52*h)*((BI51+BI52)/2+BH118))))</f>
        <v/>
      </c>
      <c r="BI51" s="3" t="str">
        <f>IF(T&lt;=BI$11,"",IF($A51&gt;BI$12,"",IF(T=BJ$11,EXP(-IRTree!BI52*h)*BI118,EXP(-IRTree!BI52*h)*((BJ51+BJ52)/2+BI118))))</f>
        <v/>
      </c>
      <c r="BJ51" s="3" t="str">
        <f>IF(T&lt;=BJ$11,"",IF($A51&gt;BJ$12,"",IF(T=BK$11,EXP(-IRTree!BJ52*h)*BJ118,EXP(-IRTree!BJ52*h)*((BK51+BK52)/2+BJ118))))</f>
        <v/>
      </c>
    </row>
    <row r="52" spans="1:62">
      <c r="A52" s="12">
        <f t="shared" si="2"/>
        <v>39</v>
      </c>
      <c r="B52" s="3" t="str">
        <f>IF(T&lt;=B$11,"",IF($A52&gt;B$12,"",IF(T=C$11,EXP(-IRTree!B53*h)*B119,EXP(-IRTree!B53*h)*((C52+C53)/2+B119))))</f>
        <v/>
      </c>
      <c r="C52" s="3" t="str">
        <f>IF(T&lt;=C$11,"",IF($A52&gt;C$12,"",IF(T=D$11,EXP(-IRTree!C53*h)*C119,EXP(-IRTree!C53*h)*((D52+D53)/2+C119))))</f>
        <v/>
      </c>
      <c r="D52" s="3" t="str">
        <f>IF(T&lt;=D$11,"",IF($A52&gt;D$12,"",IF(T=E$11,EXP(-IRTree!D53*h)*D119,EXP(-IRTree!D53*h)*((E52+E53)/2+D119))))</f>
        <v/>
      </c>
      <c r="E52" s="3" t="str">
        <f>IF(T&lt;=E$11,"",IF($A52&gt;E$12,"",IF(T=F$11,EXP(-IRTree!E53*h)*E119,EXP(-IRTree!E53*h)*((F52+F53)/2+E119))))</f>
        <v/>
      </c>
      <c r="F52" s="3" t="str">
        <f>IF(T&lt;=F$11,"",IF($A52&gt;F$12,"",IF(T=G$11,EXP(-IRTree!F53*h)*F119,EXP(-IRTree!F53*h)*((G52+G53)/2+F119))))</f>
        <v/>
      </c>
      <c r="G52" s="3" t="str">
        <f>IF(T&lt;=G$11,"",IF($A52&gt;G$12,"",IF(T=H$11,EXP(-IRTree!G53*h)*G119,EXP(-IRTree!G53*h)*((H52+H53)/2+G119))))</f>
        <v/>
      </c>
      <c r="H52" s="3" t="str">
        <f>IF(T&lt;=H$11,"",IF($A52&gt;H$12,"",IF(T=I$11,EXP(-IRTree!H53*h)*H119,EXP(-IRTree!H53*h)*((I52+I53)/2+H119))))</f>
        <v/>
      </c>
      <c r="I52" s="3" t="str">
        <f>IF(T&lt;=I$11,"",IF($A52&gt;I$12,"",IF(T=J$11,EXP(-IRTree!I53*h)*I119,EXP(-IRTree!I53*h)*((J52+J53)/2+I119))))</f>
        <v/>
      </c>
      <c r="J52" s="3" t="str">
        <f>IF(T&lt;=J$11,"",IF($A52&gt;J$12,"",IF(T=K$11,EXP(-IRTree!J53*h)*J119,EXP(-IRTree!J53*h)*((K52+K53)/2+J119))))</f>
        <v/>
      </c>
      <c r="K52" s="3" t="str">
        <f>IF(T&lt;=K$11,"",IF($A52&gt;K$12,"",IF(T=L$11,EXP(-IRTree!K53*h)*K119,EXP(-IRTree!K53*h)*((L52+L53)/2+K119))))</f>
        <v/>
      </c>
      <c r="L52" s="3" t="str">
        <f>IF(T&lt;=L$11,"",IF($A52&gt;L$12,"",IF(T=M$11,EXP(-IRTree!L53*h)*L119,EXP(-IRTree!L53*h)*((M52+M53)/2+L119))))</f>
        <v/>
      </c>
      <c r="M52" s="3" t="str">
        <f>IF(T&lt;=M$11,"",IF($A52&gt;M$12,"",IF(T=N$11,EXP(-IRTree!M53*h)*M119,EXP(-IRTree!M53*h)*((N52+N53)/2+M119))))</f>
        <v/>
      </c>
      <c r="N52" s="3" t="str">
        <f>IF(T&lt;=N$11,"",IF($A52&gt;N$12,"",IF(T=O$11,EXP(-IRTree!N53*h)*N119,EXP(-IRTree!N53*h)*((O52+O53)/2+N119))))</f>
        <v/>
      </c>
      <c r="O52" s="3" t="str">
        <f>IF(T&lt;=O$11,"",IF($A52&gt;O$12,"",IF(T=P$11,EXP(-IRTree!O53*h)*O119,EXP(-IRTree!O53*h)*((P52+P53)/2+O119))))</f>
        <v/>
      </c>
      <c r="P52" s="3" t="str">
        <f>IF(T&lt;=P$11,"",IF($A52&gt;P$12,"",IF(T=Q$11,EXP(-IRTree!P53*h)*P119,EXP(-IRTree!P53*h)*((Q52+Q53)/2+P119))))</f>
        <v/>
      </c>
      <c r="Q52" s="3" t="str">
        <f>IF(T&lt;=Q$11,"",IF($A52&gt;Q$12,"",IF(T=R$11,EXP(-IRTree!Q53*h)*Q119,EXP(-IRTree!Q53*h)*((R52+R53)/2+Q119))))</f>
        <v/>
      </c>
      <c r="R52" s="3" t="str">
        <f>IF(T&lt;=R$11,"",IF($A52&gt;R$12,"",IF(T=S$11,EXP(-IRTree!R53*h)*R119,EXP(-IRTree!R53*h)*((S52+S53)/2+R119))))</f>
        <v/>
      </c>
      <c r="S52" s="3" t="str">
        <f>IF(T&lt;=S$11,"",IF($A52&gt;S$12,"",IF(T=T$11,EXP(-IRTree!S53*h)*S119,EXP(-IRTree!S53*h)*((T52+T53)/2+S119))))</f>
        <v/>
      </c>
      <c r="T52" s="3" t="str">
        <f>IF(T&lt;=T$11,"",IF($A52&gt;T$12,"",IF(T=U$11,EXP(-IRTree!T53*h)*T119,EXP(-IRTree!T53*h)*((U52+U53)/2+T119))))</f>
        <v/>
      </c>
      <c r="U52" s="3" t="str">
        <f>IF(T&lt;=U$11,"",IF($A52&gt;U$12,"",IF(T=V$11,EXP(-IRTree!U53*h)*U119,EXP(-IRTree!U53*h)*((V52+V53)/2+U119))))</f>
        <v/>
      </c>
      <c r="V52" s="3" t="str">
        <f>IF(T&lt;=V$11,"",IF($A52&gt;V$12,"",IF(T=W$11,EXP(-IRTree!V53*h)*V119,EXP(-IRTree!V53*h)*((W52+W53)/2+V119))))</f>
        <v/>
      </c>
      <c r="W52" s="3" t="str">
        <f>IF(T&lt;=W$11,"",IF($A52&gt;W$12,"",IF(T=X$11,EXP(-IRTree!W53*h)*W119,EXP(-IRTree!W53*h)*((X52+X53)/2+W119))))</f>
        <v/>
      </c>
      <c r="X52" s="3" t="str">
        <f>IF(T&lt;=X$11,"",IF($A52&gt;X$12,"",IF(T=Y$11,EXP(-IRTree!X53*h)*X119,EXP(-IRTree!X53*h)*((Y52+Y53)/2+X119))))</f>
        <v/>
      </c>
      <c r="Y52" s="3" t="str">
        <f>IF(T&lt;=Y$11,"",IF($A52&gt;Y$12,"",IF(T=Z$11,EXP(-IRTree!Y53*h)*Y119,EXP(-IRTree!Y53*h)*((Z52+Z53)/2+Y119))))</f>
        <v/>
      </c>
      <c r="Z52" s="3" t="str">
        <f>IF(T&lt;=Z$11,"",IF($A52&gt;Z$12,"",IF(T=AA$11,EXP(-IRTree!Z53*h)*Z119,EXP(-IRTree!Z53*h)*((AA52+AA53)/2+Z119))))</f>
        <v/>
      </c>
      <c r="AA52" s="3" t="str">
        <f>IF(T&lt;=AA$11,"",IF($A52&gt;AA$12,"",IF(T=AB$11,EXP(-IRTree!AA53*h)*AA119,EXP(-IRTree!AA53*h)*((AB52+AB53)/2+AA119))))</f>
        <v/>
      </c>
      <c r="AB52" s="3" t="str">
        <f>IF(T&lt;=AB$11,"",IF($A52&gt;AB$12,"",IF(T=AC$11,EXP(-IRTree!AB53*h)*AB119,EXP(-IRTree!AB53*h)*((AC52+AC53)/2+AB119))))</f>
        <v/>
      </c>
      <c r="AC52" s="3" t="str">
        <f>IF(T&lt;=AC$11,"",IF($A52&gt;AC$12,"",IF(T=AD$11,EXP(-IRTree!AC53*h)*AC119,EXP(-IRTree!AC53*h)*((AD52+AD53)/2+AC119))))</f>
        <v/>
      </c>
      <c r="AD52" s="3" t="str">
        <f>IF(T&lt;=AD$11,"",IF($A52&gt;AD$12,"",IF(T=AE$11,EXP(-IRTree!AD53*h)*AD119,EXP(-IRTree!AD53*h)*((AE52+AE53)/2+AD119))))</f>
        <v/>
      </c>
      <c r="AE52" s="3" t="str">
        <f>IF(T&lt;=AE$11,"",IF($A52&gt;AE$12,"",IF(T=AF$11,EXP(-IRTree!AE53*h)*AE119,EXP(-IRTree!AE53*h)*((AF52+AF53)/2+AE119))))</f>
        <v/>
      </c>
      <c r="AF52" s="3" t="str">
        <f>IF(T&lt;=AF$11,"",IF($A52&gt;AF$12,"",IF(T=AG$11,EXP(-IRTree!AF53*h)*AF119,EXP(-IRTree!AF53*h)*((AG52+AG53)/2+AF119))))</f>
        <v/>
      </c>
      <c r="AG52" s="3" t="str">
        <f>IF(T&lt;=AG$11,"",IF($A52&gt;AG$12,"",IF(T=AH$11,EXP(-IRTree!AG53*h)*AG119,EXP(-IRTree!AG53*h)*((AH52+AH53)/2+AG119))))</f>
        <v/>
      </c>
      <c r="AH52" s="3" t="str">
        <f>IF(T&lt;=AH$11,"",IF($A52&gt;AH$12,"",IF(T=AI$11,EXP(-IRTree!AH53*h)*AH119,EXP(-IRTree!AH53*h)*((AI52+AI53)/2+AH119))))</f>
        <v/>
      </c>
      <c r="AI52" s="3" t="str">
        <f>IF(T&lt;=AI$11,"",IF($A52&gt;AI$12,"",IF(T=AJ$11,EXP(-IRTree!AI53*h)*AI119,EXP(-IRTree!AI53*h)*((AJ52+AJ53)/2+AI119))))</f>
        <v/>
      </c>
      <c r="AJ52" s="3" t="str">
        <f>IF(T&lt;=AJ$11,"",IF($A52&gt;AJ$12,"",IF(T=AK$11,EXP(-IRTree!AJ53*h)*AJ119,EXP(-IRTree!AJ53*h)*((AK52+AK53)/2+AJ119))))</f>
        <v/>
      </c>
      <c r="AK52" s="3" t="str">
        <f>IF(T&lt;=AK$11,"",IF($A52&gt;AK$12,"",IF(T=AL$11,EXP(-IRTree!AK53*h)*AK119,EXP(-IRTree!AK53*h)*((AL52+AL53)/2+AK119))))</f>
        <v/>
      </c>
      <c r="AL52" s="3" t="str">
        <f>IF(T&lt;=AL$11,"",IF($A52&gt;AL$12,"",IF(T=AM$11,EXP(-IRTree!AL53*h)*AL119,EXP(-IRTree!AL53*h)*((AM52+AM53)/2+AL119))))</f>
        <v/>
      </c>
      <c r="AM52" s="3" t="str">
        <f>IF(T&lt;=AM$11,"",IF($A52&gt;AM$12,"",IF(T=AN$11,EXP(-IRTree!AM53*h)*AM119,EXP(-IRTree!AM53*h)*((AN52+AN53)/2+AM119))))</f>
        <v/>
      </c>
      <c r="AN52" s="3" t="str">
        <f>IF(T&lt;=AN$11,"",IF($A52&gt;AN$12,"",IF(T=AO$11,EXP(-IRTree!AN53*h)*AN119,EXP(-IRTree!AN53*h)*((AO52+AO53)/2+AN119))))</f>
        <v/>
      </c>
      <c r="AO52" s="3">
        <f>IF(T&lt;=AO$11,"",IF($A52&gt;AO$12,"",IF(T=AP$11,EXP(-IRTree!AO53*h)*AO119,EXP(-IRTree!AO53*h)*((AP52+AP53)/2+AO119))))</f>
        <v>0</v>
      </c>
      <c r="AP52" s="3" t="str">
        <f>IF(T&lt;=AP$11,"",IF($A52&gt;AP$12,"",IF(T=AQ$11,EXP(-IRTree!AP53*h)*AP119,EXP(-IRTree!AP53*h)*((AQ52+AQ53)/2+AP119))))</f>
        <v/>
      </c>
      <c r="AQ52" s="3" t="str">
        <f>IF(T&lt;=AQ$11,"",IF($A52&gt;AQ$12,"",IF(T=AR$11,EXP(-IRTree!AQ53*h)*AQ119,EXP(-IRTree!AQ53*h)*((AR52+AR53)/2+AQ119))))</f>
        <v/>
      </c>
      <c r="AR52" s="3" t="str">
        <f>IF(T&lt;=AR$11,"",IF($A52&gt;AR$12,"",IF(T=AS$11,EXP(-IRTree!AR53*h)*AR119,EXP(-IRTree!AR53*h)*((AS52+AS53)/2+AR119))))</f>
        <v/>
      </c>
      <c r="AS52" s="3" t="str">
        <f>IF(T&lt;=AS$11,"",IF($A52&gt;AS$12,"",IF(T=AT$11,EXP(-IRTree!AS53*h)*AS119,EXP(-IRTree!AS53*h)*((AT52+AT53)/2+AS119))))</f>
        <v/>
      </c>
      <c r="AT52" s="3" t="str">
        <f>IF(T&lt;=AT$11,"",IF($A52&gt;AT$12,"",IF(T=AU$11,EXP(-IRTree!AT53*h)*AT119,EXP(-IRTree!AT53*h)*((AU52+AU53)/2+AT119))))</f>
        <v/>
      </c>
      <c r="AU52" s="3" t="str">
        <f>IF(T&lt;=AU$11,"",IF($A52&gt;AU$12,"",IF(T=AV$11,EXP(-IRTree!AU53*h)*AU119,EXP(-IRTree!AU53*h)*((AV52+AV53)/2+AU119))))</f>
        <v/>
      </c>
      <c r="AV52" s="3" t="str">
        <f>IF(T&lt;=AV$11,"",IF($A52&gt;AV$12,"",IF(T=AW$11,EXP(-IRTree!AV53*h)*AV119,EXP(-IRTree!AV53*h)*((AW52+AW53)/2+AV119))))</f>
        <v/>
      </c>
      <c r="AW52" s="3" t="str">
        <f>IF(T&lt;=AW$11,"",IF($A52&gt;AW$12,"",IF(T=AX$11,EXP(-IRTree!AW53*h)*AW119,EXP(-IRTree!AW53*h)*((AX52+AX53)/2+AW119))))</f>
        <v/>
      </c>
      <c r="AX52" s="3" t="str">
        <f>IF(T&lt;=AX$11,"",IF($A52&gt;AX$12,"",IF(T=AY$11,EXP(-IRTree!AX53*h)*AX119,EXP(-IRTree!AX53*h)*((AY52+AY53)/2+AX119))))</f>
        <v/>
      </c>
      <c r="AY52" s="3" t="str">
        <f>IF(T&lt;=AY$11,"",IF($A52&gt;AY$12,"",IF(T=AZ$11,EXP(-IRTree!AY53*h)*AY119,EXP(-IRTree!AY53*h)*((AZ52+AZ53)/2+AY119))))</f>
        <v/>
      </c>
      <c r="AZ52" s="3" t="str">
        <f>IF(T&lt;=AZ$11,"",IF($A52&gt;AZ$12,"",IF(T=BA$11,EXP(-IRTree!AZ53*h)*AZ119,EXP(-IRTree!AZ53*h)*((BA52+BA53)/2+AZ119))))</f>
        <v/>
      </c>
      <c r="BA52" s="3" t="str">
        <f>IF(T&lt;=BA$11,"",IF($A52&gt;BA$12,"",IF(T=BB$11,EXP(-IRTree!BA53*h)*BA119,EXP(-IRTree!BA53*h)*((BB52+BB53)/2+BA119))))</f>
        <v/>
      </c>
      <c r="BB52" s="3" t="str">
        <f>IF(T&lt;=BB$11,"",IF($A52&gt;BB$12,"",IF(T=BC$11,EXP(-IRTree!BB53*h)*BB119,EXP(-IRTree!BB53*h)*((BC52+BC53)/2+BB119))))</f>
        <v/>
      </c>
      <c r="BC52" s="3" t="str">
        <f>IF(T&lt;=BC$11,"",IF($A52&gt;BC$12,"",IF(T=BD$11,EXP(-IRTree!BC53*h)*BC119,EXP(-IRTree!BC53*h)*((BD52+BD53)/2+BC119))))</f>
        <v/>
      </c>
      <c r="BD52" s="3" t="str">
        <f>IF(T&lt;=BD$11,"",IF($A52&gt;BD$12,"",IF(T=BE$11,EXP(-IRTree!BD53*h)*BD119,EXP(-IRTree!BD53*h)*((BE52+BE53)/2+BD119))))</f>
        <v/>
      </c>
      <c r="BE52" s="3" t="str">
        <f>IF(T&lt;=BE$11,"",IF($A52&gt;BE$12,"",IF(T=BF$11,EXP(-IRTree!BE53*h)*BE119,EXP(-IRTree!BE53*h)*((BF52+BF53)/2+BE119))))</f>
        <v/>
      </c>
      <c r="BF52" s="3" t="str">
        <f>IF(T&lt;=BF$11,"",IF($A52&gt;BF$12,"",IF(T=BG$11,EXP(-IRTree!BF53*h)*BF119,EXP(-IRTree!BF53*h)*((BG52+BG53)/2+BF119))))</f>
        <v/>
      </c>
      <c r="BG52" s="3" t="str">
        <f>IF(T&lt;=BG$11,"",IF($A52&gt;BG$12,"",IF(T=BH$11,EXP(-IRTree!BG53*h)*BG119,EXP(-IRTree!BG53*h)*((BH52+BH53)/2+BG119))))</f>
        <v/>
      </c>
      <c r="BH52" s="3" t="str">
        <f>IF(T&lt;=BH$11,"",IF($A52&gt;BH$12,"",IF(T=BI$11,EXP(-IRTree!BH53*h)*BH119,EXP(-IRTree!BH53*h)*((BI52+BI53)/2+BH119))))</f>
        <v/>
      </c>
      <c r="BI52" s="3" t="str">
        <f>IF(T&lt;=BI$11,"",IF($A52&gt;BI$12,"",IF(T=BJ$11,EXP(-IRTree!BI53*h)*BI119,EXP(-IRTree!BI53*h)*((BJ52+BJ53)/2+BI119))))</f>
        <v/>
      </c>
      <c r="BJ52" s="3" t="str">
        <f>IF(T&lt;=BJ$11,"",IF($A52&gt;BJ$12,"",IF(T=BK$11,EXP(-IRTree!BJ53*h)*BJ119,EXP(-IRTree!BJ53*h)*((BK52+BK53)/2+BJ119))))</f>
        <v/>
      </c>
    </row>
    <row r="53" spans="1:62">
      <c r="A53" s="12">
        <f t="shared" si="2"/>
        <v>40</v>
      </c>
      <c r="B53" s="3" t="str">
        <f>IF(T&lt;=B$11,"",IF($A53&gt;B$12,"",IF(T=C$11,EXP(-IRTree!B54*h)*B120,EXP(-IRTree!B54*h)*((C53+C54)/2+B120))))</f>
        <v/>
      </c>
      <c r="C53" s="3" t="str">
        <f>IF(T&lt;=C$11,"",IF($A53&gt;C$12,"",IF(T=D$11,EXP(-IRTree!C54*h)*C120,EXP(-IRTree!C54*h)*((D53+D54)/2+C120))))</f>
        <v/>
      </c>
      <c r="D53" s="3" t="str">
        <f>IF(T&lt;=D$11,"",IF($A53&gt;D$12,"",IF(T=E$11,EXP(-IRTree!D54*h)*D120,EXP(-IRTree!D54*h)*((E53+E54)/2+D120))))</f>
        <v/>
      </c>
      <c r="E53" s="3" t="str">
        <f>IF(T&lt;=E$11,"",IF($A53&gt;E$12,"",IF(T=F$11,EXP(-IRTree!E54*h)*E120,EXP(-IRTree!E54*h)*((F53+F54)/2+E120))))</f>
        <v/>
      </c>
      <c r="F53" s="3" t="str">
        <f>IF(T&lt;=F$11,"",IF($A53&gt;F$12,"",IF(T=G$11,EXP(-IRTree!F54*h)*F120,EXP(-IRTree!F54*h)*((G53+G54)/2+F120))))</f>
        <v/>
      </c>
      <c r="G53" s="3" t="str">
        <f>IF(T&lt;=G$11,"",IF($A53&gt;G$12,"",IF(T=H$11,EXP(-IRTree!G54*h)*G120,EXP(-IRTree!G54*h)*((H53+H54)/2+G120))))</f>
        <v/>
      </c>
      <c r="H53" s="3" t="str">
        <f>IF(T&lt;=H$11,"",IF($A53&gt;H$12,"",IF(T=I$11,EXP(-IRTree!H54*h)*H120,EXP(-IRTree!H54*h)*((I53+I54)/2+H120))))</f>
        <v/>
      </c>
      <c r="I53" s="3" t="str">
        <f>IF(T&lt;=I$11,"",IF($A53&gt;I$12,"",IF(T=J$11,EXP(-IRTree!I54*h)*I120,EXP(-IRTree!I54*h)*((J53+J54)/2+I120))))</f>
        <v/>
      </c>
      <c r="J53" s="3" t="str">
        <f>IF(T&lt;=J$11,"",IF($A53&gt;J$12,"",IF(T=K$11,EXP(-IRTree!J54*h)*J120,EXP(-IRTree!J54*h)*((K53+K54)/2+J120))))</f>
        <v/>
      </c>
      <c r="K53" s="3" t="str">
        <f>IF(T&lt;=K$11,"",IF($A53&gt;K$12,"",IF(T=L$11,EXP(-IRTree!K54*h)*K120,EXP(-IRTree!K54*h)*((L53+L54)/2+K120))))</f>
        <v/>
      </c>
      <c r="L53" s="3" t="str">
        <f>IF(T&lt;=L$11,"",IF($A53&gt;L$12,"",IF(T=M$11,EXP(-IRTree!L54*h)*L120,EXP(-IRTree!L54*h)*((M53+M54)/2+L120))))</f>
        <v/>
      </c>
      <c r="M53" s="3" t="str">
        <f>IF(T&lt;=M$11,"",IF($A53&gt;M$12,"",IF(T=N$11,EXP(-IRTree!M54*h)*M120,EXP(-IRTree!M54*h)*((N53+N54)/2+M120))))</f>
        <v/>
      </c>
      <c r="N53" s="3" t="str">
        <f>IF(T&lt;=N$11,"",IF($A53&gt;N$12,"",IF(T=O$11,EXP(-IRTree!N54*h)*N120,EXP(-IRTree!N54*h)*((O53+O54)/2+N120))))</f>
        <v/>
      </c>
      <c r="O53" s="3" t="str">
        <f>IF(T&lt;=O$11,"",IF($A53&gt;O$12,"",IF(T=P$11,EXP(-IRTree!O54*h)*O120,EXP(-IRTree!O54*h)*((P53+P54)/2+O120))))</f>
        <v/>
      </c>
      <c r="P53" s="3" t="str">
        <f>IF(T&lt;=P$11,"",IF($A53&gt;P$12,"",IF(T=Q$11,EXP(-IRTree!P54*h)*P120,EXP(-IRTree!P54*h)*((Q53+Q54)/2+P120))))</f>
        <v/>
      </c>
      <c r="Q53" s="3" t="str">
        <f>IF(T&lt;=Q$11,"",IF($A53&gt;Q$12,"",IF(T=R$11,EXP(-IRTree!Q54*h)*Q120,EXP(-IRTree!Q54*h)*((R53+R54)/2+Q120))))</f>
        <v/>
      </c>
      <c r="R53" s="3" t="str">
        <f>IF(T&lt;=R$11,"",IF($A53&gt;R$12,"",IF(T=S$11,EXP(-IRTree!R54*h)*R120,EXP(-IRTree!R54*h)*((S53+S54)/2+R120))))</f>
        <v/>
      </c>
      <c r="S53" s="3" t="str">
        <f>IF(T&lt;=S$11,"",IF($A53&gt;S$12,"",IF(T=T$11,EXP(-IRTree!S54*h)*S120,EXP(-IRTree!S54*h)*((T53+T54)/2+S120))))</f>
        <v/>
      </c>
      <c r="T53" s="3" t="str">
        <f>IF(T&lt;=T$11,"",IF($A53&gt;T$12,"",IF(T=U$11,EXP(-IRTree!T54*h)*T120,EXP(-IRTree!T54*h)*((U53+U54)/2+T120))))</f>
        <v/>
      </c>
      <c r="U53" s="3" t="str">
        <f>IF(T&lt;=U$11,"",IF($A53&gt;U$12,"",IF(T=V$11,EXP(-IRTree!U54*h)*U120,EXP(-IRTree!U54*h)*((V53+V54)/2+U120))))</f>
        <v/>
      </c>
      <c r="V53" s="3" t="str">
        <f>IF(T&lt;=V$11,"",IF($A53&gt;V$12,"",IF(T=W$11,EXP(-IRTree!V54*h)*V120,EXP(-IRTree!V54*h)*((W53+W54)/2+V120))))</f>
        <v/>
      </c>
      <c r="W53" s="3" t="str">
        <f>IF(T&lt;=W$11,"",IF($A53&gt;W$12,"",IF(T=X$11,EXP(-IRTree!W54*h)*W120,EXP(-IRTree!W54*h)*((X53+X54)/2+W120))))</f>
        <v/>
      </c>
      <c r="X53" s="3" t="str">
        <f>IF(T&lt;=X$11,"",IF($A53&gt;X$12,"",IF(T=Y$11,EXP(-IRTree!X54*h)*X120,EXP(-IRTree!X54*h)*((Y53+Y54)/2+X120))))</f>
        <v/>
      </c>
      <c r="Y53" s="3" t="str">
        <f>IF(T&lt;=Y$11,"",IF($A53&gt;Y$12,"",IF(T=Z$11,EXP(-IRTree!Y54*h)*Y120,EXP(-IRTree!Y54*h)*((Z53+Z54)/2+Y120))))</f>
        <v/>
      </c>
      <c r="Z53" s="3" t="str">
        <f>IF(T&lt;=Z$11,"",IF($A53&gt;Z$12,"",IF(T=AA$11,EXP(-IRTree!Z54*h)*Z120,EXP(-IRTree!Z54*h)*((AA53+AA54)/2+Z120))))</f>
        <v/>
      </c>
      <c r="AA53" s="3" t="str">
        <f>IF(T&lt;=AA$11,"",IF($A53&gt;AA$12,"",IF(T=AB$11,EXP(-IRTree!AA54*h)*AA120,EXP(-IRTree!AA54*h)*((AB53+AB54)/2+AA120))))</f>
        <v/>
      </c>
      <c r="AB53" s="3" t="str">
        <f>IF(T&lt;=AB$11,"",IF($A53&gt;AB$12,"",IF(T=AC$11,EXP(-IRTree!AB54*h)*AB120,EXP(-IRTree!AB54*h)*((AC53+AC54)/2+AB120))))</f>
        <v/>
      </c>
      <c r="AC53" s="3" t="str">
        <f>IF(T&lt;=AC$11,"",IF($A53&gt;AC$12,"",IF(T=AD$11,EXP(-IRTree!AC54*h)*AC120,EXP(-IRTree!AC54*h)*((AD53+AD54)/2+AC120))))</f>
        <v/>
      </c>
      <c r="AD53" s="3" t="str">
        <f>IF(T&lt;=AD$11,"",IF($A53&gt;AD$12,"",IF(T=AE$11,EXP(-IRTree!AD54*h)*AD120,EXP(-IRTree!AD54*h)*((AE53+AE54)/2+AD120))))</f>
        <v/>
      </c>
      <c r="AE53" s="3" t="str">
        <f>IF(T&lt;=AE$11,"",IF($A53&gt;AE$12,"",IF(T=AF$11,EXP(-IRTree!AE54*h)*AE120,EXP(-IRTree!AE54*h)*((AF53+AF54)/2+AE120))))</f>
        <v/>
      </c>
      <c r="AF53" s="3" t="str">
        <f>IF(T&lt;=AF$11,"",IF($A53&gt;AF$12,"",IF(T=AG$11,EXP(-IRTree!AF54*h)*AF120,EXP(-IRTree!AF54*h)*((AG53+AG54)/2+AF120))))</f>
        <v/>
      </c>
      <c r="AG53" s="3" t="str">
        <f>IF(T&lt;=AG$11,"",IF($A53&gt;AG$12,"",IF(T=AH$11,EXP(-IRTree!AG54*h)*AG120,EXP(-IRTree!AG54*h)*((AH53+AH54)/2+AG120))))</f>
        <v/>
      </c>
      <c r="AH53" s="3" t="str">
        <f>IF(T&lt;=AH$11,"",IF($A53&gt;AH$12,"",IF(T=AI$11,EXP(-IRTree!AH54*h)*AH120,EXP(-IRTree!AH54*h)*((AI53+AI54)/2+AH120))))</f>
        <v/>
      </c>
      <c r="AI53" s="3" t="str">
        <f>IF(T&lt;=AI$11,"",IF($A53&gt;AI$12,"",IF(T=AJ$11,EXP(-IRTree!AI54*h)*AI120,EXP(-IRTree!AI54*h)*((AJ53+AJ54)/2+AI120))))</f>
        <v/>
      </c>
      <c r="AJ53" s="3" t="str">
        <f>IF(T&lt;=AJ$11,"",IF($A53&gt;AJ$12,"",IF(T=AK$11,EXP(-IRTree!AJ54*h)*AJ120,EXP(-IRTree!AJ54*h)*((AK53+AK54)/2+AJ120))))</f>
        <v/>
      </c>
      <c r="AK53" s="3" t="str">
        <f>IF(T&lt;=AK$11,"",IF($A53&gt;AK$12,"",IF(T=AL$11,EXP(-IRTree!AK54*h)*AK120,EXP(-IRTree!AK54*h)*((AL53+AL54)/2+AK120))))</f>
        <v/>
      </c>
      <c r="AL53" s="3" t="str">
        <f>IF(T&lt;=AL$11,"",IF($A53&gt;AL$12,"",IF(T=AM$11,EXP(-IRTree!AL54*h)*AL120,EXP(-IRTree!AL54*h)*((AM53+AM54)/2+AL120))))</f>
        <v/>
      </c>
      <c r="AM53" s="3" t="str">
        <f>IF(T&lt;=AM$11,"",IF($A53&gt;AM$12,"",IF(T=AN$11,EXP(-IRTree!AM54*h)*AM120,EXP(-IRTree!AM54*h)*((AN53+AN54)/2+AM120))))</f>
        <v/>
      </c>
      <c r="AN53" s="3" t="str">
        <f>IF(T&lt;=AN$11,"",IF($A53&gt;AN$12,"",IF(T=AO$11,EXP(-IRTree!AN54*h)*AN120,EXP(-IRTree!AN54*h)*((AO53+AO54)/2+AN120))))</f>
        <v/>
      </c>
      <c r="AO53" s="3" t="str">
        <f>IF(T&lt;=AO$11,"",IF($A53&gt;AO$12,"",IF(T=AP$11,EXP(-IRTree!AO54*h)*AO120,EXP(-IRTree!AO54*h)*((AP53+AP54)/2+AO120))))</f>
        <v/>
      </c>
      <c r="AP53" s="3" t="str">
        <f>IF(T&lt;=AP$11,"",IF($A53&gt;AP$12,"",IF(T=AQ$11,EXP(-IRTree!AP54*h)*AP120,EXP(-IRTree!AP54*h)*((AQ53+AQ54)/2+AP120))))</f>
        <v/>
      </c>
      <c r="AQ53" s="3" t="str">
        <f>IF(T&lt;=AQ$11,"",IF($A53&gt;AQ$12,"",IF(T=AR$11,EXP(-IRTree!AQ54*h)*AQ120,EXP(-IRTree!AQ54*h)*((AR53+AR54)/2+AQ120))))</f>
        <v/>
      </c>
      <c r="AR53" s="3" t="str">
        <f>IF(T&lt;=AR$11,"",IF($A53&gt;AR$12,"",IF(T=AS$11,EXP(-IRTree!AR54*h)*AR120,EXP(-IRTree!AR54*h)*((AS53+AS54)/2+AR120))))</f>
        <v/>
      </c>
      <c r="AS53" s="3" t="str">
        <f>IF(T&lt;=AS$11,"",IF($A53&gt;AS$12,"",IF(T=AT$11,EXP(-IRTree!AS54*h)*AS120,EXP(-IRTree!AS54*h)*((AT53+AT54)/2+AS120))))</f>
        <v/>
      </c>
      <c r="AT53" s="3" t="str">
        <f>IF(T&lt;=AT$11,"",IF($A53&gt;AT$12,"",IF(T=AU$11,EXP(-IRTree!AT54*h)*AT120,EXP(-IRTree!AT54*h)*((AU53+AU54)/2+AT120))))</f>
        <v/>
      </c>
      <c r="AU53" s="3" t="str">
        <f>IF(T&lt;=AU$11,"",IF($A53&gt;AU$12,"",IF(T=AV$11,EXP(-IRTree!AU54*h)*AU120,EXP(-IRTree!AU54*h)*((AV53+AV54)/2+AU120))))</f>
        <v/>
      </c>
      <c r="AV53" s="3" t="str">
        <f>IF(T&lt;=AV$11,"",IF($A53&gt;AV$12,"",IF(T=AW$11,EXP(-IRTree!AV54*h)*AV120,EXP(-IRTree!AV54*h)*((AW53+AW54)/2+AV120))))</f>
        <v/>
      </c>
      <c r="AW53" s="3" t="str">
        <f>IF(T&lt;=AW$11,"",IF($A53&gt;AW$12,"",IF(T=AX$11,EXP(-IRTree!AW54*h)*AW120,EXP(-IRTree!AW54*h)*((AX53+AX54)/2+AW120))))</f>
        <v/>
      </c>
      <c r="AX53" s="3" t="str">
        <f>IF(T&lt;=AX$11,"",IF($A53&gt;AX$12,"",IF(T=AY$11,EXP(-IRTree!AX54*h)*AX120,EXP(-IRTree!AX54*h)*((AY53+AY54)/2+AX120))))</f>
        <v/>
      </c>
      <c r="AY53" s="3" t="str">
        <f>IF(T&lt;=AY$11,"",IF($A53&gt;AY$12,"",IF(T=AZ$11,EXP(-IRTree!AY54*h)*AY120,EXP(-IRTree!AY54*h)*((AZ53+AZ54)/2+AY120))))</f>
        <v/>
      </c>
      <c r="AZ53" s="3" t="str">
        <f>IF(T&lt;=AZ$11,"",IF($A53&gt;AZ$12,"",IF(T=BA$11,EXP(-IRTree!AZ54*h)*AZ120,EXP(-IRTree!AZ54*h)*((BA53+BA54)/2+AZ120))))</f>
        <v/>
      </c>
      <c r="BA53" s="3" t="str">
        <f>IF(T&lt;=BA$11,"",IF($A53&gt;BA$12,"",IF(T=BB$11,EXP(-IRTree!BA54*h)*BA120,EXP(-IRTree!BA54*h)*((BB53+BB54)/2+BA120))))</f>
        <v/>
      </c>
      <c r="BB53" s="3" t="str">
        <f>IF(T&lt;=BB$11,"",IF($A53&gt;BB$12,"",IF(T=BC$11,EXP(-IRTree!BB54*h)*BB120,EXP(-IRTree!BB54*h)*((BC53+BC54)/2+BB120))))</f>
        <v/>
      </c>
      <c r="BC53" s="3" t="str">
        <f>IF(T&lt;=BC$11,"",IF($A53&gt;BC$12,"",IF(T=BD$11,EXP(-IRTree!BC54*h)*BC120,EXP(-IRTree!BC54*h)*((BD53+BD54)/2+BC120))))</f>
        <v/>
      </c>
      <c r="BD53" s="3" t="str">
        <f>IF(T&lt;=BD$11,"",IF($A53&gt;BD$12,"",IF(T=BE$11,EXP(-IRTree!BD54*h)*BD120,EXP(-IRTree!BD54*h)*((BE53+BE54)/2+BD120))))</f>
        <v/>
      </c>
      <c r="BE53" s="3" t="str">
        <f>IF(T&lt;=BE$11,"",IF($A53&gt;BE$12,"",IF(T=BF$11,EXP(-IRTree!BE54*h)*BE120,EXP(-IRTree!BE54*h)*((BF53+BF54)/2+BE120))))</f>
        <v/>
      </c>
      <c r="BF53" s="3" t="str">
        <f>IF(T&lt;=BF$11,"",IF($A53&gt;BF$12,"",IF(T=BG$11,EXP(-IRTree!BF54*h)*BF120,EXP(-IRTree!BF54*h)*((BG53+BG54)/2+BF120))))</f>
        <v/>
      </c>
      <c r="BG53" s="3" t="str">
        <f>IF(T&lt;=BG$11,"",IF($A53&gt;BG$12,"",IF(T=BH$11,EXP(-IRTree!BG54*h)*BG120,EXP(-IRTree!BG54*h)*((BH53+BH54)/2+BG120))))</f>
        <v/>
      </c>
      <c r="BH53" s="3" t="str">
        <f>IF(T&lt;=BH$11,"",IF($A53&gt;BH$12,"",IF(T=BI$11,EXP(-IRTree!BH54*h)*BH120,EXP(-IRTree!BH54*h)*((BI53+BI54)/2+BH120))))</f>
        <v/>
      </c>
      <c r="BI53" s="3" t="str">
        <f>IF(T&lt;=BI$11,"",IF($A53&gt;BI$12,"",IF(T=BJ$11,EXP(-IRTree!BI54*h)*BI120,EXP(-IRTree!BI54*h)*((BJ53+BJ54)/2+BI120))))</f>
        <v/>
      </c>
      <c r="BJ53" s="3" t="str">
        <f>IF(T&lt;=BJ$11,"",IF($A53&gt;BJ$12,"",IF(T=BK$11,EXP(-IRTree!BJ54*h)*BJ120,EXP(-IRTree!BJ54*h)*((BK53+BK54)/2+BJ120))))</f>
        <v/>
      </c>
    </row>
    <row r="54" spans="1:62">
      <c r="A54" s="12">
        <f t="shared" si="2"/>
        <v>41</v>
      </c>
      <c r="B54" s="3" t="str">
        <f>IF(T&lt;=B$11,"",IF($A54&gt;B$12,"",IF(T=C$11,EXP(-IRTree!B55*h)*B121,EXP(-IRTree!B55*h)*((C54+C55)/2+B121))))</f>
        <v/>
      </c>
      <c r="C54" s="3" t="str">
        <f>IF(T&lt;=C$11,"",IF($A54&gt;C$12,"",IF(T=D$11,EXP(-IRTree!C55*h)*C121,EXP(-IRTree!C55*h)*((D54+D55)/2+C121))))</f>
        <v/>
      </c>
      <c r="D54" s="3" t="str">
        <f>IF(T&lt;=D$11,"",IF($A54&gt;D$12,"",IF(T=E$11,EXP(-IRTree!D55*h)*D121,EXP(-IRTree!D55*h)*((E54+E55)/2+D121))))</f>
        <v/>
      </c>
      <c r="E54" s="3" t="str">
        <f>IF(T&lt;=E$11,"",IF($A54&gt;E$12,"",IF(T=F$11,EXP(-IRTree!E55*h)*E121,EXP(-IRTree!E55*h)*((F54+F55)/2+E121))))</f>
        <v/>
      </c>
      <c r="F54" s="3" t="str">
        <f>IF(T&lt;=F$11,"",IF($A54&gt;F$12,"",IF(T=G$11,EXP(-IRTree!F55*h)*F121,EXP(-IRTree!F55*h)*((G54+G55)/2+F121))))</f>
        <v/>
      </c>
      <c r="G54" s="3" t="str">
        <f>IF(T&lt;=G$11,"",IF($A54&gt;G$12,"",IF(T=H$11,EXP(-IRTree!G55*h)*G121,EXP(-IRTree!G55*h)*((H54+H55)/2+G121))))</f>
        <v/>
      </c>
      <c r="H54" s="3" t="str">
        <f>IF(T&lt;=H$11,"",IF($A54&gt;H$12,"",IF(T=I$11,EXP(-IRTree!H55*h)*H121,EXP(-IRTree!H55*h)*((I54+I55)/2+H121))))</f>
        <v/>
      </c>
      <c r="I54" s="3" t="str">
        <f>IF(T&lt;=I$11,"",IF($A54&gt;I$12,"",IF(T=J$11,EXP(-IRTree!I55*h)*I121,EXP(-IRTree!I55*h)*((J54+J55)/2+I121))))</f>
        <v/>
      </c>
      <c r="J54" s="3" t="str">
        <f>IF(T&lt;=J$11,"",IF($A54&gt;J$12,"",IF(T=K$11,EXP(-IRTree!J55*h)*J121,EXP(-IRTree!J55*h)*((K54+K55)/2+J121))))</f>
        <v/>
      </c>
      <c r="K54" s="3" t="str">
        <f>IF(T&lt;=K$11,"",IF($A54&gt;K$12,"",IF(T=L$11,EXP(-IRTree!K55*h)*K121,EXP(-IRTree!K55*h)*((L54+L55)/2+K121))))</f>
        <v/>
      </c>
      <c r="L54" s="3" t="str">
        <f>IF(T&lt;=L$11,"",IF($A54&gt;L$12,"",IF(T=M$11,EXP(-IRTree!L55*h)*L121,EXP(-IRTree!L55*h)*((M54+M55)/2+L121))))</f>
        <v/>
      </c>
      <c r="M54" s="3" t="str">
        <f>IF(T&lt;=M$11,"",IF($A54&gt;M$12,"",IF(T=N$11,EXP(-IRTree!M55*h)*M121,EXP(-IRTree!M55*h)*((N54+N55)/2+M121))))</f>
        <v/>
      </c>
      <c r="N54" s="3" t="str">
        <f>IF(T&lt;=N$11,"",IF($A54&gt;N$12,"",IF(T=O$11,EXP(-IRTree!N55*h)*N121,EXP(-IRTree!N55*h)*((O54+O55)/2+N121))))</f>
        <v/>
      </c>
      <c r="O54" s="3" t="str">
        <f>IF(T&lt;=O$11,"",IF($A54&gt;O$12,"",IF(T=P$11,EXP(-IRTree!O55*h)*O121,EXP(-IRTree!O55*h)*((P54+P55)/2+O121))))</f>
        <v/>
      </c>
      <c r="P54" s="3" t="str">
        <f>IF(T&lt;=P$11,"",IF($A54&gt;P$12,"",IF(T=Q$11,EXP(-IRTree!P55*h)*P121,EXP(-IRTree!P55*h)*((Q54+Q55)/2+P121))))</f>
        <v/>
      </c>
      <c r="Q54" s="3" t="str">
        <f>IF(T&lt;=Q$11,"",IF($A54&gt;Q$12,"",IF(T=R$11,EXP(-IRTree!Q55*h)*Q121,EXP(-IRTree!Q55*h)*((R54+R55)/2+Q121))))</f>
        <v/>
      </c>
      <c r="R54" s="3" t="str">
        <f>IF(T&lt;=R$11,"",IF($A54&gt;R$12,"",IF(T=S$11,EXP(-IRTree!R55*h)*R121,EXP(-IRTree!R55*h)*((S54+S55)/2+R121))))</f>
        <v/>
      </c>
      <c r="S54" s="3" t="str">
        <f>IF(T&lt;=S$11,"",IF($A54&gt;S$12,"",IF(T=T$11,EXP(-IRTree!S55*h)*S121,EXP(-IRTree!S55*h)*((T54+T55)/2+S121))))</f>
        <v/>
      </c>
      <c r="T54" s="3" t="str">
        <f>IF(T&lt;=T$11,"",IF($A54&gt;T$12,"",IF(T=U$11,EXP(-IRTree!T55*h)*T121,EXP(-IRTree!T55*h)*((U54+U55)/2+T121))))</f>
        <v/>
      </c>
      <c r="U54" s="3" t="str">
        <f>IF(T&lt;=U$11,"",IF($A54&gt;U$12,"",IF(T=V$11,EXP(-IRTree!U55*h)*U121,EXP(-IRTree!U55*h)*((V54+V55)/2+U121))))</f>
        <v/>
      </c>
      <c r="V54" s="3" t="str">
        <f>IF(T&lt;=V$11,"",IF($A54&gt;V$12,"",IF(T=W$11,EXP(-IRTree!V55*h)*V121,EXP(-IRTree!V55*h)*((W54+W55)/2+V121))))</f>
        <v/>
      </c>
      <c r="W54" s="3" t="str">
        <f>IF(T&lt;=W$11,"",IF($A54&gt;W$12,"",IF(T=X$11,EXP(-IRTree!W55*h)*W121,EXP(-IRTree!W55*h)*((X54+X55)/2+W121))))</f>
        <v/>
      </c>
      <c r="X54" s="3" t="str">
        <f>IF(T&lt;=X$11,"",IF($A54&gt;X$12,"",IF(T=Y$11,EXP(-IRTree!X55*h)*X121,EXP(-IRTree!X55*h)*((Y54+Y55)/2+X121))))</f>
        <v/>
      </c>
      <c r="Y54" s="3" t="str">
        <f>IF(T&lt;=Y$11,"",IF($A54&gt;Y$12,"",IF(T=Z$11,EXP(-IRTree!Y55*h)*Y121,EXP(-IRTree!Y55*h)*((Z54+Z55)/2+Y121))))</f>
        <v/>
      </c>
      <c r="Z54" s="3" t="str">
        <f>IF(T&lt;=Z$11,"",IF($A54&gt;Z$12,"",IF(T=AA$11,EXP(-IRTree!Z55*h)*Z121,EXP(-IRTree!Z55*h)*((AA54+AA55)/2+Z121))))</f>
        <v/>
      </c>
      <c r="AA54" s="3" t="str">
        <f>IF(T&lt;=AA$11,"",IF($A54&gt;AA$12,"",IF(T=AB$11,EXP(-IRTree!AA55*h)*AA121,EXP(-IRTree!AA55*h)*((AB54+AB55)/2+AA121))))</f>
        <v/>
      </c>
      <c r="AB54" s="3" t="str">
        <f>IF(T&lt;=AB$11,"",IF($A54&gt;AB$12,"",IF(T=AC$11,EXP(-IRTree!AB55*h)*AB121,EXP(-IRTree!AB55*h)*((AC54+AC55)/2+AB121))))</f>
        <v/>
      </c>
      <c r="AC54" s="3" t="str">
        <f>IF(T&lt;=AC$11,"",IF($A54&gt;AC$12,"",IF(T=AD$11,EXP(-IRTree!AC55*h)*AC121,EXP(-IRTree!AC55*h)*((AD54+AD55)/2+AC121))))</f>
        <v/>
      </c>
      <c r="AD54" s="3" t="str">
        <f>IF(T&lt;=AD$11,"",IF($A54&gt;AD$12,"",IF(T=AE$11,EXP(-IRTree!AD55*h)*AD121,EXP(-IRTree!AD55*h)*((AE54+AE55)/2+AD121))))</f>
        <v/>
      </c>
      <c r="AE54" s="3" t="str">
        <f>IF(T&lt;=AE$11,"",IF($A54&gt;AE$12,"",IF(T=AF$11,EXP(-IRTree!AE55*h)*AE121,EXP(-IRTree!AE55*h)*((AF54+AF55)/2+AE121))))</f>
        <v/>
      </c>
      <c r="AF54" s="3" t="str">
        <f>IF(T&lt;=AF$11,"",IF($A54&gt;AF$12,"",IF(T=AG$11,EXP(-IRTree!AF55*h)*AF121,EXP(-IRTree!AF55*h)*((AG54+AG55)/2+AF121))))</f>
        <v/>
      </c>
      <c r="AG54" s="3" t="str">
        <f>IF(T&lt;=AG$11,"",IF($A54&gt;AG$12,"",IF(T=AH$11,EXP(-IRTree!AG55*h)*AG121,EXP(-IRTree!AG55*h)*((AH54+AH55)/2+AG121))))</f>
        <v/>
      </c>
      <c r="AH54" s="3" t="str">
        <f>IF(T&lt;=AH$11,"",IF($A54&gt;AH$12,"",IF(T=AI$11,EXP(-IRTree!AH55*h)*AH121,EXP(-IRTree!AH55*h)*((AI54+AI55)/2+AH121))))</f>
        <v/>
      </c>
      <c r="AI54" s="3" t="str">
        <f>IF(T&lt;=AI$11,"",IF($A54&gt;AI$12,"",IF(T=AJ$11,EXP(-IRTree!AI55*h)*AI121,EXP(-IRTree!AI55*h)*((AJ54+AJ55)/2+AI121))))</f>
        <v/>
      </c>
      <c r="AJ54" s="3" t="str">
        <f>IF(T&lt;=AJ$11,"",IF($A54&gt;AJ$12,"",IF(T=AK$11,EXP(-IRTree!AJ55*h)*AJ121,EXP(-IRTree!AJ55*h)*((AK54+AK55)/2+AJ121))))</f>
        <v/>
      </c>
      <c r="AK54" s="3" t="str">
        <f>IF(T&lt;=AK$11,"",IF($A54&gt;AK$12,"",IF(T=AL$11,EXP(-IRTree!AK55*h)*AK121,EXP(-IRTree!AK55*h)*((AL54+AL55)/2+AK121))))</f>
        <v/>
      </c>
      <c r="AL54" s="3" t="str">
        <f>IF(T&lt;=AL$11,"",IF($A54&gt;AL$12,"",IF(T=AM$11,EXP(-IRTree!AL55*h)*AL121,EXP(-IRTree!AL55*h)*((AM54+AM55)/2+AL121))))</f>
        <v/>
      </c>
      <c r="AM54" s="3" t="str">
        <f>IF(T&lt;=AM$11,"",IF($A54&gt;AM$12,"",IF(T=AN$11,EXP(-IRTree!AM55*h)*AM121,EXP(-IRTree!AM55*h)*((AN54+AN55)/2+AM121))))</f>
        <v/>
      </c>
      <c r="AN54" s="3" t="str">
        <f>IF(T&lt;=AN$11,"",IF($A54&gt;AN$12,"",IF(T=AO$11,EXP(-IRTree!AN55*h)*AN121,EXP(-IRTree!AN55*h)*((AO54+AO55)/2+AN121))))</f>
        <v/>
      </c>
      <c r="AO54" s="3" t="str">
        <f>IF(T&lt;=AO$11,"",IF($A54&gt;AO$12,"",IF(T=AP$11,EXP(-IRTree!AO55*h)*AO121,EXP(-IRTree!AO55*h)*((AP54+AP55)/2+AO121))))</f>
        <v/>
      </c>
      <c r="AP54" s="3" t="str">
        <f>IF(T&lt;=AP$11,"",IF($A54&gt;AP$12,"",IF(T=AQ$11,EXP(-IRTree!AP55*h)*AP121,EXP(-IRTree!AP55*h)*((AQ54+AQ55)/2+AP121))))</f>
        <v/>
      </c>
      <c r="AQ54" s="3" t="str">
        <f>IF(T&lt;=AQ$11,"",IF($A54&gt;AQ$12,"",IF(T=AR$11,EXP(-IRTree!AQ55*h)*AQ121,EXP(-IRTree!AQ55*h)*((AR54+AR55)/2+AQ121))))</f>
        <v/>
      </c>
      <c r="AR54" s="3" t="str">
        <f>IF(T&lt;=AR$11,"",IF($A54&gt;AR$12,"",IF(T=AS$11,EXP(-IRTree!AR55*h)*AR121,EXP(-IRTree!AR55*h)*((AS54+AS55)/2+AR121))))</f>
        <v/>
      </c>
      <c r="AS54" s="3" t="str">
        <f>IF(T&lt;=AS$11,"",IF($A54&gt;AS$12,"",IF(T=AT$11,EXP(-IRTree!AS55*h)*AS121,EXP(-IRTree!AS55*h)*((AT54+AT55)/2+AS121))))</f>
        <v/>
      </c>
      <c r="AT54" s="3" t="str">
        <f>IF(T&lt;=AT$11,"",IF($A54&gt;AT$12,"",IF(T=AU$11,EXP(-IRTree!AT55*h)*AT121,EXP(-IRTree!AT55*h)*((AU54+AU55)/2+AT121))))</f>
        <v/>
      </c>
      <c r="AU54" s="3" t="str">
        <f>IF(T&lt;=AU$11,"",IF($A54&gt;AU$12,"",IF(T=AV$11,EXP(-IRTree!AU55*h)*AU121,EXP(-IRTree!AU55*h)*((AV54+AV55)/2+AU121))))</f>
        <v/>
      </c>
      <c r="AV54" s="3" t="str">
        <f>IF(T&lt;=AV$11,"",IF($A54&gt;AV$12,"",IF(T=AW$11,EXP(-IRTree!AV55*h)*AV121,EXP(-IRTree!AV55*h)*((AW54+AW55)/2+AV121))))</f>
        <v/>
      </c>
      <c r="AW54" s="3" t="str">
        <f>IF(T&lt;=AW$11,"",IF($A54&gt;AW$12,"",IF(T=AX$11,EXP(-IRTree!AW55*h)*AW121,EXP(-IRTree!AW55*h)*((AX54+AX55)/2+AW121))))</f>
        <v/>
      </c>
      <c r="AX54" s="3" t="str">
        <f>IF(T&lt;=AX$11,"",IF($A54&gt;AX$12,"",IF(T=AY$11,EXP(-IRTree!AX55*h)*AX121,EXP(-IRTree!AX55*h)*((AY54+AY55)/2+AX121))))</f>
        <v/>
      </c>
      <c r="AY54" s="3" t="str">
        <f>IF(T&lt;=AY$11,"",IF($A54&gt;AY$12,"",IF(T=AZ$11,EXP(-IRTree!AY55*h)*AY121,EXP(-IRTree!AY55*h)*((AZ54+AZ55)/2+AY121))))</f>
        <v/>
      </c>
      <c r="AZ54" s="3" t="str">
        <f>IF(T&lt;=AZ$11,"",IF($A54&gt;AZ$12,"",IF(T=BA$11,EXP(-IRTree!AZ55*h)*AZ121,EXP(-IRTree!AZ55*h)*((BA54+BA55)/2+AZ121))))</f>
        <v/>
      </c>
      <c r="BA54" s="3" t="str">
        <f>IF(T&lt;=BA$11,"",IF($A54&gt;BA$12,"",IF(T=BB$11,EXP(-IRTree!BA55*h)*BA121,EXP(-IRTree!BA55*h)*((BB54+BB55)/2+BA121))))</f>
        <v/>
      </c>
      <c r="BB54" s="3" t="str">
        <f>IF(T&lt;=BB$11,"",IF($A54&gt;BB$12,"",IF(T=BC$11,EXP(-IRTree!BB55*h)*BB121,EXP(-IRTree!BB55*h)*((BC54+BC55)/2+BB121))))</f>
        <v/>
      </c>
      <c r="BC54" s="3" t="str">
        <f>IF(T&lt;=BC$11,"",IF($A54&gt;BC$12,"",IF(T=BD$11,EXP(-IRTree!BC55*h)*BC121,EXP(-IRTree!BC55*h)*((BD54+BD55)/2+BC121))))</f>
        <v/>
      </c>
      <c r="BD54" s="3" t="str">
        <f>IF(T&lt;=BD$11,"",IF($A54&gt;BD$12,"",IF(T=BE$11,EXP(-IRTree!BD55*h)*BD121,EXP(-IRTree!BD55*h)*((BE54+BE55)/2+BD121))))</f>
        <v/>
      </c>
      <c r="BE54" s="3" t="str">
        <f>IF(T&lt;=BE$11,"",IF($A54&gt;BE$12,"",IF(T=BF$11,EXP(-IRTree!BE55*h)*BE121,EXP(-IRTree!BE55*h)*((BF54+BF55)/2+BE121))))</f>
        <v/>
      </c>
      <c r="BF54" s="3" t="str">
        <f>IF(T&lt;=BF$11,"",IF($A54&gt;BF$12,"",IF(T=BG$11,EXP(-IRTree!BF55*h)*BF121,EXP(-IRTree!BF55*h)*((BG54+BG55)/2+BF121))))</f>
        <v/>
      </c>
      <c r="BG54" s="3" t="str">
        <f>IF(T&lt;=BG$11,"",IF($A54&gt;BG$12,"",IF(T=BH$11,EXP(-IRTree!BG55*h)*BG121,EXP(-IRTree!BG55*h)*((BH54+BH55)/2+BG121))))</f>
        <v/>
      </c>
      <c r="BH54" s="3" t="str">
        <f>IF(T&lt;=BH$11,"",IF($A54&gt;BH$12,"",IF(T=BI$11,EXP(-IRTree!BH55*h)*BH121,EXP(-IRTree!BH55*h)*((BI54+BI55)/2+BH121))))</f>
        <v/>
      </c>
      <c r="BI54" s="3" t="str">
        <f>IF(T&lt;=BI$11,"",IF($A54&gt;BI$12,"",IF(T=BJ$11,EXP(-IRTree!BI55*h)*BI121,EXP(-IRTree!BI55*h)*((BJ54+BJ55)/2+BI121))))</f>
        <v/>
      </c>
      <c r="BJ54" s="3" t="str">
        <f>IF(T&lt;=BJ$11,"",IF($A54&gt;BJ$12,"",IF(T=BK$11,EXP(-IRTree!BJ55*h)*BJ121,EXP(-IRTree!BJ55*h)*((BK54+BK55)/2+BJ121))))</f>
        <v/>
      </c>
    </row>
    <row r="55" spans="1:62">
      <c r="A55" s="12">
        <f t="shared" si="2"/>
        <v>42</v>
      </c>
      <c r="B55" s="3" t="str">
        <f>IF(T&lt;=B$11,"",IF($A55&gt;B$12,"",IF(T=C$11,EXP(-IRTree!B56*h)*B122,EXP(-IRTree!B56*h)*((C55+C56)/2+B122))))</f>
        <v/>
      </c>
      <c r="C55" s="3" t="str">
        <f>IF(T&lt;=C$11,"",IF($A55&gt;C$12,"",IF(T=D$11,EXP(-IRTree!C56*h)*C122,EXP(-IRTree!C56*h)*((D55+D56)/2+C122))))</f>
        <v/>
      </c>
      <c r="D55" s="3" t="str">
        <f>IF(T&lt;=D$11,"",IF($A55&gt;D$12,"",IF(T=E$11,EXP(-IRTree!D56*h)*D122,EXP(-IRTree!D56*h)*((E55+E56)/2+D122))))</f>
        <v/>
      </c>
      <c r="E55" s="3" t="str">
        <f>IF(T&lt;=E$11,"",IF($A55&gt;E$12,"",IF(T=F$11,EXP(-IRTree!E56*h)*E122,EXP(-IRTree!E56*h)*((F55+F56)/2+E122))))</f>
        <v/>
      </c>
      <c r="F55" s="3" t="str">
        <f>IF(T&lt;=F$11,"",IF($A55&gt;F$12,"",IF(T=G$11,EXP(-IRTree!F56*h)*F122,EXP(-IRTree!F56*h)*((G55+G56)/2+F122))))</f>
        <v/>
      </c>
      <c r="G55" s="3" t="str">
        <f>IF(T&lt;=G$11,"",IF($A55&gt;G$12,"",IF(T=H$11,EXP(-IRTree!G56*h)*G122,EXP(-IRTree!G56*h)*((H55+H56)/2+G122))))</f>
        <v/>
      </c>
      <c r="H55" s="3" t="str">
        <f>IF(T&lt;=H$11,"",IF($A55&gt;H$12,"",IF(T=I$11,EXP(-IRTree!H56*h)*H122,EXP(-IRTree!H56*h)*((I55+I56)/2+H122))))</f>
        <v/>
      </c>
      <c r="I55" s="3" t="str">
        <f>IF(T&lt;=I$11,"",IF($A55&gt;I$12,"",IF(T=J$11,EXP(-IRTree!I56*h)*I122,EXP(-IRTree!I56*h)*((J55+J56)/2+I122))))</f>
        <v/>
      </c>
      <c r="J55" s="3" t="str">
        <f>IF(T&lt;=J$11,"",IF($A55&gt;J$12,"",IF(T=K$11,EXP(-IRTree!J56*h)*J122,EXP(-IRTree!J56*h)*((K55+K56)/2+J122))))</f>
        <v/>
      </c>
      <c r="K55" s="3" t="str">
        <f>IF(T&lt;=K$11,"",IF($A55&gt;K$12,"",IF(T=L$11,EXP(-IRTree!K56*h)*K122,EXP(-IRTree!K56*h)*((L55+L56)/2+K122))))</f>
        <v/>
      </c>
      <c r="L55" s="3" t="str">
        <f>IF(T&lt;=L$11,"",IF($A55&gt;L$12,"",IF(T=M$11,EXP(-IRTree!L56*h)*L122,EXP(-IRTree!L56*h)*((M55+M56)/2+L122))))</f>
        <v/>
      </c>
      <c r="M55" s="3" t="str">
        <f>IF(T&lt;=M$11,"",IF($A55&gt;M$12,"",IF(T=N$11,EXP(-IRTree!M56*h)*M122,EXP(-IRTree!M56*h)*((N55+N56)/2+M122))))</f>
        <v/>
      </c>
      <c r="N55" s="3" t="str">
        <f>IF(T&lt;=N$11,"",IF($A55&gt;N$12,"",IF(T=O$11,EXP(-IRTree!N56*h)*N122,EXP(-IRTree!N56*h)*((O55+O56)/2+N122))))</f>
        <v/>
      </c>
      <c r="O55" s="3" t="str">
        <f>IF(T&lt;=O$11,"",IF($A55&gt;O$12,"",IF(T=P$11,EXP(-IRTree!O56*h)*O122,EXP(-IRTree!O56*h)*((P55+P56)/2+O122))))</f>
        <v/>
      </c>
      <c r="P55" s="3" t="str">
        <f>IF(T&lt;=P$11,"",IF($A55&gt;P$12,"",IF(T=Q$11,EXP(-IRTree!P56*h)*P122,EXP(-IRTree!P56*h)*((Q55+Q56)/2+P122))))</f>
        <v/>
      </c>
      <c r="Q55" s="3" t="str">
        <f>IF(T&lt;=Q$11,"",IF($A55&gt;Q$12,"",IF(T=R$11,EXP(-IRTree!Q56*h)*Q122,EXP(-IRTree!Q56*h)*((R55+R56)/2+Q122))))</f>
        <v/>
      </c>
      <c r="R55" s="3" t="str">
        <f>IF(T&lt;=R$11,"",IF($A55&gt;R$12,"",IF(T=S$11,EXP(-IRTree!R56*h)*R122,EXP(-IRTree!R56*h)*((S55+S56)/2+R122))))</f>
        <v/>
      </c>
      <c r="S55" s="3" t="str">
        <f>IF(T&lt;=S$11,"",IF($A55&gt;S$12,"",IF(T=T$11,EXP(-IRTree!S56*h)*S122,EXP(-IRTree!S56*h)*((T55+T56)/2+S122))))</f>
        <v/>
      </c>
      <c r="T55" s="3" t="str">
        <f>IF(T&lt;=T$11,"",IF($A55&gt;T$12,"",IF(T=U$11,EXP(-IRTree!T56*h)*T122,EXP(-IRTree!T56*h)*((U55+U56)/2+T122))))</f>
        <v/>
      </c>
      <c r="U55" s="3" t="str">
        <f>IF(T&lt;=U$11,"",IF($A55&gt;U$12,"",IF(T=V$11,EXP(-IRTree!U56*h)*U122,EXP(-IRTree!U56*h)*((V55+V56)/2+U122))))</f>
        <v/>
      </c>
      <c r="V55" s="3" t="str">
        <f>IF(T&lt;=V$11,"",IF($A55&gt;V$12,"",IF(T=W$11,EXP(-IRTree!V56*h)*V122,EXP(-IRTree!V56*h)*((W55+W56)/2+V122))))</f>
        <v/>
      </c>
      <c r="W55" s="3" t="str">
        <f>IF(T&lt;=W$11,"",IF($A55&gt;W$12,"",IF(T=X$11,EXP(-IRTree!W56*h)*W122,EXP(-IRTree!W56*h)*((X55+X56)/2+W122))))</f>
        <v/>
      </c>
      <c r="X55" s="3" t="str">
        <f>IF(T&lt;=X$11,"",IF($A55&gt;X$12,"",IF(T=Y$11,EXP(-IRTree!X56*h)*X122,EXP(-IRTree!X56*h)*((Y55+Y56)/2+X122))))</f>
        <v/>
      </c>
      <c r="Y55" s="3" t="str">
        <f>IF(T&lt;=Y$11,"",IF($A55&gt;Y$12,"",IF(T=Z$11,EXP(-IRTree!Y56*h)*Y122,EXP(-IRTree!Y56*h)*((Z55+Z56)/2+Y122))))</f>
        <v/>
      </c>
      <c r="Z55" s="3" t="str">
        <f>IF(T&lt;=Z$11,"",IF($A55&gt;Z$12,"",IF(T=AA$11,EXP(-IRTree!Z56*h)*Z122,EXP(-IRTree!Z56*h)*((AA55+AA56)/2+Z122))))</f>
        <v/>
      </c>
      <c r="AA55" s="3" t="str">
        <f>IF(T&lt;=AA$11,"",IF($A55&gt;AA$12,"",IF(T=AB$11,EXP(-IRTree!AA56*h)*AA122,EXP(-IRTree!AA56*h)*((AB55+AB56)/2+AA122))))</f>
        <v/>
      </c>
      <c r="AB55" s="3" t="str">
        <f>IF(T&lt;=AB$11,"",IF($A55&gt;AB$12,"",IF(T=AC$11,EXP(-IRTree!AB56*h)*AB122,EXP(-IRTree!AB56*h)*((AC55+AC56)/2+AB122))))</f>
        <v/>
      </c>
      <c r="AC55" s="3" t="str">
        <f>IF(T&lt;=AC$11,"",IF($A55&gt;AC$12,"",IF(T=AD$11,EXP(-IRTree!AC56*h)*AC122,EXP(-IRTree!AC56*h)*((AD55+AD56)/2+AC122))))</f>
        <v/>
      </c>
      <c r="AD55" s="3" t="str">
        <f>IF(T&lt;=AD$11,"",IF($A55&gt;AD$12,"",IF(T=AE$11,EXP(-IRTree!AD56*h)*AD122,EXP(-IRTree!AD56*h)*((AE55+AE56)/2+AD122))))</f>
        <v/>
      </c>
      <c r="AE55" s="3" t="str">
        <f>IF(T&lt;=AE$11,"",IF($A55&gt;AE$12,"",IF(T=AF$11,EXP(-IRTree!AE56*h)*AE122,EXP(-IRTree!AE56*h)*((AF55+AF56)/2+AE122))))</f>
        <v/>
      </c>
      <c r="AF55" s="3" t="str">
        <f>IF(T&lt;=AF$11,"",IF($A55&gt;AF$12,"",IF(T=AG$11,EXP(-IRTree!AF56*h)*AF122,EXP(-IRTree!AF56*h)*((AG55+AG56)/2+AF122))))</f>
        <v/>
      </c>
      <c r="AG55" s="3" t="str">
        <f>IF(T&lt;=AG$11,"",IF($A55&gt;AG$12,"",IF(T=AH$11,EXP(-IRTree!AG56*h)*AG122,EXP(-IRTree!AG56*h)*((AH55+AH56)/2+AG122))))</f>
        <v/>
      </c>
      <c r="AH55" s="3" t="str">
        <f>IF(T&lt;=AH$11,"",IF($A55&gt;AH$12,"",IF(T=AI$11,EXP(-IRTree!AH56*h)*AH122,EXP(-IRTree!AH56*h)*((AI55+AI56)/2+AH122))))</f>
        <v/>
      </c>
      <c r="AI55" s="3" t="str">
        <f>IF(T&lt;=AI$11,"",IF($A55&gt;AI$12,"",IF(T=AJ$11,EXP(-IRTree!AI56*h)*AI122,EXP(-IRTree!AI56*h)*((AJ55+AJ56)/2+AI122))))</f>
        <v/>
      </c>
      <c r="AJ55" s="3" t="str">
        <f>IF(T&lt;=AJ$11,"",IF($A55&gt;AJ$12,"",IF(T=AK$11,EXP(-IRTree!AJ56*h)*AJ122,EXP(-IRTree!AJ56*h)*((AK55+AK56)/2+AJ122))))</f>
        <v/>
      </c>
      <c r="AK55" s="3" t="str">
        <f>IF(T&lt;=AK$11,"",IF($A55&gt;AK$12,"",IF(T=AL$11,EXP(-IRTree!AK56*h)*AK122,EXP(-IRTree!AK56*h)*((AL55+AL56)/2+AK122))))</f>
        <v/>
      </c>
      <c r="AL55" s="3" t="str">
        <f>IF(T&lt;=AL$11,"",IF($A55&gt;AL$12,"",IF(T=AM$11,EXP(-IRTree!AL56*h)*AL122,EXP(-IRTree!AL56*h)*((AM55+AM56)/2+AL122))))</f>
        <v/>
      </c>
      <c r="AM55" s="3" t="str">
        <f>IF(T&lt;=AM$11,"",IF($A55&gt;AM$12,"",IF(T=AN$11,EXP(-IRTree!AM56*h)*AM122,EXP(-IRTree!AM56*h)*((AN55+AN56)/2+AM122))))</f>
        <v/>
      </c>
      <c r="AN55" s="3" t="str">
        <f>IF(T&lt;=AN$11,"",IF($A55&gt;AN$12,"",IF(T=AO$11,EXP(-IRTree!AN56*h)*AN122,EXP(-IRTree!AN56*h)*((AO55+AO56)/2+AN122))))</f>
        <v/>
      </c>
      <c r="AO55" s="3" t="str">
        <f>IF(T&lt;=AO$11,"",IF($A55&gt;AO$12,"",IF(T=AP$11,EXP(-IRTree!AO56*h)*AO122,EXP(-IRTree!AO56*h)*((AP55+AP56)/2+AO122))))</f>
        <v/>
      </c>
      <c r="AP55" s="3" t="str">
        <f>IF(T&lt;=AP$11,"",IF($A55&gt;AP$12,"",IF(T=AQ$11,EXP(-IRTree!AP56*h)*AP122,EXP(-IRTree!AP56*h)*((AQ55+AQ56)/2+AP122))))</f>
        <v/>
      </c>
      <c r="AQ55" s="3" t="str">
        <f>IF(T&lt;=AQ$11,"",IF($A55&gt;AQ$12,"",IF(T=AR$11,EXP(-IRTree!AQ56*h)*AQ122,EXP(-IRTree!AQ56*h)*((AR55+AR56)/2+AQ122))))</f>
        <v/>
      </c>
      <c r="AR55" s="3" t="str">
        <f>IF(T&lt;=AR$11,"",IF($A55&gt;AR$12,"",IF(T=AS$11,EXP(-IRTree!AR56*h)*AR122,EXP(-IRTree!AR56*h)*((AS55+AS56)/2+AR122))))</f>
        <v/>
      </c>
      <c r="AS55" s="3" t="str">
        <f>IF(T&lt;=AS$11,"",IF($A55&gt;AS$12,"",IF(T=AT$11,EXP(-IRTree!AS56*h)*AS122,EXP(-IRTree!AS56*h)*((AT55+AT56)/2+AS122))))</f>
        <v/>
      </c>
      <c r="AT55" s="3" t="str">
        <f>IF(T&lt;=AT$11,"",IF($A55&gt;AT$12,"",IF(T=AU$11,EXP(-IRTree!AT56*h)*AT122,EXP(-IRTree!AT56*h)*((AU55+AU56)/2+AT122))))</f>
        <v/>
      </c>
      <c r="AU55" s="3" t="str">
        <f>IF(T&lt;=AU$11,"",IF($A55&gt;AU$12,"",IF(T=AV$11,EXP(-IRTree!AU56*h)*AU122,EXP(-IRTree!AU56*h)*((AV55+AV56)/2+AU122))))</f>
        <v/>
      </c>
      <c r="AV55" s="3" t="str">
        <f>IF(T&lt;=AV$11,"",IF($A55&gt;AV$12,"",IF(T=AW$11,EXP(-IRTree!AV56*h)*AV122,EXP(-IRTree!AV56*h)*((AW55+AW56)/2+AV122))))</f>
        <v/>
      </c>
      <c r="AW55" s="3" t="str">
        <f>IF(T&lt;=AW$11,"",IF($A55&gt;AW$12,"",IF(T=AX$11,EXP(-IRTree!AW56*h)*AW122,EXP(-IRTree!AW56*h)*((AX55+AX56)/2+AW122))))</f>
        <v/>
      </c>
      <c r="AX55" s="3" t="str">
        <f>IF(T&lt;=AX$11,"",IF($A55&gt;AX$12,"",IF(T=AY$11,EXP(-IRTree!AX56*h)*AX122,EXP(-IRTree!AX56*h)*((AY55+AY56)/2+AX122))))</f>
        <v/>
      </c>
      <c r="AY55" s="3" t="str">
        <f>IF(T&lt;=AY$11,"",IF($A55&gt;AY$12,"",IF(T=AZ$11,EXP(-IRTree!AY56*h)*AY122,EXP(-IRTree!AY56*h)*((AZ55+AZ56)/2+AY122))))</f>
        <v/>
      </c>
      <c r="AZ55" s="3" t="str">
        <f>IF(T&lt;=AZ$11,"",IF($A55&gt;AZ$12,"",IF(T=BA$11,EXP(-IRTree!AZ56*h)*AZ122,EXP(-IRTree!AZ56*h)*((BA55+BA56)/2+AZ122))))</f>
        <v/>
      </c>
      <c r="BA55" s="3" t="str">
        <f>IF(T&lt;=BA$11,"",IF($A55&gt;BA$12,"",IF(T=BB$11,EXP(-IRTree!BA56*h)*BA122,EXP(-IRTree!BA56*h)*((BB55+BB56)/2+BA122))))</f>
        <v/>
      </c>
      <c r="BB55" s="3" t="str">
        <f>IF(T&lt;=BB$11,"",IF($A55&gt;BB$12,"",IF(T=BC$11,EXP(-IRTree!BB56*h)*BB122,EXP(-IRTree!BB56*h)*((BC55+BC56)/2+BB122))))</f>
        <v/>
      </c>
      <c r="BC55" s="3" t="str">
        <f>IF(T&lt;=BC$11,"",IF($A55&gt;BC$12,"",IF(T=BD$11,EXP(-IRTree!BC56*h)*BC122,EXP(-IRTree!BC56*h)*((BD55+BD56)/2+BC122))))</f>
        <v/>
      </c>
      <c r="BD55" s="3" t="str">
        <f>IF(T&lt;=BD$11,"",IF($A55&gt;BD$12,"",IF(T=BE$11,EXP(-IRTree!BD56*h)*BD122,EXP(-IRTree!BD56*h)*((BE55+BE56)/2+BD122))))</f>
        <v/>
      </c>
      <c r="BE55" s="3" t="str">
        <f>IF(T&lt;=BE$11,"",IF($A55&gt;BE$12,"",IF(T=BF$11,EXP(-IRTree!BE56*h)*BE122,EXP(-IRTree!BE56*h)*((BF55+BF56)/2+BE122))))</f>
        <v/>
      </c>
      <c r="BF55" s="3" t="str">
        <f>IF(T&lt;=BF$11,"",IF($A55&gt;BF$12,"",IF(T=BG$11,EXP(-IRTree!BF56*h)*BF122,EXP(-IRTree!BF56*h)*((BG55+BG56)/2+BF122))))</f>
        <v/>
      </c>
      <c r="BG55" s="3" t="str">
        <f>IF(T&lt;=BG$11,"",IF($A55&gt;BG$12,"",IF(T=BH$11,EXP(-IRTree!BG56*h)*BG122,EXP(-IRTree!BG56*h)*((BH55+BH56)/2+BG122))))</f>
        <v/>
      </c>
      <c r="BH55" s="3" t="str">
        <f>IF(T&lt;=BH$11,"",IF($A55&gt;BH$12,"",IF(T=BI$11,EXP(-IRTree!BH56*h)*BH122,EXP(-IRTree!BH56*h)*((BI55+BI56)/2+BH122))))</f>
        <v/>
      </c>
      <c r="BI55" s="3" t="str">
        <f>IF(T&lt;=BI$11,"",IF($A55&gt;BI$12,"",IF(T=BJ$11,EXP(-IRTree!BI56*h)*BI122,EXP(-IRTree!BI56*h)*((BJ55+BJ56)/2+BI122))))</f>
        <v/>
      </c>
      <c r="BJ55" s="3" t="str">
        <f>IF(T&lt;=BJ$11,"",IF($A55&gt;BJ$12,"",IF(T=BK$11,EXP(-IRTree!BJ56*h)*BJ122,EXP(-IRTree!BJ56*h)*((BK55+BK56)/2+BJ122))))</f>
        <v/>
      </c>
    </row>
    <row r="56" spans="1:62">
      <c r="A56" s="12">
        <f t="shared" si="2"/>
        <v>43</v>
      </c>
      <c r="B56" s="3" t="str">
        <f>IF(T&lt;=B$11,"",IF($A56&gt;B$12,"",IF(T=C$11,EXP(-IRTree!B57*h)*B123,EXP(-IRTree!B57*h)*((C56+C57)/2+B123))))</f>
        <v/>
      </c>
      <c r="C56" s="3" t="str">
        <f>IF(T&lt;=C$11,"",IF($A56&gt;C$12,"",IF(T=D$11,EXP(-IRTree!C57*h)*C123,EXP(-IRTree!C57*h)*((D56+D57)/2+C123))))</f>
        <v/>
      </c>
      <c r="D56" s="3" t="str">
        <f>IF(T&lt;=D$11,"",IF($A56&gt;D$12,"",IF(T=E$11,EXP(-IRTree!D57*h)*D123,EXP(-IRTree!D57*h)*((E56+E57)/2+D123))))</f>
        <v/>
      </c>
      <c r="E56" s="3" t="str">
        <f>IF(T&lt;=E$11,"",IF($A56&gt;E$12,"",IF(T=F$11,EXP(-IRTree!E57*h)*E123,EXP(-IRTree!E57*h)*((F56+F57)/2+E123))))</f>
        <v/>
      </c>
      <c r="F56" s="3" t="str">
        <f>IF(T&lt;=F$11,"",IF($A56&gt;F$12,"",IF(T=G$11,EXP(-IRTree!F57*h)*F123,EXP(-IRTree!F57*h)*((G56+G57)/2+F123))))</f>
        <v/>
      </c>
      <c r="G56" s="3" t="str">
        <f>IF(T&lt;=G$11,"",IF($A56&gt;G$12,"",IF(T=H$11,EXP(-IRTree!G57*h)*G123,EXP(-IRTree!G57*h)*((H56+H57)/2+G123))))</f>
        <v/>
      </c>
      <c r="H56" s="3" t="str">
        <f>IF(T&lt;=H$11,"",IF($A56&gt;H$12,"",IF(T=I$11,EXP(-IRTree!H57*h)*H123,EXP(-IRTree!H57*h)*((I56+I57)/2+H123))))</f>
        <v/>
      </c>
      <c r="I56" s="3" t="str">
        <f>IF(T&lt;=I$11,"",IF($A56&gt;I$12,"",IF(T=J$11,EXP(-IRTree!I57*h)*I123,EXP(-IRTree!I57*h)*((J56+J57)/2+I123))))</f>
        <v/>
      </c>
      <c r="J56" s="3" t="str">
        <f>IF(T&lt;=J$11,"",IF($A56&gt;J$12,"",IF(T=K$11,EXP(-IRTree!J57*h)*J123,EXP(-IRTree!J57*h)*((K56+K57)/2+J123))))</f>
        <v/>
      </c>
      <c r="K56" s="3" t="str">
        <f>IF(T&lt;=K$11,"",IF($A56&gt;K$12,"",IF(T=L$11,EXP(-IRTree!K57*h)*K123,EXP(-IRTree!K57*h)*((L56+L57)/2+K123))))</f>
        <v/>
      </c>
      <c r="L56" s="3" t="str">
        <f>IF(T&lt;=L$11,"",IF($A56&gt;L$12,"",IF(T=M$11,EXP(-IRTree!L57*h)*L123,EXP(-IRTree!L57*h)*((M56+M57)/2+L123))))</f>
        <v/>
      </c>
      <c r="M56" s="3" t="str">
        <f>IF(T&lt;=M$11,"",IF($A56&gt;M$12,"",IF(T=N$11,EXP(-IRTree!M57*h)*M123,EXP(-IRTree!M57*h)*((N56+N57)/2+M123))))</f>
        <v/>
      </c>
      <c r="N56" s="3" t="str">
        <f>IF(T&lt;=N$11,"",IF($A56&gt;N$12,"",IF(T=O$11,EXP(-IRTree!N57*h)*N123,EXP(-IRTree!N57*h)*((O56+O57)/2+N123))))</f>
        <v/>
      </c>
      <c r="O56" s="3" t="str">
        <f>IF(T&lt;=O$11,"",IF($A56&gt;O$12,"",IF(T=P$11,EXP(-IRTree!O57*h)*O123,EXP(-IRTree!O57*h)*((P56+P57)/2+O123))))</f>
        <v/>
      </c>
      <c r="P56" s="3" t="str">
        <f>IF(T&lt;=P$11,"",IF($A56&gt;P$12,"",IF(T=Q$11,EXP(-IRTree!P57*h)*P123,EXP(-IRTree!P57*h)*((Q56+Q57)/2+P123))))</f>
        <v/>
      </c>
      <c r="Q56" s="3" t="str">
        <f>IF(T&lt;=Q$11,"",IF($A56&gt;Q$12,"",IF(T=R$11,EXP(-IRTree!Q57*h)*Q123,EXP(-IRTree!Q57*h)*((R56+R57)/2+Q123))))</f>
        <v/>
      </c>
      <c r="R56" s="3" t="str">
        <f>IF(T&lt;=R$11,"",IF($A56&gt;R$12,"",IF(T=S$11,EXP(-IRTree!R57*h)*R123,EXP(-IRTree!R57*h)*((S56+S57)/2+R123))))</f>
        <v/>
      </c>
      <c r="S56" s="3" t="str">
        <f>IF(T&lt;=S$11,"",IF($A56&gt;S$12,"",IF(T=T$11,EXP(-IRTree!S57*h)*S123,EXP(-IRTree!S57*h)*((T56+T57)/2+S123))))</f>
        <v/>
      </c>
      <c r="T56" s="3" t="str">
        <f>IF(T&lt;=T$11,"",IF($A56&gt;T$12,"",IF(T=U$11,EXP(-IRTree!T57*h)*T123,EXP(-IRTree!T57*h)*((U56+U57)/2+T123))))</f>
        <v/>
      </c>
      <c r="U56" s="3" t="str">
        <f>IF(T&lt;=U$11,"",IF($A56&gt;U$12,"",IF(T=V$11,EXP(-IRTree!U57*h)*U123,EXP(-IRTree!U57*h)*((V56+V57)/2+U123))))</f>
        <v/>
      </c>
      <c r="V56" s="3" t="str">
        <f>IF(T&lt;=V$11,"",IF($A56&gt;V$12,"",IF(T=W$11,EXP(-IRTree!V57*h)*V123,EXP(-IRTree!V57*h)*((W56+W57)/2+V123))))</f>
        <v/>
      </c>
      <c r="W56" s="3" t="str">
        <f>IF(T&lt;=W$11,"",IF($A56&gt;W$12,"",IF(T=X$11,EXP(-IRTree!W57*h)*W123,EXP(-IRTree!W57*h)*((X56+X57)/2+W123))))</f>
        <v/>
      </c>
      <c r="X56" s="3" t="str">
        <f>IF(T&lt;=X$11,"",IF($A56&gt;X$12,"",IF(T=Y$11,EXP(-IRTree!X57*h)*X123,EXP(-IRTree!X57*h)*((Y56+Y57)/2+X123))))</f>
        <v/>
      </c>
      <c r="Y56" s="3" t="str">
        <f>IF(T&lt;=Y$11,"",IF($A56&gt;Y$12,"",IF(T=Z$11,EXP(-IRTree!Y57*h)*Y123,EXP(-IRTree!Y57*h)*((Z56+Z57)/2+Y123))))</f>
        <v/>
      </c>
      <c r="Z56" s="3" t="str">
        <f>IF(T&lt;=Z$11,"",IF($A56&gt;Z$12,"",IF(T=AA$11,EXP(-IRTree!Z57*h)*Z123,EXP(-IRTree!Z57*h)*((AA56+AA57)/2+Z123))))</f>
        <v/>
      </c>
      <c r="AA56" s="3" t="str">
        <f>IF(T&lt;=AA$11,"",IF($A56&gt;AA$12,"",IF(T=AB$11,EXP(-IRTree!AA57*h)*AA123,EXP(-IRTree!AA57*h)*((AB56+AB57)/2+AA123))))</f>
        <v/>
      </c>
      <c r="AB56" s="3" t="str">
        <f>IF(T&lt;=AB$11,"",IF($A56&gt;AB$12,"",IF(T=AC$11,EXP(-IRTree!AB57*h)*AB123,EXP(-IRTree!AB57*h)*((AC56+AC57)/2+AB123))))</f>
        <v/>
      </c>
      <c r="AC56" s="3" t="str">
        <f>IF(T&lt;=AC$11,"",IF($A56&gt;AC$12,"",IF(T=AD$11,EXP(-IRTree!AC57*h)*AC123,EXP(-IRTree!AC57*h)*((AD56+AD57)/2+AC123))))</f>
        <v/>
      </c>
      <c r="AD56" s="3" t="str">
        <f>IF(T&lt;=AD$11,"",IF($A56&gt;AD$12,"",IF(T=AE$11,EXP(-IRTree!AD57*h)*AD123,EXP(-IRTree!AD57*h)*((AE56+AE57)/2+AD123))))</f>
        <v/>
      </c>
      <c r="AE56" s="3" t="str">
        <f>IF(T&lt;=AE$11,"",IF($A56&gt;AE$12,"",IF(T=AF$11,EXP(-IRTree!AE57*h)*AE123,EXP(-IRTree!AE57*h)*((AF56+AF57)/2+AE123))))</f>
        <v/>
      </c>
      <c r="AF56" s="3" t="str">
        <f>IF(T&lt;=AF$11,"",IF($A56&gt;AF$12,"",IF(T=AG$11,EXP(-IRTree!AF57*h)*AF123,EXP(-IRTree!AF57*h)*((AG56+AG57)/2+AF123))))</f>
        <v/>
      </c>
      <c r="AG56" s="3" t="str">
        <f>IF(T&lt;=AG$11,"",IF($A56&gt;AG$12,"",IF(T=AH$11,EXP(-IRTree!AG57*h)*AG123,EXP(-IRTree!AG57*h)*((AH56+AH57)/2+AG123))))</f>
        <v/>
      </c>
      <c r="AH56" s="3" t="str">
        <f>IF(T&lt;=AH$11,"",IF($A56&gt;AH$12,"",IF(T=AI$11,EXP(-IRTree!AH57*h)*AH123,EXP(-IRTree!AH57*h)*((AI56+AI57)/2+AH123))))</f>
        <v/>
      </c>
      <c r="AI56" s="3" t="str">
        <f>IF(T&lt;=AI$11,"",IF($A56&gt;AI$12,"",IF(T=AJ$11,EXP(-IRTree!AI57*h)*AI123,EXP(-IRTree!AI57*h)*((AJ56+AJ57)/2+AI123))))</f>
        <v/>
      </c>
      <c r="AJ56" s="3" t="str">
        <f>IF(T&lt;=AJ$11,"",IF($A56&gt;AJ$12,"",IF(T=AK$11,EXP(-IRTree!AJ57*h)*AJ123,EXP(-IRTree!AJ57*h)*((AK56+AK57)/2+AJ123))))</f>
        <v/>
      </c>
      <c r="AK56" s="3" t="str">
        <f>IF(T&lt;=AK$11,"",IF($A56&gt;AK$12,"",IF(T=AL$11,EXP(-IRTree!AK57*h)*AK123,EXP(-IRTree!AK57*h)*((AL56+AL57)/2+AK123))))</f>
        <v/>
      </c>
      <c r="AL56" s="3" t="str">
        <f>IF(T&lt;=AL$11,"",IF($A56&gt;AL$12,"",IF(T=AM$11,EXP(-IRTree!AL57*h)*AL123,EXP(-IRTree!AL57*h)*((AM56+AM57)/2+AL123))))</f>
        <v/>
      </c>
      <c r="AM56" s="3" t="str">
        <f>IF(T&lt;=AM$11,"",IF($A56&gt;AM$12,"",IF(T=AN$11,EXP(-IRTree!AM57*h)*AM123,EXP(-IRTree!AM57*h)*((AN56+AN57)/2+AM123))))</f>
        <v/>
      </c>
      <c r="AN56" s="3" t="str">
        <f>IF(T&lt;=AN$11,"",IF($A56&gt;AN$12,"",IF(T=AO$11,EXP(-IRTree!AN57*h)*AN123,EXP(-IRTree!AN57*h)*((AO56+AO57)/2+AN123))))</f>
        <v/>
      </c>
      <c r="AO56" s="3" t="str">
        <f>IF(T&lt;=AO$11,"",IF($A56&gt;AO$12,"",IF(T=AP$11,EXP(-IRTree!AO57*h)*AO123,EXP(-IRTree!AO57*h)*((AP56+AP57)/2+AO123))))</f>
        <v/>
      </c>
      <c r="AP56" s="3" t="str">
        <f>IF(T&lt;=AP$11,"",IF($A56&gt;AP$12,"",IF(T=AQ$11,EXP(-IRTree!AP57*h)*AP123,EXP(-IRTree!AP57*h)*((AQ56+AQ57)/2+AP123))))</f>
        <v/>
      </c>
      <c r="AQ56" s="3" t="str">
        <f>IF(T&lt;=AQ$11,"",IF($A56&gt;AQ$12,"",IF(T=AR$11,EXP(-IRTree!AQ57*h)*AQ123,EXP(-IRTree!AQ57*h)*((AR56+AR57)/2+AQ123))))</f>
        <v/>
      </c>
      <c r="AR56" s="3" t="str">
        <f>IF(T&lt;=AR$11,"",IF($A56&gt;AR$12,"",IF(T=AS$11,EXP(-IRTree!AR57*h)*AR123,EXP(-IRTree!AR57*h)*((AS56+AS57)/2+AR123))))</f>
        <v/>
      </c>
      <c r="AS56" s="3" t="str">
        <f>IF(T&lt;=AS$11,"",IF($A56&gt;AS$12,"",IF(T=AT$11,EXP(-IRTree!AS57*h)*AS123,EXP(-IRTree!AS57*h)*((AT56+AT57)/2+AS123))))</f>
        <v/>
      </c>
      <c r="AT56" s="3" t="str">
        <f>IF(T&lt;=AT$11,"",IF($A56&gt;AT$12,"",IF(T=AU$11,EXP(-IRTree!AT57*h)*AT123,EXP(-IRTree!AT57*h)*((AU56+AU57)/2+AT123))))</f>
        <v/>
      </c>
      <c r="AU56" s="3" t="str">
        <f>IF(T&lt;=AU$11,"",IF($A56&gt;AU$12,"",IF(T=AV$11,EXP(-IRTree!AU57*h)*AU123,EXP(-IRTree!AU57*h)*((AV56+AV57)/2+AU123))))</f>
        <v/>
      </c>
      <c r="AV56" s="3" t="str">
        <f>IF(T&lt;=AV$11,"",IF($A56&gt;AV$12,"",IF(T=AW$11,EXP(-IRTree!AV57*h)*AV123,EXP(-IRTree!AV57*h)*((AW56+AW57)/2+AV123))))</f>
        <v/>
      </c>
      <c r="AW56" s="3" t="str">
        <f>IF(T&lt;=AW$11,"",IF($A56&gt;AW$12,"",IF(T=AX$11,EXP(-IRTree!AW57*h)*AW123,EXP(-IRTree!AW57*h)*((AX56+AX57)/2+AW123))))</f>
        <v/>
      </c>
      <c r="AX56" s="3" t="str">
        <f>IF(T&lt;=AX$11,"",IF($A56&gt;AX$12,"",IF(T=AY$11,EXP(-IRTree!AX57*h)*AX123,EXP(-IRTree!AX57*h)*((AY56+AY57)/2+AX123))))</f>
        <v/>
      </c>
      <c r="AY56" s="3" t="str">
        <f>IF(T&lt;=AY$11,"",IF($A56&gt;AY$12,"",IF(T=AZ$11,EXP(-IRTree!AY57*h)*AY123,EXP(-IRTree!AY57*h)*((AZ56+AZ57)/2+AY123))))</f>
        <v/>
      </c>
      <c r="AZ56" s="3" t="str">
        <f>IF(T&lt;=AZ$11,"",IF($A56&gt;AZ$12,"",IF(T=BA$11,EXP(-IRTree!AZ57*h)*AZ123,EXP(-IRTree!AZ57*h)*((BA56+BA57)/2+AZ123))))</f>
        <v/>
      </c>
      <c r="BA56" s="3" t="str">
        <f>IF(T&lt;=BA$11,"",IF($A56&gt;BA$12,"",IF(T=BB$11,EXP(-IRTree!BA57*h)*BA123,EXP(-IRTree!BA57*h)*((BB56+BB57)/2+BA123))))</f>
        <v/>
      </c>
      <c r="BB56" s="3" t="str">
        <f>IF(T&lt;=BB$11,"",IF($A56&gt;BB$12,"",IF(T=BC$11,EXP(-IRTree!BB57*h)*BB123,EXP(-IRTree!BB57*h)*((BC56+BC57)/2+BB123))))</f>
        <v/>
      </c>
      <c r="BC56" s="3" t="str">
        <f>IF(T&lt;=BC$11,"",IF($A56&gt;BC$12,"",IF(T=BD$11,EXP(-IRTree!BC57*h)*BC123,EXP(-IRTree!BC57*h)*((BD56+BD57)/2+BC123))))</f>
        <v/>
      </c>
      <c r="BD56" s="3" t="str">
        <f>IF(T&lt;=BD$11,"",IF($A56&gt;BD$12,"",IF(T=BE$11,EXP(-IRTree!BD57*h)*BD123,EXP(-IRTree!BD57*h)*((BE56+BE57)/2+BD123))))</f>
        <v/>
      </c>
      <c r="BE56" s="3" t="str">
        <f>IF(T&lt;=BE$11,"",IF($A56&gt;BE$12,"",IF(T=BF$11,EXP(-IRTree!BE57*h)*BE123,EXP(-IRTree!BE57*h)*((BF56+BF57)/2+BE123))))</f>
        <v/>
      </c>
      <c r="BF56" s="3" t="str">
        <f>IF(T&lt;=BF$11,"",IF($A56&gt;BF$12,"",IF(T=BG$11,EXP(-IRTree!BF57*h)*BF123,EXP(-IRTree!BF57*h)*((BG56+BG57)/2+BF123))))</f>
        <v/>
      </c>
      <c r="BG56" s="3" t="str">
        <f>IF(T&lt;=BG$11,"",IF($A56&gt;BG$12,"",IF(T=BH$11,EXP(-IRTree!BG57*h)*BG123,EXP(-IRTree!BG57*h)*((BH56+BH57)/2+BG123))))</f>
        <v/>
      </c>
      <c r="BH56" s="3" t="str">
        <f>IF(T&lt;=BH$11,"",IF($A56&gt;BH$12,"",IF(T=BI$11,EXP(-IRTree!BH57*h)*BH123,EXP(-IRTree!BH57*h)*((BI56+BI57)/2+BH123))))</f>
        <v/>
      </c>
      <c r="BI56" s="3" t="str">
        <f>IF(T&lt;=BI$11,"",IF($A56&gt;BI$12,"",IF(T=BJ$11,EXP(-IRTree!BI57*h)*BI123,EXP(-IRTree!BI57*h)*((BJ56+BJ57)/2+BI123))))</f>
        <v/>
      </c>
      <c r="BJ56" s="3" t="str">
        <f>IF(T&lt;=BJ$11,"",IF($A56&gt;BJ$12,"",IF(T=BK$11,EXP(-IRTree!BJ57*h)*BJ123,EXP(-IRTree!BJ57*h)*((BK56+BK57)/2+BJ123))))</f>
        <v/>
      </c>
    </row>
    <row r="57" spans="1:62">
      <c r="A57" s="12">
        <f t="shared" si="2"/>
        <v>44</v>
      </c>
      <c r="B57" s="3" t="str">
        <f>IF(T&lt;=B$11,"",IF($A57&gt;B$12,"",IF(T=C$11,EXP(-IRTree!B58*h)*B124,EXP(-IRTree!B58*h)*((C57+C58)/2+B124))))</f>
        <v/>
      </c>
      <c r="C57" s="3" t="str">
        <f>IF(T&lt;=C$11,"",IF($A57&gt;C$12,"",IF(T=D$11,EXP(-IRTree!C58*h)*C124,EXP(-IRTree!C58*h)*((D57+D58)/2+C124))))</f>
        <v/>
      </c>
      <c r="D57" s="3" t="str">
        <f>IF(T&lt;=D$11,"",IF($A57&gt;D$12,"",IF(T=E$11,EXP(-IRTree!D58*h)*D124,EXP(-IRTree!D58*h)*((E57+E58)/2+D124))))</f>
        <v/>
      </c>
      <c r="E57" s="3" t="str">
        <f>IF(T&lt;=E$11,"",IF($A57&gt;E$12,"",IF(T=F$11,EXP(-IRTree!E58*h)*E124,EXP(-IRTree!E58*h)*((F57+F58)/2+E124))))</f>
        <v/>
      </c>
      <c r="F57" s="3" t="str">
        <f>IF(T&lt;=F$11,"",IF($A57&gt;F$12,"",IF(T=G$11,EXP(-IRTree!F58*h)*F124,EXP(-IRTree!F58*h)*((G57+G58)/2+F124))))</f>
        <v/>
      </c>
      <c r="G57" s="3" t="str">
        <f>IF(T&lt;=G$11,"",IF($A57&gt;G$12,"",IF(T=H$11,EXP(-IRTree!G58*h)*G124,EXP(-IRTree!G58*h)*((H57+H58)/2+G124))))</f>
        <v/>
      </c>
      <c r="H57" s="3" t="str">
        <f>IF(T&lt;=H$11,"",IF($A57&gt;H$12,"",IF(T=I$11,EXP(-IRTree!H58*h)*H124,EXP(-IRTree!H58*h)*((I57+I58)/2+H124))))</f>
        <v/>
      </c>
      <c r="I57" s="3" t="str">
        <f>IF(T&lt;=I$11,"",IF($A57&gt;I$12,"",IF(T=J$11,EXP(-IRTree!I58*h)*I124,EXP(-IRTree!I58*h)*((J57+J58)/2+I124))))</f>
        <v/>
      </c>
      <c r="J57" s="3" t="str">
        <f>IF(T&lt;=J$11,"",IF($A57&gt;J$12,"",IF(T=K$11,EXP(-IRTree!J58*h)*J124,EXP(-IRTree!J58*h)*((K57+K58)/2+J124))))</f>
        <v/>
      </c>
      <c r="K57" s="3" t="str">
        <f>IF(T&lt;=K$11,"",IF($A57&gt;K$12,"",IF(T=L$11,EXP(-IRTree!K58*h)*K124,EXP(-IRTree!K58*h)*((L57+L58)/2+K124))))</f>
        <v/>
      </c>
      <c r="L57" s="3" t="str">
        <f>IF(T&lt;=L$11,"",IF($A57&gt;L$12,"",IF(T=M$11,EXP(-IRTree!L58*h)*L124,EXP(-IRTree!L58*h)*((M57+M58)/2+L124))))</f>
        <v/>
      </c>
      <c r="M57" s="3" t="str">
        <f>IF(T&lt;=M$11,"",IF($A57&gt;M$12,"",IF(T=N$11,EXP(-IRTree!M58*h)*M124,EXP(-IRTree!M58*h)*((N57+N58)/2+M124))))</f>
        <v/>
      </c>
      <c r="N57" s="3" t="str">
        <f>IF(T&lt;=N$11,"",IF($A57&gt;N$12,"",IF(T=O$11,EXP(-IRTree!N58*h)*N124,EXP(-IRTree!N58*h)*((O57+O58)/2+N124))))</f>
        <v/>
      </c>
      <c r="O57" s="3" t="str">
        <f>IF(T&lt;=O$11,"",IF($A57&gt;O$12,"",IF(T=P$11,EXP(-IRTree!O58*h)*O124,EXP(-IRTree!O58*h)*((P57+P58)/2+O124))))</f>
        <v/>
      </c>
      <c r="P57" s="3" t="str">
        <f>IF(T&lt;=P$11,"",IF($A57&gt;P$12,"",IF(T=Q$11,EXP(-IRTree!P58*h)*P124,EXP(-IRTree!P58*h)*((Q57+Q58)/2+P124))))</f>
        <v/>
      </c>
      <c r="Q57" s="3" t="str">
        <f>IF(T&lt;=Q$11,"",IF($A57&gt;Q$12,"",IF(T=R$11,EXP(-IRTree!Q58*h)*Q124,EXP(-IRTree!Q58*h)*((R57+R58)/2+Q124))))</f>
        <v/>
      </c>
      <c r="R57" s="3" t="str">
        <f>IF(T&lt;=R$11,"",IF($A57&gt;R$12,"",IF(T=S$11,EXP(-IRTree!R58*h)*R124,EXP(-IRTree!R58*h)*((S57+S58)/2+R124))))</f>
        <v/>
      </c>
      <c r="S57" s="3" t="str">
        <f>IF(T&lt;=S$11,"",IF($A57&gt;S$12,"",IF(T=T$11,EXP(-IRTree!S58*h)*S124,EXP(-IRTree!S58*h)*((T57+T58)/2+S124))))</f>
        <v/>
      </c>
      <c r="T57" s="3" t="str">
        <f>IF(T&lt;=T$11,"",IF($A57&gt;T$12,"",IF(T=U$11,EXP(-IRTree!T58*h)*T124,EXP(-IRTree!T58*h)*((U57+U58)/2+T124))))</f>
        <v/>
      </c>
      <c r="U57" s="3" t="str">
        <f>IF(T&lt;=U$11,"",IF($A57&gt;U$12,"",IF(T=V$11,EXP(-IRTree!U58*h)*U124,EXP(-IRTree!U58*h)*((V57+V58)/2+U124))))</f>
        <v/>
      </c>
      <c r="V57" s="3" t="str">
        <f>IF(T&lt;=V$11,"",IF($A57&gt;V$12,"",IF(T=W$11,EXP(-IRTree!V58*h)*V124,EXP(-IRTree!V58*h)*((W57+W58)/2+V124))))</f>
        <v/>
      </c>
      <c r="W57" s="3" t="str">
        <f>IF(T&lt;=W$11,"",IF($A57&gt;W$12,"",IF(T=X$11,EXP(-IRTree!W58*h)*W124,EXP(-IRTree!W58*h)*((X57+X58)/2+W124))))</f>
        <v/>
      </c>
      <c r="X57" s="3" t="str">
        <f>IF(T&lt;=X$11,"",IF($A57&gt;X$12,"",IF(T=Y$11,EXP(-IRTree!X58*h)*X124,EXP(-IRTree!X58*h)*((Y57+Y58)/2+X124))))</f>
        <v/>
      </c>
      <c r="Y57" s="3" t="str">
        <f>IF(T&lt;=Y$11,"",IF($A57&gt;Y$12,"",IF(T=Z$11,EXP(-IRTree!Y58*h)*Y124,EXP(-IRTree!Y58*h)*((Z57+Z58)/2+Y124))))</f>
        <v/>
      </c>
      <c r="Z57" s="3" t="str">
        <f>IF(T&lt;=Z$11,"",IF($A57&gt;Z$12,"",IF(T=AA$11,EXP(-IRTree!Z58*h)*Z124,EXP(-IRTree!Z58*h)*((AA57+AA58)/2+Z124))))</f>
        <v/>
      </c>
      <c r="AA57" s="3" t="str">
        <f>IF(T&lt;=AA$11,"",IF($A57&gt;AA$12,"",IF(T=AB$11,EXP(-IRTree!AA58*h)*AA124,EXP(-IRTree!AA58*h)*((AB57+AB58)/2+AA124))))</f>
        <v/>
      </c>
      <c r="AB57" s="3" t="str">
        <f>IF(T&lt;=AB$11,"",IF($A57&gt;AB$12,"",IF(T=AC$11,EXP(-IRTree!AB58*h)*AB124,EXP(-IRTree!AB58*h)*((AC57+AC58)/2+AB124))))</f>
        <v/>
      </c>
      <c r="AC57" s="3" t="str">
        <f>IF(T&lt;=AC$11,"",IF($A57&gt;AC$12,"",IF(T=AD$11,EXP(-IRTree!AC58*h)*AC124,EXP(-IRTree!AC58*h)*((AD57+AD58)/2+AC124))))</f>
        <v/>
      </c>
      <c r="AD57" s="3" t="str">
        <f>IF(T&lt;=AD$11,"",IF($A57&gt;AD$12,"",IF(T=AE$11,EXP(-IRTree!AD58*h)*AD124,EXP(-IRTree!AD58*h)*((AE57+AE58)/2+AD124))))</f>
        <v/>
      </c>
      <c r="AE57" s="3" t="str">
        <f>IF(T&lt;=AE$11,"",IF($A57&gt;AE$12,"",IF(T=AF$11,EXP(-IRTree!AE58*h)*AE124,EXP(-IRTree!AE58*h)*((AF57+AF58)/2+AE124))))</f>
        <v/>
      </c>
      <c r="AF57" s="3" t="str">
        <f>IF(T&lt;=AF$11,"",IF($A57&gt;AF$12,"",IF(T=AG$11,EXP(-IRTree!AF58*h)*AF124,EXP(-IRTree!AF58*h)*((AG57+AG58)/2+AF124))))</f>
        <v/>
      </c>
      <c r="AG57" s="3" t="str">
        <f>IF(T&lt;=AG$11,"",IF($A57&gt;AG$12,"",IF(T=AH$11,EXP(-IRTree!AG58*h)*AG124,EXP(-IRTree!AG58*h)*((AH57+AH58)/2+AG124))))</f>
        <v/>
      </c>
      <c r="AH57" s="3" t="str">
        <f>IF(T&lt;=AH$11,"",IF($A57&gt;AH$12,"",IF(T=AI$11,EXP(-IRTree!AH58*h)*AH124,EXP(-IRTree!AH58*h)*((AI57+AI58)/2+AH124))))</f>
        <v/>
      </c>
      <c r="AI57" s="3" t="str">
        <f>IF(T&lt;=AI$11,"",IF($A57&gt;AI$12,"",IF(T=AJ$11,EXP(-IRTree!AI58*h)*AI124,EXP(-IRTree!AI58*h)*((AJ57+AJ58)/2+AI124))))</f>
        <v/>
      </c>
      <c r="AJ57" s="3" t="str">
        <f>IF(T&lt;=AJ$11,"",IF($A57&gt;AJ$12,"",IF(T=AK$11,EXP(-IRTree!AJ58*h)*AJ124,EXP(-IRTree!AJ58*h)*((AK57+AK58)/2+AJ124))))</f>
        <v/>
      </c>
      <c r="AK57" s="3" t="str">
        <f>IF(T&lt;=AK$11,"",IF($A57&gt;AK$12,"",IF(T=AL$11,EXP(-IRTree!AK58*h)*AK124,EXP(-IRTree!AK58*h)*((AL57+AL58)/2+AK124))))</f>
        <v/>
      </c>
      <c r="AL57" s="3" t="str">
        <f>IF(T&lt;=AL$11,"",IF($A57&gt;AL$12,"",IF(T=AM$11,EXP(-IRTree!AL58*h)*AL124,EXP(-IRTree!AL58*h)*((AM57+AM58)/2+AL124))))</f>
        <v/>
      </c>
      <c r="AM57" s="3" t="str">
        <f>IF(T&lt;=AM$11,"",IF($A57&gt;AM$12,"",IF(T=AN$11,EXP(-IRTree!AM58*h)*AM124,EXP(-IRTree!AM58*h)*((AN57+AN58)/2+AM124))))</f>
        <v/>
      </c>
      <c r="AN57" s="3" t="str">
        <f>IF(T&lt;=AN$11,"",IF($A57&gt;AN$12,"",IF(T=AO$11,EXP(-IRTree!AN58*h)*AN124,EXP(-IRTree!AN58*h)*((AO57+AO58)/2+AN124))))</f>
        <v/>
      </c>
      <c r="AO57" s="3" t="str">
        <f>IF(T&lt;=AO$11,"",IF($A57&gt;AO$12,"",IF(T=AP$11,EXP(-IRTree!AO58*h)*AO124,EXP(-IRTree!AO58*h)*((AP57+AP58)/2+AO124))))</f>
        <v/>
      </c>
      <c r="AP57" s="3" t="str">
        <f>IF(T&lt;=AP$11,"",IF($A57&gt;AP$12,"",IF(T=AQ$11,EXP(-IRTree!AP58*h)*AP124,EXP(-IRTree!AP58*h)*((AQ57+AQ58)/2+AP124))))</f>
        <v/>
      </c>
      <c r="AQ57" s="3" t="str">
        <f>IF(T&lt;=AQ$11,"",IF($A57&gt;AQ$12,"",IF(T=AR$11,EXP(-IRTree!AQ58*h)*AQ124,EXP(-IRTree!AQ58*h)*((AR57+AR58)/2+AQ124))))</f>
        <v/>
      </c>
      <c r="AR57" s="3" t="str">
        <f>IF(T&lt;=AR$11,"",IF($A57&gt;AR$12,"",IF(T=AS$11,EXP(-IRTree!AR58*h)*AR124,EXP(-IRTree!AR58*h)*((AS57+AS58)/2+AR124))))</f>
        <v/>
      </c>
      <c r="AS57" s="3" t="str">
        <f>IF(T&lt;=AS$11,"",IF($A57&gt;AS$12,"",IF(T=AT$11,EXP(-IRTree!AS58*h)*AS124,EXP(-IRTree!AS58*h)*((AT57+AT58)/2+AS124))))</f>
        <v/>
      </c>
      <c r="AT57" s="3" t="str">
        <f>IF(T&lt;=AT$11,"",IF($A57&gt;AT$12,"",IF(T=AU$11,EXP(-IRTree!AT58*h)*AT124,EXP(-IRTree!AT58*h)*((AU57+AU58)/2+AT124))))</f>
        <v/>
      </c>
      <c r="AU57" s="3" t="str">
        <f>IF(T&lt;=AU$11,"",IF($A57&gt;AU$12,"",IF(T=AV$11,EXP(-IRTree!AU58*h)*AU124,EXP(-IRTree!AU58*h)*((AV57+AV58)/2+AU124))))</f>
        <v/>
      </c>
      <c r="AV57" s="3" t="str">
        <f>IF(T&lt;=AV$11,"",IF($A57&gt;AV$12,"",IF(T=AW$11,EXP(-IRTree!AV58*h)*AV124,EXP(-IRTree!AV58*h)*((AW57+AW58)/2+AV124))))</f>
        <v/>
      </c>
      <c r="AW57" s="3" t="str">
        <f>IF(T&lt;=AW$11,"",IF($A57&gt;AW$12,"",IF(T=AX$11,EXP(-IRTree!AW58*h)*AW124,EXP(-IRTree!AW58*h)*((AX57+AX58)/2+AW124))))</f>
        <v/>
      </c>
      <c r="AX57" s="3" t="str">
        <f>IF(T&lt;=AX$11,"",IF($A57&gt;AX$12,"",IF(T=AY$11,EXP(-IRTree!AX58*h)*AX124,EXP(-IRTree!AX58*h)*((AY57+AY58)/2+AX124))))</f>
        <v/>
      </c>
      <c r="AY57" s="3" t="str">
        <f>IF(T&lt;=AY$11,"",IF($A57&gt;AY$12,"",IF(T=AZ$11,EXP(-IRTree!AY58*h)*AY124,EXP(-IRTree!AY58*h)*((AZ57+AZ58)/2+AY124))))</f>
        <v/>
      </c>
      <c r="AZ57" s="3" t="str">
        <f>IF(T&lt;=AZ$11,"",IF($A57&gt;AZ$12,"",IF(T=BA$11,EXP(-IRTree!AZ58*h)*AZ124,EXP(-IRTree!AZ58*h)*((BA57+BA58)/2+AZ124))))</f>
        <v/>
      </c>
      <c r="BA57" s="3" t="str">
        <f>IF(T&lt;=BA$11,"",IF($A57&gt;BA$12,"",IF(T=BB$11,EXP(-IRTree!BA58*h)*BA124,EXP(-IRTree!BA58*h)*((BB57+BB58)/2+BA124))))</f>
        <v/>
      </c>
      <c r="BB57" s="3" t="str">
        <f>IF(T&lt;=BB$11,"",IF($A57&gt;BB$12,"",IF(T=BC$11,EXP(-IRTree!BB58*h)*BB124,EXP(-IRTree!BB58*h)*((BC57+BC58)/2+BB124))))</f>
        <v/>
      </c>
      <c r="BC57" s="3" t="str">
        <f>IF(T&lt;=BC$11,"",IF($A57&gt;BC$12,"",IF(T=BD$11,EXP(-IRTree!BC58*h)*BC124,EXP(-IRTree!BC58*h)*((BD57+BD58)/2+BC124))))</f>
        <v/>
      </c>
      <c r="BD57" s="3" t="str">
        <f>IF(T&lt;=BD$11,"",IF($A57&gt;BD$12,"",IF(T=BE$11,EXP(-IRTree!BD58*h)*BD124,EXP(-IRTree!BD58*h)*((BE57+BE58)/2+BD124))))</f>
        <v/>
      </c>
      <c r="BE57" s="3" t="str">
        <f>IF(T&lt;=BE$11,"",IF($A57&gt;BE$12,"",IF(T=BF$11,EXP(-IRTree!BE58*h)*BE124,EXP(-IRTree!BE58*h)*((BF57+BF58)/2+BE124))))</f>
        <v/>
      </c>
      <c r="BF57" s="3" t="str">
        <f>IF(T&lt;=BF$11,"",IF($A57&gt;BF$12,"",IF(T=BG$11,EXP(-IRTree!BF58*h)*BF124,EXP(-IRTree!BF58*h)*((BG57+BG58)/2+BF124))))</f>
        <v/>
      </c>
      <c r="BG57" s="3" t="str">
        <f>IF(T&lt;=BG$11,"",IF($A57&gt;BG$12,"",IF(T=BH$11,EXP(-IRTree!BG58*h)*BG124,EXP(-IRTree!BG58*h)*((BH57+BH58)/2+BG124))))</f>
        <v/>
      </c>
      <c r="BH57" s="3" t="str">
        <f>IF(T&lt;=BH$11,"",IF($A57&gt;BH$12,"",IF(T=BI$11,EXP(-IRTree!BH58*h)*BH124,EXP(-IRTree!BH58*h)*((BI57+BI58)/2+BH124))))</f>
        <v/>
      </c>
      <c r="BI57" s="3" t="str">
        <f>IF(T&lt;=BI$11,"",IF($A57&gt;BI$12,"",IF(T=BJ$11,EXP(-IRTree!BI58*h)*BI124,EXP(-IRTree!BI58*h)*((BJ57+BJ58)/2+BI124))))</f>
        <v/>
      </c>
      <c r="BJ57" s="3" t="str">
        <f>IF(T&lt;=BJ$11,"",IF($A57&gt;BJ$12,"",IF(T=BK$11,EXP(-IRTree!BJ58*h)*BJ124,EXP(-IRTree!BJ58*h)*((BK57+BK58)/2+BJ124))))</f>
        <v/>
      </c>
    </row>
    <row r="58" spans="1:62">
      <c r="A58" s="12">
        <f t="shared" si="2"/>
        <v>45</v>
      </c>
      <c r="B58" s="3" t="str">
        <f>IF(T&lt;=B$11,"",IF($A58&gt;B$12,"",IF(T=C$11,EXP(-IRTree!B59*h)*B125,EXP(-IRTree!B59*h)*((C58+C59)/2+B125))))</f>
        <v/>
      </c>
      <c r="C58" s="3" t="str">
        <f>IF(T&lt;=C$11,"",IF($A58&gt;C$12,"",IF(T=D$11,EXP(-IRTree!C59*h)*C125,EXP(-IRTree!C59*h)*((D58+D59)/2+C125))))</f>
        <v/>
      </c>
      <c r="D58" s="3" t="str">
        <f>IF(T&lt;=D$11,"",IF($A58&gt;D$12,"",IF(T=E$11,EXP(-IRTree!D59*h)*D125,EXP(-IRTree!D59*h)*((E58+E59)/2+D125))))</f>
        <v/>
      </c>
      <c r="E58" s="3" t="str">
        <f>IF(T&lt;=E$11,"",IF($A58&gt;E$12,"",IF(T=F$11,EXP(-IRTree!E59*h)*E125,EXP(-IRTree!E59*h)*((F58+F59)/2+E125))))</f>
        <v/>
      </c>
      <c r="F58" s="3" t="str">
        <f>IF(T&lt;=F$11,"",IF($A58&gt;F$12,"",IF(T=G$11,EXP(-IRTree!F59*h)*F125,EXP(-IRTree!F59*h)*((G58+G59)/2+F125))))</f>
        <v/>
      </c>
      <c r="G58" s="3" t="str">
        <f>IF(T&lt;=G$11,"",IF($A58&gt;G$12,"",IF(T=H$11,EXP(-IRTree!G59*h)*G125,EXP(-IRTree!G59*h)*((H58+H59)/2+G125))))</f>
        <v/>
      </c>
      <c r="H58" s="3" t="str">
        <f>IF(T&lt;=H$11,"",IF($A58&gt;H$12,"",IF(T=I$11,EXP(-IRTree!H59*h)*H125,EXP(-IRTree!H59*h)*((I58+I59)/2+H125))))</f>
        <v/>
      </c>
      <c r="I58" s="3" t="str">
        <f>IF(T&lt;=I$11,"",IF($A58&gt;I$12,"",IF(T=J$11,EXP(-IRTree!I59*h)*I125,EXP(-IRTree!I59*h)*((J58+J59)/2+I125))))</f>
        <v/>
      </c>
      <c r="J58" s="3" t="str">
        <f>IF(T&lt;=J$11,"",IF($A58&gt;J$12,"",IF(T=K$11,EXP(-IRTree!J59*h)*J125,EXP(-IRTree!J59*h)*((K58+K59)/2+J125))))</f>
        <v/>
      </c>
      <c r="K58" s="3" t="str">
        <f>IF(T&lt;=K$11,"",IF($A58&gt;K$12,"",IF(T=L$11,EXP(-IRTree!K59*h)*K125,EXP(-IRTree!K59*h)*((L58+L59)/2+K125))))</f>
        <v/>
      </c>
      <c r="L58" s="3" t="str">
        <f>IF(T&lt;=L$11,"",IF($A58&gt;L$12,"",IF(T=M$11,EXP(-IRTree!L59*h)*L125,EXP(-IRTree!L59*h)*((M58+M59)/2+L125))))</f>
        <v/>
      </c>
      <c r="M58" s="3" t="str">
        <f>IF(T&lt;=M$11,"",IF($A58&gt;M$12,"",IF(T=N$11,EXP(-IRTree!M59*h)*M125,EXP(-IRTree!M59*h)*((N58+N59)/2+M125))))</f>
        <v/>
      </c>
      <c r="N58" s="3" t="str">
        <f>IF(T&lt;=N$11,"",IF($A58&gt;N$12,"",IF(T=O$11,EXP(-IRTree!N59*h)*N125,EXP(-IRTree!N59*h)*((O58+O59)/2+N125))))</f>
        <v/>
      </c>
      <c r="O58" s="3" t="str">
        <f>IF(T&lt;=O$11,"",IF($A58&gt;O$12,"",IF(T=P$11,EXP(-IRTree!O59*h)*O125,EXP(-IRTree!O59*h)*((P58+P59)/2+O125))))</f>
        <v/>
      </c>
      <c r="P58" s="3" t="str">
        <f>IF(T&lt;=P$11,"",IF($A58&gt;P$12,"",IF(T=Q$11,EXP(-IRTree!P59*h)*P125,EXP(-IRTree!P59*h)*((Q58+Q59)/2+P125))))</f>
        <v/>
      </c>
      <c r="Q58" s="3" t="str">
        <f>IF(T&lt;=Q$11,"",IF($A58&gt;Q$12,"",IF(T=R$11,EXP(-IRTree!Q59*h)*Q125,EXP(-IRTree!Q59*h)*((R58+R59)/2+Q125))))</f>
        <v/>
      </c>
      <c r="R58" s="3" t="str">
        <f>IF(T&lt;=R$11,"",IF($A58&gt;R$12,"",IF(T=S$11,EXP(-IRTree!R59*h)*R125,EXP(-IRTree!R59*h)*((S58+S59)/2+R125))))</f>
        <v/>
      </c>
      <c r="S58" s="3" t="str">
        <f>IF(T&lt;=S$11,"",IF($A58&gt;S$12,"",IF(T=T$11,EXP(-IRTree!S59*h)*S125,EXP(-IRTree!S59*h)*((T58+T59)/2+S125))))</f>
        <v/>
      </c>
      <c r="T58" s="3" t="str">
        <f>IF(T&lt;=T$11,"",IF($A58&gt;T$12,"",IF(T=U$11,EXP(-IRTree!T59*h)*T125,EXP(-IRTree!T59*h)*((U58+U59)/2+T125))))</f>
        <v/>
      </c>
      <c r="U58" s="3" t="str">
        <f>IF(T&lt;=U$11,"",IF($A58&gt;U$12,"",IF(T=V$11,EXP(-IRTree!U59*h)*U125,EXP(-IRTree!U59*h)*((V58+V59)/2+U125))))</f>
        <v/>
      </c>
      <c r="V58" s="3" t="str">
        <f>IF(T&lt;=V$11,"",IF($A58&gt;V$12,"",IF(T=W$11,EXP(-IRTree!V59*h)*V125,EXP(-IRTree!V59*h)*((W58+W59)/2+V125))))</f>
        <v/>
      </c>
      <c r="W58" s="3" t="str">
        <f>IF(T&lt;=W$11,"",IF($A58&gt;W$12,"",IF(T=X$11,EXP(-IRTree!W59*h)*W125,EXP(-IRTree!W59*h)*((X58+X59)/2+W125))))</f>
        <v/>
      </c>
      <c r="X58" s="3" t="str">
        <f>IF(T&lt;=X$11,"",IF($A58&gt;X$12,"",IF(T=Y$11,EXP(-IRTree!X59*h)*X125,EXP(-IRTree!X59*h)*((Y58+Y59)/2+X125))))</f>
        <v/>
      </c>
      <c r="Y58" s="3" t="str">
        <f>IF(T&lt;=Y$11,"",IF($A58&gt;Y$12,"",IF(T=Z$11,EXP(-IRTree!Y59*h)*Y125,EXP(-IRTree!Y59*h)*((Z58+Z59)/2+Y125))))</f>
        <v/>
      </c>
      <c r="Z58" s="3" t="str">
        <f>IF(T&lt;=Z$11,"",IF($A58&gt;Z$12,"",IF(T=AA$11,EXP(-IRTree!Z59*h)*Z125,EXP(-IRTree!Z59*h)*((AA58+AA59)/2+Z125))))</f>
        <v/>
      </c>
      <c r="AA58" s="3" t="str">
        <f>IF(T&lt;=AA$11,"",IF($A58&gt;AA$12,"",IF(T=AB$11,EXP(-IRTree!AA59*h)*AA125,EXP(-IRTree!AA59*h)*((AB58+AB59)/2+AA125))))</f>
        <v/>
      </c>
      <c r="AB58" s="3" t="str">
        <f>IF(T&lt;=AB$11,"",IF($A58&gt;AB$12,"",IF(T=AC$11,EXP(-IRTree!AB59*h)*AB125,EXP(-IRTree!AB59*h)*((AC58+AC59)/2+AB125))))</f>
        <v/>
      </c>
      <c r="AC58" s="3" t="str">
        <f>IF(T&lt;=AC$11,"",IF($A58&gt;AC$12,"",IF(T=AD$11,EXP(-IRTree!AC59*h)*AC125,EXP(-IRTree!AC59*h)*((AD58+AD59)/2+AC125))))</f>
        <v/>
      </c>
      <c r="AD58" s="3" t="str">
        <f>IF(T&lt;=AD$11,"",IF($A58&gt;AD$12,"",IF(T=AE$11,EXP(-IRTree!AD59*h)*AD125,EXP(-IRTree!AD59*h)*((AE58+AE59)/2+AD125))))</f>
        <v/>
      </c>
      <c r="AE58" s="3" t="str">
        <f>IF(T&lt;=AE$11,"",IF($A58&gt;AE$12,"",IF(T=AF$11,EXP(-IRTree!AE59*h)*AE125,EXP(-IRTree!AE59*h)*((AF58+AF59)/2+AE125))))</f>
        <v/>
      </c>
      <c r="AF58" s="3" t="str">
        <f>IF(T&lt;=AF$11,"",IF($A58&gt;AF$12,"",IF(T=AG$11,EXP(-IRTree!AF59*h)*AF125,EXP(-IRTree!AF59*h)*((AG58+AG59)/2+AF125))))</f>
        <v/>
      </c>
      <c r="AG58" s="3" t="str">
        <f>IF(T&lt;=AG$11,"",IF($A58&gt;AG$12,"",IF(T=AH$11,EXP(-IRTree!AG59*h)*AG125,EXP(-IRTree!AG59*h)*((AH58+AH59)/2+AG125))))</f>
        <v/>
      </c>
      <c r="AH58" s="3" t="str">
        <f>IF(T&lt;=AH$11,"",IF($A58&gt;AH$12,"",IF(T=AI$11,EXP(-IRTree!AH59*h)*AH125,EXP(-IRTree!AH59*h)*((AI58+AI59)/2+AH125))))</f>
        <v/>
      </c>
      <c r="AI58" s="3" t="str">
        <f>IF(T&lt;=AI$11,"",IF($A58&gt;AI$12,"",IF(T=AJ$11,EXP(-IRTree!AI59*h)*AI125,EXP(-IRTree!AI59*h)*((AJ58+AJ59)/2+AI125))))</f>
        <v/>
      </c>
      <c r="AJ58" s="3" t="str">
        <f>IF(T&lt;=AJ$11,"",IF($A58&gt;AJ$12,"",IF(T=AK$11,EXP(-IRTree!AJ59*h)*AJ125,EXP(-IRTree!AJ59*h)*((AK58+AK59)/2+AJ125))))</f>
        <v/>
      </c>
      <c r="AK58" s="3" t="str">
        <f>IF(T&lt;=AK$11,"",IF($A58&gt;AK$12,"",IF(T=AL$11,EXP(-IRTree!AK59*h)*AK125,EXP(-IRTree!AK59*h)*((AL58+AL59)/2+AK125))))</f>
        <v/>
      </c>
      <c r="AL58" s="3" t="str">
        <f>IF(T&lt;=AL$11,"",IF($A58&gt;AL$12,"",IF(T=AM$11,EXP(-IRTree!AL59*h)*AL125,EXP(-IRTree!AL59*h)*((AM58+AM59)/2+AL125))))</f>
        <v/>
      </c>
      <c r="AM58" s="3" t="str">
        <f>IF(T&lt;=AM$11,"",IF($A58&gt;AM$12,"",IF(T=AN$11,EXP(-IRTree!AM59*h)*AM125,EXP(-IRTree!AM59*h)*((AN58+AN59)/2+AM125))))</f>
        <v/>
      </c>
      <c r="AN58" s="3" t="str">
        <f>IF(T&lt;=AN$11,"",IF($A58&gt;AN$12,"",IF(T=AO$11,EXP(-IRTree!AN59*h)*AN125,EXP(-IRTree!AN59*h)*((AO58+AO59)/2+AN125))))</f>
        <v/>
      </c>
      <c r="AO58" s="3" t="str">
        <f>IF(T&lt;=AO$11,"",IF($A58&gt;AO$12,"",IF(T=AP$11,EXP(-IRTree!AO59*h)*AO125,EXP(-IRTree!AO59*h)*((AP58+AP59)/2+AO125))))</f>
        <v/>
      </c>
      <c r="AP58" s="3" t="str">
        <f>IF(T&lt;=AP$11,"",IF($A58&gt;AP$12,"",IF(T=AQ$11,EXP(-IRTree!AP59*h)*AP125,EXP(-IRTree!AP59*h)*((AQ58+AQ59)/2+AP125))))</f>
        <v/>
      </c>
      <c r="AQ58" s="3" t="str">
        <f>IF(T&lt;=AQ$11,"",IF($A58&gt;AQ$12,"",IF(T=AR$11,EXP(-IRTree!AQ59*h)*AQ125,EXP(-IRTree!AQ59*h)*((AR58+AR59)/2+AQ125))))</f>
        <v/>
      </c>
      <c r="AR58" s="3" t="str">
        <f>IF(T&lt;=AR$11,"",IF($A58&gt;AR$12,"",IF(T=AS$11,EXP(-IRTree!AR59*h)*AR125,EXP(-IRTree!AR59*h)*((AS58+AS59)/2+AR125))))</f>
        <v/>
      </c>
      <c r="AS58" s="3" t="str">
        <f>IF(T&lt;=AS$11,"",IF($A58&gt;AS$12,"",IF(T=AT$11,EXP(-IRTree!AS59*h)*AS125,EXP(-IRTree!AS59*h)*((AT58+AT59)/2+AS125))))</f>
        <v/>
      </c>
      <c r="AT58" s="3" t="str">
        <f>IF(T&lt;=AT$11,"",IF($A58&gt;AT$12,"",IF(T=AU$11,EXP(-IRTree!AT59*h)*AT125,EXP(-IRTree!AT59*h)*((AU58+AU59)/2+AT125))))</f>
        <v/>
      </c>
      <c r="AU58" s="3" t="str">
        <f>IF(T&lt;=AU$11,"",IF($A58&gt;AU$12,"",IF(T=AV$11,EXP(-IRTree!AU59*h)*AU125,EXP(-IRTree!AU59*h)*((AV58+AV59)/2+AU125))))</f>
        <v/>
      </c>
      <c r="AV58" s="3" t="str">
        <f>IF(T&lt;=AV$11,"",IF($A58&gt;AV$12,"",IF(T=AW$11,EXP(-IRTree!AV59*h)*AV125,EXP(-IRTree!AV59*h)*((AW58+AW59)/2+AV125))))</f>
        <v/>
      </c>
      <c r="AW58" s="3" t="str">
        <f>IF(T&lt;=AW$11,"",IF($A58&gt;AW$12,"",IF(T=AX$11,EXP(-IRTree!AW59*h)*AW125,EXP(-IRTree!AW59*h)*((AX58+AX59)/2+AW125))))</f>
        <v/>
      </c>
      <c r="AX58" s="3" t="str">
        <f>IF(T&lt;=AX$11,"",IF($A58&gt;AX$12,"",IF(T=AY$11,EXP(-IRTree!AX59*h)*AX125,EXP(-IRTree!AX59*h)*((AY58+AY59)/2+AX125))))</f>
        <v/>
      </c>
      <c r="AY58" s="3" t="str">
        <f>IF(T&lt;=AY$11,"",IF($A58&gt;AY$12,"",IF(T=AZ$11,EXP(-IRTree!AY59*h)*AY125,EXP(-IRTree!AY59*h)*((AZ58+AZ59)/2+AY125))))</f>
        <v/>
      </c>
      <c r="AZ58" s="3" t="str">
        <f>IF(T&lt;=AZ$11,"",IF($A58&gt;AZ$12,"",IF(T=BA$11,EXP(-IRTree!AZ59*h)*AZ125,EXP(-IRTree!AZ59*h)*((BA58+BA59)/2+AZ125))))</f>
        <v/>
      </c>
      <c r="BA58" s="3" t="str">
        <f>IF(T&lt;=BA$11,"",IF($A58&gt;BA$12,"",IF(T=BB$11,EXP(-IRTree!BA59*h)*BA125,EXP(-IRTree!BA59*h)*((BB58+BB59)/2+BA125))))</f>
        <v/>
      </c>
      <c r="BB58" s="3" t="str">
        <f>IF(T&lt;=BB$11,"",IF($A58&gt;BB$12,"",IF(T=BC$11,EXP(-IRTree!BB59*h)*BB125,EXP(-IRTree!BB59*h)*((BC58+BC59)/2+BB125))))</f>
        <v/>
      </c>
      <c r="BC58" s="3" t="str">
        <f>IF(T&lt;=BC$11,"",IF($A58&gt;BC$12,"",IF(T=BD$11,EXP(-IRTree!BC59*h)*BC125,EXP(-IRTree!BC59*h)*((BD58+BD59)/2+BC125))))</f>
        <v/>
      </c>
      <c r="BD58" s="3" t="str">
        <f>IF(T&lt;=BD$11,"",IF($A58&gt;BD$12,"",IF(T=BE$11,EXP(-IRTree!BD59*h)*BD125,EXP(-IRTree!BD59*h)*((BE58+BE59)/2+BD125))))</f>
        <v/>
      </c>
      <c r="BE58" s="3" t="str">
        <f>IF(T&lt;=BE$11,"",IF($A58&gt;BE$12,"",IF(T=BF$11,EXP(-IRTree!BE59*h)*BE125,EXP(-IRTree!BE59*h)*((BF58+BF59)/2+BE125))))</f>
        <v/>
      </c>
      <c r="BF58" s="3" t="str">
        <f>IF(T&lt;=BF$11,"",IF($A58&gt;BF$12,"",IF(T=BG$11,EXP(-IRTree!BF59*h)*BF125,EXP(-IRTree!BF59*h)*((BG58+BG59)/2+BF125))))</f>
        <v/>
      </c>
      <c r="BG58" s="3" t="str">
        <f>IF(T&lt;=BG$11,"",IF($A58&gt;BG$12,"",IF(T=BH$11,EXP(-IRTree!BG59*h)*BG125,EXP(-IRTree!BG59*h)*((BH58+BH59)/2+BG125))))</f>
        <v/>
      </c>
      <c r="BH58" s="3" t="str">
        <f>IF(T&lt;=BH$11,"",IF($A58&gt;BH$12,"",IF(T=BI$11,EXP(-IRTree!BH59*h)*BH125,EXP(-IRTree!BH59*h)*((BI58+BI59)/2+BH125))))</f>
        <v/>
      </c>
      <c r="BI58" s="3" t="str">
        <f>IF(T&lt;=BI$11,"",IF($A58&gt;BI$12,"",IF(T=BJ$11,EXP(-IRTree!BI59*h)*BI125,EXP(-IRTree!BI59*h)*((BJ58+BJ59)/2+BI125))))</f>
        <v/>
      </c>
      <c r="BJ58" s="3" t="str">
        <f>IF(T&lt;=BJ$11,"",IF($A58&gt;BJ$12,"",IF(T=BK$11,EXP(-IRTree!BJ59*h)*BJ125,EXP(-IRTree!BJ59*h)*((BK58+BK59)/2+BJ125))))</f>
        <v/>
      </c>
    </row>
    <row r="59" spans="1:62">
      <c r="A59" s="12">
        <f t="shared" si="2"/>
        <v>46</v>
      </c>
      <c r="B59" s="3" t="str">
        <f>IF(T&lt;=B$11,"",IF($A59&gt;B$12,"",IF(T=C$11,EXP(-IRTree!B60*h)*B126,EXP(-IRTree!B60*h)*((C59+C60)/2+B126))))</f>
        <v/>
      </c>
      <c r="C59" s="3" t="str">
        <f>IF(T&lt;=C$11,"",IF($A59&gt;C$12,"",IF(T=D$11,EXP(-IRTree!C60*h)*C126,EXP(-IRTree!C60*h)*((D59+D60)/2+C126))))</f>
        <v/>
      </c>
      <c r="D59" s="3" t="str">
        <f>IF(T&lt;=D$11,"",IF($A59&gt;D$12,"",IF(T=E$11,EXP(-IRTree!D60*h)*D126,EXP(-IRTree!D60*h)*((E59+E60)/2+D126))))</f>
        <v/>
      </c>
      <c r="E59" s="3" t="str">
        <f>IF(T&lt;=E$11,"",IF($A59&gt;E$12,"",IF(T=F$11,EXP(-IRTree!E60*h)*E126,EXP(-IRTree!E60*h)*((F59+F60)/2+E126))))</f>
        <v/>
      </c>
      <c r="F59" s="3" t="str">
        <f>IF(T&lt;=F$11,"",IF($A59&gt;F$12,"",IF(T=G$11,EXP(-IRTree!F60*h)*F126,EXP(-IRTree!F60*h)*((G59+G60)/2+F126))))</f>
        <v/>
      </c>
      <c r="G59" s="3" t="str">
        <f>IF(T&lt;=G$11,"",IF($A59&gt;G$12,"",IF(T=H$11,EXP(-IRTree!G60*h)*G126,EXP(-IRTree!G60*h)*((H59+H60)/2+G126))))</f>
        <v/>
      </c>
      <c r="H59" s="3" t="str">
        <f>IF(T&lt;=H$11,"",IF($A59&gt;H$12,"",IF(T=I$11,EXP(-IRTree!H60*h)*H126,EXP(-IRTree!H60*h)*((I59+I60)/2+H126))))</f>
        <v/>
      </c>
      <c r="I59" s="3" t="str">
        <f>IF(T&lt;=I$11,"",IF($A59&gt;I$12,"",IF(T=J$11,EXP(-IRTree!I60*h)*I126,EXP(-IRTree!I60*h)*((J59+J60)/2+I126))))</f>
        <v/>
      </c>
      <c r="J59" s="3" t="str">
        <f>IF(T&lt;=J$11,"",IF($A59&gt;J$12,"",IF(T=K$11,EXP(-IRTree!J60*h)*J126,EXP(-IRTree!J60*h)*((K59+K60)/2+J126))))</f>
        <v/>
      </c>
      <c r="K59" s="3" t="str">
        <f>IF(T&lt;=K$11,"",IF($A59&gt;K$12,"",IF(T=L$11,EXP(-IRTree!K60*h)*K126,EXP(-IRTree!K60*h)*((L59+L60)/2+K126))))</f>
        <v/>
      </c>
      <c r="L59" s="3" t="str">
        <f>IF(T&lt;=L$11,"",IF($A59&gt;L$12,"",IF(T=M$11,EXP(-IRTree!L60*h)*L126,EXP(-IRTree!L60*h)*((M59+M60)/2+L126))))</f>
        <v/>
      </c>
      <c r="M59" s="3" t="str">
        <f>IF(T&lt;=M$11,"",IF($A59&gt;M$12,"",IF(T=N$11,EXP(-IRTree!M60*h)*M126,EXP(-IRTree!M60*h)*((N59+N60)/2+M126))))</f>
        <v/>
      </c>
      <c r="N59" s="3" t="str">
        <f>IF(T&lt;=N$11,"",IF($A59&gt;N$12,"",IF(T=O$11,EXP(-IRTree!N60*h)*N126,EXP(-IRTree!N60*h)*((O59+O60)/2+N126))))</f>
        <v/>
      </c>
      <c r="O59" s="3" t="str">
        <f>IF(T&lt;=O$11,"",IF($A59&gt;O$12,"",IF(T=P$11,EXP(-IRTree!O60*h)*O126,EXP(-IRTree!O60*h)*((P59+P60)/2+O126))))</f>
        <v/>
      </c>
      <c r="P59" s="3" t="str">
        <f>IF(T&lt;=P$11,"",IF($A59&gt;P$12,"",IF(T=Q$11,EXP(-IRTree!P60*h)*P126,EXP(-IRTree!P60*h)*((Q59+Q60)/2+P126))))</f>
        <v/>
      </c>
      <c r="Q59" s="3" t="str">
        <f>IF(T&lt;=Q$11,"",IF($A59&gt;Q$12,"",IF(T=R$11,EXP(-IRTree!Q60*h)*Q126,EXP(-IRTree!Q60*h)*((R59+R60)/2+Q126))))</f>
        <v/>
      </c>
      <c r="R59" s="3" t="str">
        <f>IF(T&lt;=R$11,"",IF($A59&gt;R$12,"",IF(T=S$11,EXP(-IRTree!R60*h)*R126,EXP(-IRTree!R60*h)*((S59+S60)/2+R126))))</f>
        <v/>
      </c>
      <c r="S59" s="3" t="str">
        <f>IF(T&lt;=S$11,"",IF($A59&gt;S$12,"",IF(T=T$11,EXP(-IRTree!S60*h)*S126,EXP(-IRTree!S60*h)*((T59+T60)/2+S126))))</f>
        <v/>
      </c>
      <c r="T59" s="3" t="str">
        <f>IF(T&lt;=T$11,"",IF($A59&gt;T$12,"",IF(T=U$11,EXP(-IRTree!T60*h)*T126,EXP(-IRTree!T60*h)*((U59+U60)/2+T126))))</f>
        <v/>
      </c>
      <c r="U59" s="3" t="str">
        <f>IF(T&lt;=U$11,"",IF($A59&gt;U$12,"",IF(T=V$11,EXP(-IRTree!U60*h)*U126,EXP(-IRTree!U60*h)*((V59+V60)/2+U126))))</f>
        <v/>
      </c>
      <c r="V59" s="3" t="str">
        <f>IF(T&lt;=V$11,"",IF($A59&gt;V$12,"",IF(T=W$11,EXP(-IRTree!V60*h)*V126,EXP(-IRTree!V60*h)*((W59+W60)/2+V126))))</f>
        <v/>
      </c>
      <c r="W59" s="3" t="str">
        <f>IF(T&lt;=W$11,"",IF($A59&gt;W$12,"",IF(T=X$11,EXP(-IRTree!W60*h)*W126,EXP(-IRTree!W60*h)*((X59+X60)/2+W126))))</f>
        <v/>
      </c>
      <c r="X59" s="3" t="str">
        <f>IF(T&lt;=X$11,"",IF($A59&gt;X$12,"",IF(T=Y$11,EXP(-IRTree!X60*h)*X126,EXP(-IRTree!X60*h)*((Y59+Y60)/2+X126))))</f>
        <v/>
      </c>
      <c r="Y59" s="3" t="str">
        <f>IF(T&lt;=Y$11,"",IF($A59&gt;Y$12,"",IF(T=Z$11,EXP(-IRTree!Y60*h)*Y126,EXP(-IRTree!Y60*h)*((Z59+Z60)/2+Y126))))</f>
        <v/>
      </c>
      <c r="Z59" s="3" t="str">
        <f>IF(T&lt;=Z$11,"",IF($A59&gt;Z$12,"",IF(T=AA$11,EXP(-IRTree!Z60*h)*Z126,EXP(-IRTree!Z60*h)*((AA59+AA60)/2+Z126))))</f>
        <v/>
      </c>
      <c r="AA59" s="3" t="str">
        <f>IF(T&lt;=AA$11,"",IF($A59&gt;AA$12,"",IF(T=AB$11,EXP(-IRTree!AA60*h)*AA126,EXP(-IRTree!AA60*h)*((AB59+AB60)/2+AA126))))</f>
        <v/>
      </c>
      <c r="AB59" s="3" t="str">
        <f>IF(T&lt;=AB$11,"",IF($A59&gt;AB$12,"",IF(T=AC$11,EXP(-IRTree!AB60*h)*AB126,EXP(-IRTree!AB60*h)*((AC59+AC60)/2+AB126))))</f>
        <v/>
      </c>
      <c r="AC59" s="3" t="str">
        <f>IF(T&lt;=AC$11,"",IF($A59&gt;AC$12,"",IF(T=AD$11,EXP(-IRTree!AC60*h)*AC126,EXP(-IRTree!AC60*h)*((AD59+AD60)/2+AC126))))</f>
        <v/>
      </c>
      <c r="AD59" s="3" t="str">
        <f>IF(T&lt;=AD$11,"",IF($A59&gt;AD$12,"",IF(T=AE$11,EXP(-IRTree!AD60*h)*AD126,EXP(-IRTree!AD60*h)*((AE59+AE60)/2+AD126))))</f>
        <v/>
      </c>
      <c r="AE59" s="3" t="str">
        <f>IF(T&lt;=AE$11,"",IF($A59&gt;AE$12,"",IF(T=AF$11,EXP(-IRTree!AE60*h)*AE126,EXP(-IRTree!AE60*h)*((AF59+AF60)/2+AE126))))</f>
        <v/>
      </c>
      <c r="AF59" s="3" t="str">
        <f>IF(T&lt;=AF$11,"",IF($A59&gt;AF$12,"",IF(T=AG$11,EXP(-IRTree!AF60*h)*AF126,EXP(-IRTree!AF60*h)*((AG59+AG60)/2+AF126))))</f>
        <v/>
      </c>
      <c r="AG59" s="3" t="str">
        <f>IF(T&lt;=AG$11,"",IF($A59&gt;AG$12,"",IF(T=AH$11,EXP(-IRTree!AG60*h)*AG126,EXP(-IRTree!AG60*h)*((AH59+AH60)/2+AG126))))</f>
        <v/>
      </c>
      <c r="AH59" s="3" t="str">
        <f>IF(T&lt;=AH$11,"",IF($A59&gt;AH$12,"",IF(T=AI$11,EXP(-IRTree!AH60*h)*AH126,EXP(-IRTree!AH60*h)*((AI59+AI60)/2+AH126))))</f>
        <v/>
      </c>
      <c r="AI59" s="3" t="str">
        <f>IF(T&lt;=AI$11,"",IF($A59&gt;AI$12,"",IF(T=AJ$11,EXP(-IRTree!AI60*h)*AI126,EXP(-IRTree!AI60*h)*((AJ59+AJ60)/2+AI126))))</f>
        <v/>
      </c>
      <c r="AJ59" s="3" t="str">
        <f>IF(T&lt;=AJ$11,"",IF($A59&gt;AJ$12,"",IF(T=AK$11,EXP(-IRTree!AJ60*h)*AJ126,EXP(-IRTree!AJ60*h)*((AK59+AK60)/2+AJ126))))</f>
        <v/>
      </c>
      <c r="AK59" s="3" t="str">
        <f>IF(T&lt;=AK$11,"",IF($A59&gt;AK$12,"",IF(T=AL$11,EXP(-IRTree!AK60*h)*AK126,EXP(-IRTree!AK60*h)*((AL59+AL60)/2+AK126))))</f>
        <v/>
      </c>
      <c r="AL59" s="3" t="str">
        <f>IF(T&lt;=AL$11,"",IF($A59&gt;AL$12,"",IF(T=AM$11,EXP(-IRTree!AL60*h)*AL126,EXP(-IRTree!AL60*h)*((AM59+AM60)/2+AL126))))</f>
        <v/>
      </c>
      <c r="AM59" s="3" t="str">
        <f>IF(T&lt;=AM$11,"",IF($A59&gt;AM$12,"",IF(T=AN$11,EXP(-IRTree!AM60*h)*AM126,EXP(-IRTree!AM60*h)*((AN59+AN60)/2+AM126))))</f>
        <v/>
      </c>
      <c r="AN59" s="3" t="str">
        <f>IF(T&lt;=AN$11,"",IF($A59&gt;AN$12,"",IF(T=AO$11,EXP(-IRTree!AN60*h)*AN126,EXP(-IRTree!AN60*h)*((AO59+AO60)/2+AN126))))</f>
        <v/>
      </c>
      <c r="AO59" s="3" t="str">
        <f>IF(T&lt;=AO$11,"",IF($A59&gt;AO$12,"",IF(T=AP$11,EXP(-IRTree!AO60*h)*AO126,EXP(-IRTree!AO60*h)*((AP59+AP60)/2+AO126))))</f>
        <v/>
      </c>
      <c r="AP59" s="3" t="str">
        <f>IF(T&lt;=AP$11,"",IF($A59&gt;AP$12,"",IF(T=AQ$11,EXP(-IRTree!AP60*h)*AP126,EXP(-IRTree!AP60*h)*((AQ59+AQ60)/2+AP126))))</f>
        <v/>
      </c>
      <c r="AQ59" s="3" t="str">
        <f>IF(T&lt;=AQ$11,"",IF($A59&gt;AQ$12,"",IF(T=AR$11,EXP(-IRTree!AQ60*h)*AQ126,EXP(-IRTree!AQ60*h)*((AR59+AR60)/2+AQ126))))</f>
        <v/>
      </c>
      <c r="AR59" s="3" t="str">
        <f>IF(T&lt;=AR$11,"",IF($A59&gt;AR$12,"",IF(T=AS$11,EXP(-IRTree!AR60*h)*AR126,EXP(-IRTree!AR60*h)*((AS59+AS60)/2+AR126))))</f>
        <v/>
      </c>
      <c r="AS59" s="3" t="str">
        <f>IF(T&lt;=AS$11,"",IF($A59&gt;AS$12,"",IF(T=AT$11,EXP(-IRTree!AS60*h)*AS126,EXP(-IRTree!AS60*h)*((AT59+AT60)/2+AS126))))</f>
        <v/>
      </c>
      <c r="AT59" s="3" t="str">
        <f>IF(T&lt;=AT$11,"",IF($A59&gt;AT$12,"",IF(T=AU$11,EXP(-IRTree!AT60*h)*AT126,EXP(-IRTree!AT60*h)*((AU59+AU60)/2+AT126))))</f>
        <v/>
      </c>
      <c r="AU59" s="3" t="str">
        <f>IF(T&lt;=AU$11,"",IF($A59&gt;AU$12,"",IF(T=AV$11,EXP(-IRTree!AU60*h)*AU126,EXP(-IRTree!AU60*h)*((AV59+AV60)/2+AU126))))</f>
        <v/>
      </c>
      <c r="AV59" s="3" t="str">
        <f>IF(T&lt;=AV$11,"",IF($A59&gt;AV$12,"",IF(T=AW$11,EXP(-IRTree!AV60*h)*AV126,EXP(-IRTree!AV60*h)*((AW59+AW60)/2+AV126))))</f>
        <v/>
      </c>
      <c r="AW59" s="3" t="str">
        <f>IF(T&lt;=AW$11,"",IF($A59&gt;AW$12,"",IF(T=AX$11,EXP(-IRTree!AW60*h)*AW126,EXP(-IRTree!AW60*h)*((AX59+AX60)/2+AW126))))</f>
        <v/>
      </c>
      <c r="AX59" s="3" t="str">
        <f>IF(T&lt;=AX$11,"",IF($A59&gt;AX$12,"",IF(T=AY$11,EXP(-IRTree!AX60*h)*AX126,EXP(-IRTree!AX60*h)*((AY59+AY60)/2+AX126))))</f>
        <v/>
      </c>
      <c r="AY59" s="3" t="str">
        <f>IF(T&lt;=AY$11,"",IF($A59&gt;AY$12,"",IF(T=AZ$11,EXP(-IRTree!AY60*h)*AY126,EXP(-IRTree!AY60*h)*((AZ59+AZ60)/2+AY126))))</f>
        <v/>
      </c>
      <c r="AZ59" s="3" t="str">
        <f>IF(T&lt;=AZ$11,"",IF($A59&gt;AZ$12,"",IF(T=BA$11,EXP(-IRTree!AZ60*h)*AZ126,EXP(-IRTree!AZ60*h)*((BA59+BA60)/2+AZ126))))</f>
        <v/>
      </c>
      <c r="BA59" s="3" t="str">
        <f>IF(T&lt;=BA$11,"",IF($A59&gt;BA$12,"",IF(T=BB$11,EXP(-IRTree!BA60*h)*BA126,EXP(-IRTree!BA60*h)*((BB59+BB60)/2+BA126))))</f>
        <v/>
      </c>
      <c r="BB59" s="3" t="str">
        <f>IF(T&lt;=BB$11,"",IF($A59&gt;BB$12,"",IF(T=BC$11,EXP(-IRTree!BB60*h)*BB126,EXP(-IRTree!BB60*h)*((BC59+BC60)/2+BB126))))</f>
        <v/>
      </c>
      <c r="BC59" s="3" t="str">
        <f>IF(T&lt;=BC$11,"",IF($A59&gt;BC$12,"",IF(T=BD$11,EXP(-IRTree!BC60*h)*BC126,EXP(-IRTree!BC60*h)*((BD59+BD60)/2+BC126))))</f>
        <v/>
      </c>
      <c r="BD59" s="3" t="str">
        <f>IF(T&lt;=BD$11,"",IF($A59&gt;BD$12,"",IF(T=BE$11,EXP(-IRTree!BD60*h)*BD126,EXP(-IRTree!BD60*h)*((BE59+BE60)/2+BD126))))</f>
        <v/>
      </c>
      <c r="BE59" s="3" t="str">
        <f>IF(T&lt;=BE$11,"",IF($A59&gt;BE$12,"",IF(T=BF$11,EXP(-IRTree!BE60*h)*BE126,EXP(-IRTree!BE60*h)*((BF59+BF60)/2+BE126))))</f>
        <v/>
      </c>
      <c r="BF59" s="3" t="str">
        <f>IF(T&lt;=BF$11,"",IF($A59&gt;BF$12,"",IF(T=BG$11,EXP(-IRTree!BF60*h)*BF126,EXP(-IRTree!BF60*h)*((BG59+BG60)/2+BF126))))</f>
        <v/>
      </c>
      <c r="BG59" s="3" t="str">
        <f>IF(T&lt;=BG$11,"",IF($A59&gt;BG$12,"",IF(T=BH$11,EXP(-IRTree!BG60*h)*BG126,EXP(-IRTree!BG60*h)*((BH59+BH60)/2+BG126))))</f>
        <v/>
      </c>
      <c r="BH59" s="3" t="str">
        <f>IF(T&lt;=BH$11,"",IF($A59&gt;BH$12,"",IF(T=BI$11,EXP(-IRTree!BH60*h)*BH126,EXP(-IRTree!BH60*h)*((BI59+BI60)/2+BH126))))</f>
        <v/>
      </c>
      <c r="BI59" s="3" t="str">
        <f>IF(T&lt;=BI$11,"",IF($A59&gt;BI$12,"",IF(T=BJ$11,EXP(-IRTree!BI60*h)*BI126,EXP(-IRTree!BI60*h)*((BJ59+BJ60)/2+BI126))))</f>
        <v/>
      </c>
      <c r="BJ59" s="3" t="str">
        <f>IF(T&lt;=BJ$11,"",IF($A59&gt;BJ$12,"",IF(T=BK$11,EXP(-IRTree!BJ60*h)*BJ126,EXP(-IRTree!BJ60*h)*((BK59+BK60)/2+BJ126))))</f>
        <v/>
      </c>
    </row>
    <row r="60" spans="1:62">
      <c r="A60" s="12">
        <f t="shared" si="2"/>
        <v>47</v>
      </c>
      <c r="B60" s="3" t="str">
        <f>IF(T&lt;=B$11,"",IF($A60&gt;B$12,"",IF(T=C$11,EXP(-IRTree!B61*h)*B127,EXP(-IRTree!B61*h)*((C60+C61)/2+B127))))</f>
        <v/>
      </c>
      <c r="C60" s="3" t="str">
        <f>IF(T&lt;=C$11,"",IF($A60&gt;C$12,"",IF(T=D$11,EXP(-IRTree!C61*h)*C127,EXP(-IRTree!C61*h)*((D60+D61)/2+C127))))</f>
        <v/>
      </c>
      <c r="D60" s="3" t="str">
        <f>IF(T&lt;=D$11,"",IF($A60&gt;D$12,"",IF(T=E$11,EXP(-IRTree!D61*h)*D127,EXP(-IRTree!D61*h)*((E60+E61)/2+D127))))</f>
        <v/>
      </c>
      <c r="E60" s="3" t="str">
        <f>IF(T&lt;=E$11,"",IF($A60&gt;E$12,"",IF(T=F$11,EXP(-IRTree!E61*h)*E127,EXP(-IRTree!E61*h)*((F60+F61)/2+E127))))</f>
        <v/>
      </c>
      <c r="F60" s="3" t="str">
        <f>IF(T&lt;=F$11,"",IF($A60&gt;F$12,"",IF(T=G$11,EXP(-IRTree!F61*h)*F127,EXP(-IRTree!F61*h)*((G60+G61)/2+F127))))</f>
        <v/>
      </c>
      <c r="G60" s="3" t="str">
        <f>IF(T&lt;=G$11,"",IF($A60&gt;G$12,"",IF(T=H$11,EXP(-IRTree!G61*h)*G127,EXP(-IRTree!G61*h)*((H60+H61)/2+G127))))</f>
        <v/>
      </c>
      <c r="H60" s="3" t="str">
        <f>IF(T&lt;=H$11,"",IF($A60&gt;H$12,"",IF(T=I$11,EXP(-IRTree!H61*h)*H127,EXP(-IRTree!H61*h)*((I60+I61)/2+H127))))</f>
        <v/>
      </c>
      <c r="I60" s="3" t="str">
        <f>IF(T&lt;=I$11,"",IF($A60&gt;I$12,"",IF(T=J$11,EXP(-IRTree!I61*h)*I127,EXP(-IRTree!I61*h)*((J60+J61)/2+I127))))</f>
        <v/>
      </c>
      <c r="J60" s="3" t="str">
        <f>IF(T&lt;=J$11,"",IF($A60&gt;J$12,"",IF(T=K$11,EXP(-IRTree!J61*h)*J127,EXP(-IRTree!J61*h)*((K60+K61)/2+J127))))</f>
        <v/>
      </c>
      <c r="K60" s="3" t="str">
        <f>IF(T&lt;=K$11,"",IF($A60&gt;K$12,"",IF(T=L$11,EXP(-IRTree!K61*h)*K127,EXP(-IRTree!K61*h)*((L60+L61)/2+K127))))</f>
        <v/>
      </c>
      <c r="L60" s="3" t="str">
        <f>IF(T&lt;=L$11,"",IF($A60&gt;L$12,"",IF(T=M$11,EXP(-IRTree!L61*h)*L127,EXP(-IRTree!L61*h)*((M60+M61)/2+L127))))</f>
        <v/>
      </c>
      <c r="M60" s="3" t="str">
        <f>IF(T&lt;=M$11,"",IF($A60&gt;M$12,"",IF(T=N$11,EXP(-IRTree!M61*h)*M127,EXP(-IRTree!M61*h)*((N60+N61)/2+M127))))</f>
        <v/>
      </c>
      <c r="N60" s="3" t="str">
        <f>IF(T&lt;=N$11,"",IF($A60&gt;N$12,"",IF(T=O$11,EXP(-IRTree!N61*h)*N127,EXP(-IRTree!N61*h)*((O60+O61)/2+N127))))</f>
        <v/>
      </c>
      <c r="O60" s="3" t="str">
        <f>IF(T&lt;=O$11,"",IF($A60&gt;O$12,"",IF(T=P$11,EXP(-IRTree!O61*h)*O127,EXP(-IRTree!O61*h)*((P60+P61)/2+O127))))</f>
        <v/>
      </c>
      <c r="P60" s="3" t="str">
        <f>IF(T&lt;=P$11,"",IF($A60&gt;P$12,"",IF(T=Q$11,EXP(-IRTree!P61*h)*P127,EXP(-IRTree!P61*h)*((Q60+Q61)/2+P127))))</f>
        <v/>
      </c>
      <c r="Q60" s="3" t="str">
        <f>IF(T&lt;=Q$11,"",IF($A60&gt;Q$12,"",IF(T=R$11,EXP(-IRTree!Q61*h)*Q127,EXP(-IRTree!Q61*h)*((R60+R61)/2+Q127))))</f>
        <v/>
      </c>
      <c r="R60" s="3" t="str">
        <f>IF(T&lt;=R$11,"",IF($A60&gt;R$12,"",IF(T=S$11,EXP(-IRTree!R61*h)*R127,EXP(-IRTree!R61*h)*((S60+S61)/2+R127))))</f>
        <v/>
      </c>
      <c r="S60" s="3" t="str">
        <f>IF(T&lt;=S$11,"",IF($A60&gt;S$12,"",IF(T=T$11,EXP(-IRTree!S61*h)*S127,EXP(-IRTree!S61*h)*((T60+T61)/2+S127))))</f>
        <v/>
      </c>
      <c r="T60" s="3" t="str">
        <f>IF(T&lt;=T$11,"",IF($A60&gt;T$12,"",IF(T=U$11,EXP(-IRTree!T61*h)*T127,EXP(-IRTree!T61*h)*((U60+U61)/2+T127))))</f>
        <v/>
      </c>
      <c r="U60" s="3" t="str">
        <f>IF(T&lt;=U$11,"",IF($A60&gt;U$12,"",IF(T=V$11,EXP(-IRTree!U61*h)*U127,EXP(-IRTree!U61*h)*((V60+V61)/2+U127))))</f>
        <v/>
      </c>
      <c r="V60" s="3" t="str">
        <f>IF(T&lt;=V$11,"",IF($A60&gt;V$12,"",IF(T=W$11,EXP(-IRTree!V61*h)*V127,EXP(-IRTree!V61*h)*((W60+W61)/2+V127))))</f>
        <v/>
      </c>
      <c r="W60" s="3" t="str">
        <f>IF(T&lt;=W$11,"",IF($A60&gt;W$12,"",IF(T=X$11,EXP(-IRTree!W61*h)*W127,EXP(-IRTree!W61*h)*((X60+X61)/2+W127))))</f>
        <v/>
      </c>
      <c r="X60" s="3" t="str">
        <f>IF(T&lt;=X$11,"",IF($A60&gt;X$12,"",IF(T=Y$11,EXP(-IRTree!X61*h)*X127,EXP(-IRTree!X61*h)*((Y60+Y61)/2+X127))))</f>
        <v/>
      </c>
      <c r="Y60" s="3" t="str">
        <f>IF(T&lt;=Y$11,"",IF($A60&gt;Y$12,"",IF(T=Z$11,EXP(-IRTree!Y61*h)*Y127,EXP(-IRTree!Y61*h)*((Z60+Z61)/2+Y127))))</f>
        <v/>
      </c>
      <c r="Z60" s="3" t="str">
        <f>IF(T&lt;=Z$11,"",IF($A60&gt;Z$12,"",IF(T=AA$11,EXP(-IRTree!Z61*h)*Z127,EXP(-IRTree!Z61*h)*((AA60+AA61)/2+Z127))))</f>
        <v/>
      </c>
      <c r="AA60" s="3" t="str">
        <f>IF(T&lt;=AA$11,"",IF($A60&gt;AA$12,"",IF(T=AB$11,EXP(-IRTree!AA61*h)*AA127,EXP(-IRTree!AA61*h)*((AB60+AB61)/2+AA127))))</f>
        <v/>
      </c>
      <c r="AB60" s="3" t="str">
        <f>IF(T&lt;=AB$11,"",IF($A60&gt;AB$12,"",IF(T=AC$11,EXP(-IRTree!AB61*h)*AB127,EXP(-IRTree!AB61*h)*((AC60+AC61)/2+AB127))))</f>
        <v/>
      </c>
      <c r="AC60" s="3" t="str">
        <f>IF(T&lt;=AC$11,"",IF($A60&gt;AC$12,"",IF(T=AD$11,EXP(-IRTree!AC61*h)*AC127,EXP(-IRTree!AC61*h)*((AD60+AD61)/2+AC127))))</f>
        <v/>
      </c>
      <c r="AD60" s="3" t="str">
        <f>IF(T&lt;=AD$11,"",IF($A60&gt;AD$12,"",IF(T=AE$11,EXP(-IRTree!AD61*h)*AD127,EXP(-IRTree!AD61*h)*((AE60+AE61)/2+AD127))))</f>
        <v/>
      </c>
      <c r="AE60" s="3" t="str">
        <f>IF(T&lt;=AE$11,"",IF($A60&gt;AE$12,"",IF(T=AF$11,EXP(-IRTree!AE61*h)*AE127,EXP(-IRTree!AE61*h)*((AF60+AF61)/2+AE127))))</f>
        <v/>
      </c>
      <c r="AF60" s="3" t="str">
        <f>IF(T&lt;=AF$11,"",IF($A60&gt;AF$12,"",IF(T=AG$11,EXP(-IRTree!AF61*h)*AF127,EXP(-IRTree!AF61*h)*((AG60+AG61)/2+AF127))))</f>
        <v/>
      </c>
      <c r="AG60" s="3" t="str">
        <f>IF(T&lt;=AG$11,"",IF($A60&gt;AG$12,"",IF(T=AH$11,EXP(-IRTree!AG61*h)*AG127,EXP(-IRTree!AG61*h)*((AH60+AH61)/2+AG127))))</f>
        <v/>
      </c>
      <c r="AH60" s="3" t="str">
        <f>IF(T&lt;=AH$11,"",IF($A60&gt;AH$12,"",IF(T=AI$11,EXP(-IRTree!AH61*h)*AH127,EXP(-IRTree!AH61*h)*((AI60+AI61)/2+AH127))))</f>
        <v/>
      </c>
      <c r="AI60" s="3" t="str">
        <f>IF(T&lt;=AI$11,"",IF($A60&gt;AI$12,"",IF(T=AJ$11,EXP(-IRTree!AI61*h)*AI127,EXP(-IRTree!AI61*h)*((AJ60+AJ61)/2+AI127))))</f>
        <v/>
      </c>
      <c r="AJ60" s="3" t="str">
        <f>IF(T&lt;=AJ$11,"",IF($A60&gt;AJ$12,"",IF(T=AK$11,EXP(-IRTree!AJ61*h)*AJ127,EXP(-IRTree!AJ61*h)*((AK60+AK61)/2+AJ127))))</f>
        <v/>
      </c>
      <c r="AK60" s="3" t="str">
        <f>IF(T&lt;=AK$11,"",IF($A60&gt;AK$12,"",IF(T=AL$11,EXP(-IRTree!AK61*h)*AK127,EXP(-IRTree!AK61*h)*((AL60+AL61)/2+AK127))))</f>
        <v/>
      </c>
      <c r="AL60" s="3" t="str">
        <f>IF(T&lt;=AL$11,"",IF($A60&gt;AL$12,"",IF(T=AM$11,EXP(-IRTree!AL61*h)*AL127,EXP(-IRTree!AL61*h)*((AM60+AM61)/2+AL127))))</f>
        <v/>
      </c>
      <c r="AM60" s="3" t="str">
        <f>IF(T&lt;=AM$11,"",IF($A60&gt;AM$12,"",IF(T=AN$11,EXP(-IRTree!AM61*h)*AM127,EXP(-IRTree!AM61*h)*((AN60+AN61)/2+AM127))))</f>
        <v/>
      </c>
      <c r="AN60" s="3" t="str">
        <f>IF(T&lt;=AN$11,"",IF($A60&gt;AN$12,"",IF(T=AO$11,EXP(-IRTree!AN61*h)*AN127,EXP(-IRTree!AN61*h)*((AO60+AO61)/2+AN127))))</f>
        <v/>
      </c>
      <c r="AO60" s="3" t="str">
        <f>IF(T&lt;=AO$11,"",IF($A60&gt;AO$12,"",IF(T=AP$11,EXP(-IRTree!AO61*h)*AO127,EXP(-IRTree!AO61*h)*((AP60+AP61)/2+AO127))))</f>
        <v/>
      </c>
      <c r="AP60" s="3" t="str">
        <f>IF(T&lt;=AP$11,"",IF($A60&gt;AP$12,"",IF(T=AQ$11,EXP(-IRTree!AP61*h)*AP127,EXP(-IRTree!AP61*h)*((AQ60+AQ61)/2+AP127))))</f>
        <v/>
      </c>
      <c r="AQ60" s="3" t="str">
        <f>IF(T&lt;=AQ$11,"",IF($A60&gt;AQ$12,"",IF(T=AR$11,EXP(-IRTree!AQ61*h)*AQ127,EXP(-IRTree!AQ61*h)*((AR60+AR61)/2+AQ127))))</f>
        <v/>
      </c>
      <c r="AR60" s="3" t="str">
        <f>IF(T&lt;=AR$11,"",IF($A60&gt;AR$12,"",IF(T=AS$11,EXP(-IRTree!AR61*h)*AR127,EXP(-IRTree!AR61*h)*((AS60+AS61)/2+AR127))))</f>
        <v/>
      </c>
      <c r="AS60" s="3" t="str">
        <f>IF(T&lt;=AS$11,"",IF($A60&gt;AS$12,"",IF(T=AT$11,EXP(-IRTree!AS61*h)*AS127,EXP(-IRTree!AS61*h)*((AT60+AT61)/2+AS127))))</f>
        <v/>
      </c>
      <c r="AT60" s="3" t="str">
        <f>IF(T&lt;=AT$11,"",IF($A60&gt;AT$12,"",IF(T=AU$11,EXP(-IRTree!AT61*h)*AT127,EXP(-IRTree!AT61*h)*((AU60+AU61)/2+AT127))))</f>
        <v/>
      </c>
      <c r="AU60" s="3" t="str">
        <f>IF(T&lt;=AU$11,"",IF($A60&gt;AU$12,"",IF(T=AV$11,EXP(-IRTree!AU61*h)*AU127,EXP(-IRTree!AU61*h)*((AV60+AV61)/2+AU127))))</f>
        <v/>
      </c>
      <c r="AV60" s="3" t="str">
        <f>IF(T&lt;=AV$11,"",IF($A60&gt;AV$12,"",IF(T=AW$11,EXP(-IRTree!AV61*h)*AV127,EXP(-IRTree!AV61*h)*((AW60+AW61)/2+AV127))))</f>
        <v/>
      </c>
      <c r="AW60" s="3" t="str">
        <f>IF(T&lt;=AW$11,"",IF($A60&gt;AW$12,"",IF(T=AX$11,EXP(-IRTree!AW61*h)*AW127,EXP(-IRTree!AW61*h)*((AX60+AX61)/2+AW127))))</f>
        <v/>
      </c>
      <c r="AX60" s="3" t="str">
        <f>IF(T&lt;=AX$11,"",IF($A60&gt;AX$12,"",IF(T=AY$11,EXP(-IRTree!AX61*h)*AX127,EXP(-IRTree!AX61*h)*((AY60+AY61)/2+AX127))))</f>
        <v/>
      </c>
      <c r="AY60" s="3" t="str">
        <f>IF(T&lt;=AY$11,"",IF($A60&gt;AY$12,"",IF(T=AZ$11,EXP(-IRTree!AY61*h)*AY127,EXP(-IRTree!AY61*h)*((AZ60+AZ61)/2+AY127))))</f>
        <v/>
      </c>
      <c r="AZ60" s="3" t="str">
        <f>IF(T&lt;=AZ$11,"",IF($A60&gt;AZ$12,"",IF(T=BA$11,EXP(-IRTree!AZ61*h)*AZ127,EXP(-IRTree!AZ61*h)*((BA60+BA61)/2+AZ127))))</f>
        <v/>
      </c>
      <c r="BA60" s="3" t="str">
        <f>IF(T&lt;=BA$11,"",IF($A60&gt;BA$12,"",IF(T=BB$11,EXP(-IRTree!BA61*h)*BA127,EXP(-IRTree!BA61*h)*((BB60+BB61)/2+BA127))))</f>
        <v/>
      </c>
      <c r="BB60" s="3" t="str">
        <f>IF(T&lt;=BB$11,"",IF($A60&gt;BB$12,"",IF(T=BC$11,EXP(-IRTree!BB61*h)*BB127,EXP(-IRTree!BB61*h)*((BC60+BC61)/2+BB127))))</f>
        <v/>
      </c>
      <c r="BC60" s="3" t="str">
        <f>IF(T&lt;=BC$11,"",IF($A60&gt;BC$12,"",IF(T=BD$11,EXP(-IRTree!BC61*h)*BC127,EXP(-IRTree!BC61*h)*((BD60+BD61)/2+BC127))))</f>
        <v/>
      </c>
      <c r="BD60" s="3" t="str">
        <f>IF(T&lt;=BD$11,"",IF($A60&gt;BD$12,"",IF(T=BE$11,EXP(-IRTree!BD61*h)*BD127,EXP(-IRTree!BD61*h)*((BE60+BE61)/2+BD127))))</f>
        <v/>
      </c>
      <c r="BE60" s="3" t="str">
        <f>IF(T&lt;=BE$11,"",IF($A60&gt;BE$12,"",IF(T=BF$11,EXP(-IRTree!BE61*h)*BE127,EXP(-IRTree!BE61*h)*((BF60+BF61)/2+BE127))))</f>
        <v/>
      </c>
      <c r="BF60" s="3" t="str">
        <f>IF(T&lt;=BF$11,"",IF($A60&gt;BF$12,"",IF(T=BG$11,EXP(-IRTree!BF61*h)*BF127,EXP(-IRTree!BF61*h)*((BG60+BG61)/2+BF127))))</f>
        <v/>
      </c>
      <c r="BG60" s="3" t="str">
        <f>IF(T&lt;=BG$11,"",IF($A60&gt;BG$12,"",IF(T=BH$11,EXP(-IRTree!BG61*h)*BG127,EXP(-IRTree!BG61*h)*((BH60+BH61)/2+BG127))))</f>
        <v/>
      </c>
      <c r="BH60" s="3" t="str">
        <f>IF(T&lt;=BH$11,"",IF($A60&gt;BH$12,"",IF(T=BI$11,EXP(-IRTree!BH61*h)*BH127,EXP(-IRTree!BH61*h)*((BI60+BI61)/2+BH127))))</f>
        <v/>
      </c>
      <c r="BI60" s="3" t="str">
        <f>IF(T&lt;=BI$11,"",IF($A60&gt;BI$12,"",IF(T=BJ$11,EXP(-IRTree!BI61*h)*BI127,EXP(-IRTree!BI61*h)*((BJ60+BJ61)/2+BI127))))</f>
        <v/>
      </c>
      <c r="BJ60" s="3" t="str">
        <f>IF(T&lt;=BJ$11,"",IF($A60&gt;BJ$12,"",IF(T=BK$11,EXP(-IRTree!BJ61*h)*BJ127,EXP(-IRTree!BJ61*h)*((BK60+BK61)/2+BJ127))))</f>
        <v/>
      </c>
    </row>
    <row r="61" spans="1:62">
      <c r="A61" s="12">
        <f t="shared" si="2"/>
        <v>48</v>
      </c>
      <c r="B61" s="3" t="str">
        <f>IF(T&lt;=B$11,"",IF($A61&gt;B$12,"",IF(T=C$11,EXP(-IRTree!B62*h)*B128,EXP(-IRTree!B62*h)*((C61+C62)/2+B128))))</f>
        <v/>
      </c>
      <c r="C61" s="3" t="str">
        <f>IF(T&lt;=C$11,"",IF($A61&gt;C$12,"",IF(T=D$11,EXP(-IRTree!C62*h)*C128,EXP(-IRTree!C62*h)*((D61+D62)/2+C128))))</f>
        <v/>
      </c>
      <c r="D61" s="3" t="str">
        <f>IF(T&lt;=D$11,"",IF($A61&gt;D$12,"",IF(T=E$11,EXP(-IRTree!D62*h)*D128,EXP(-IRTree!D62*h)*((E61+E62)/2+D128))))</f>
        <v/>
      </c>
      <c r="E61" s="3" t="str">
        <f>IF(T&lt;=E$11,"",IF($A61&gt;E$12,"",IF(T=F$11,EXP(-IRTree!E62*h)*E128,EXP(-IRTree!E62*h)*((F61+F62)/2+E128))))</f>
        <v/>
      </c>
      <c r="F61" s="3" t="str">
        <f>IF(T&lt;=F$11,"",IF($A61&gt;F$12,"",IF(T=G$11,EXP(-IRTree!F62*h)*F128,EXP(-IRTree!F62*h)*((G61+G62)/2+F128))))</f>
        <v/>
      </c>
      <c r="G61" s="3" t="str">
        <f>IF(T&lt;=G$11,"",IF($A61&gt;G$12,"",IF(T=H$11,EXP(-IRTree!G62*h)*G128,EXP(-IRTree!G62*h)*((H61+H62)/2+G128))))</f>
        <v/>
      </c>
      <c r="H61" s="3" t="str">
        <f>IF(T&lt;=H$11,"",IF($A61&gt;H$12,"",IF(T=I$11,EXP(-IRTree!H62*h)*H128,EXP(-IRTree!H62*h)*((I61+I62)/2+H128))))</f>
        <v/>
      </c>
      <c r="I61" s="3" t="str">
        <f>IF(T&lt;=I$11,"",IF($A61&gt;I$12,"",IF(T=J$11,EXP(-IRTree!I62*h)*I128,EXP(-IRTree!I62*h)*((J61+J62)/2+I128))))</f>
        <v/>
      </c>
      <c r="J61" s="3" t="str">
        <f>IF(T&lt;=J$11,"",IF($A61&gt;J$12,"",IF(T=K$11,EXP(-IRTree!J62*h)*J128,EXP(-IRTree!J62*h)*((K61+K62)/2+J128))))</f>
        <v/>
      </c>
      <c r="K61" s="3" t="str">
        <f>IF(T&lt;=K$11,"",IF($A61&gt;K$12,"",IF(T=L$11,EXP(-IRTree!K62*h)*K128,EXP(-IRTree!K62*h)*((L61+L62)/2+K128))))</f>
        <v/>
      </c>
      <c r="L61" s="3" t="str">
        <f>IF(T&lt;=L$11,"",IF($A61&gt;L$12,"",IF(T=M$11,EXP(-IRTree!L62*h)*L128,EXP(-IRTree!L62*h)*((M61+M62)/2+L128))))</f>
        <v/>
      </c>
      <c r="M61" s="3" t="str">
        <f>IF(T&lt;=M$11,"",IF($A61&gt;M$12,"",IF(T=N$11,EXP(-IRTree!M62*h)*M128,EXP(-IRTree!M62*h)*((N61+N62)/2+M128))))</f>
        <v/>
      </c>
      <c r="N61" s="3" t="str">
        <f>IF(T&lt;=N$11,"",IF($A61&gt;N$12,"",IF(T=O$11,EXP(-IRTree!N62*h)*N128,EXP(-IRTree!N62*h)*((O61+O62)/2+N128))))</f>
        <v/>
      </c>
      <c r="O61" s="3" t="str">
        <f>IF(T&lt;=O$11,"",IF($A61&gt;O$12,"",IF(T=P$11,EXP(-IRTree!O62*h)*O128,EXP(-IRTree!O62*h)*((P61+P62)/2+O128))))</f>
        <v/>
      </c>
      <c r="P61" s="3" t="str">
        <f>IF(T&lt;=P$11,"",IF($A61&gt;P$12,"",IF(T=Q$11,EXP(-IRTree!P62*h)*P128,EXP(-IRTree!P62*h)*((Q61+Q62)/2+P128))))</f>
        <v/>
      </c>
      <c r="Q61" s="3" t="str">
        <f>IF(T&lt;=Q$11,"",IF($A61&gt;Q$12,"",IF(T=R$11,EXP(-IRTree!Q62*h)*Q128,EXP(-IRTree!Q62*h)*((R61+R62)/2+Q128))))</f>
        <v/>
      </c>
      <c r="R61" s="3" t="str">
        <f>IF(T&lt;=R$11,"",IF($A61&gt;R$12,"",IF(T=S$11,EXP(-IRTree!R62*h)*R128,EXP(-IRTree!R62*h)*((S61+S62)/2+R128))))</f>
        <v/>
      </c>
      <c r="S61" s="3" t="str">
        <f>IF(T&lt;=S$11,"",IF($A61&gt;S$12,"",IF(T=T$11,EXP(-IRTree!S62*h)*S128,EXP(-IRTree!S62*h)*((T61+T62)/2+S128))))</f>
        <v/>
      </c>
      <c r="T61" s="3" t="str">
        <f>IF(T&lt;=T$11,"",IF($A61&gt;T$12,"",IF(T=U$11,EXP(-IRTree!T62*h)*T128,EXP(-IRTree!T62*h)*((U61+U62)/2+T128))))</f>
        <v/>
      </c>
      <c r="U61" s="3" t="str">
        <f>IF(T&lt;=U$11,"",IF($A61&gt;U$12,"",IF(T=V$11,EXP(-IRTree!U62*h)*U128,EXP(-IRTree!U62*h)*((V61+V62)/2+U128))))</f>
        <v/>
      </c>
      <c r="V61" s="3" t="str">
        <f>IF(T&lt;=V$11,"",IF($A61&gt;V$12,"",IF(T=W$11,EXP(-IRTree!V62*h)*V128,EXP(-IRTree!V62*h)*((W61+W62)/2+V128))))</f>
        <v/>
      </c>
      <c r="W61" s="3" t="str">
        <f>IF(T&lt;=W$11,"",IF($A61&gt;W$12,"",IF(T=X$11,EXP(-IRTree!W62*h)*W128,EXP(-IRTree!W62*h)*((X61+X62)/2+W128))))</f>
        <v/>
      </c>
      <c r="X61" s="3" t="str">
        <f>IF(T&lt;=X$11,"",IF($A61&gt;X$12,"",IF(T=Y$11,EXP(-IRTree!X62*h)*X128,EXP(-IRTree!X62*h)*((Y61+Y62)/2+X128))))</f>
        <v/>
      </c>
      <c r="Y61" s="3" t="str">
        <f>IF(T&lt;=Y$11,"",IF($A61&gt;Y$12,"",IF(T=Z$11,EXP(-IRTree!Y62*h)*Y128,EXP(-IRTree!Y62*h)*((Z61+Z62)/2+Y128))))</f>
        <v/>
      </c>
      <c r="Z61" s="3" t="str">
        <f>IF(T&lt;=Z$11,"",IF($A61&gt;Z$12,"",IF(T=AA$11,EXP(-IRTree!Z62*h)*Z128,EXP(-IRTree!Z62*h)*((AA61+AA62)/2+Z128))))</f>
        <v/>
      </c>
      <c r="AA61" s="3" t="str">
        <f>IF(T&lt;=AA$11,"",IF($A61&gt;AA$12,"",IF(T=AB$11,EXP(-IRTree!AA62*h)*AA128,EXP(-IRTree!AA62*h)*((AB61+AB62)/2+AA128))))</f>
        <v/>
      </c>
      <c r="AB61" s="3" t="str">
        <f>IF(T&lt;=AB$11,"",IF($A61&gt;AB$12,"",IF(T=AC$11,EXP(-IRTree!AB62*h)*AB128,EXP(-IRTree!AB62*h)*((AC61+AC62)/2+AB128))))</f>
        <v/>
      </c>
      <c r="AC61" s="3" t="str">
        <f>IF(T&lt;=AC$11,"",IF($A61&gt;AC$12,"",IF(T=AD$11,EXP(-IRTree!AC62*h)*AC128,EXP(-IRTree!AC62*h)*((AD61+AD62)/2+AC128))))</f>
        <v/>
      </c>
      <c r="AD61" s="3" t="str">
        <f>IF(T&lt;=AD$11,"",IF($A61&gt;AD$12,"",IF(T=AE$11,EXP(-IRTree!AD62*h)*AD128,EXP(-IRTree!AD62*h)*((AE61+AE62)/2+AD128))))</f>
        <v/>
      </c>
      <c r="AE61" s="3" t="str">
        <f>IF(T&lt;=AE$11,"",IF($A61&gt;AE$12,"",IF(T=AF$11,EXP(-IRTree!AE62*h)*AE128,EXP(-IRTree!AE62*h)*((AF61+AF62)/2+AE128))))</f>
        <v/>
      </c>
      <c r="AF61" s="3" t="str">
        <f>IF(T&lt;=AF$11,"",IF($A61&gt;AF$12,"",IF(T=AG$11,EXP(-IRTree!AF62*h)*AF128,EXP(-IRTree!AF62*h)*((AG61+AG62)/2+AF128))))</f>
        <v/>
      </c>
      <c r="AG61" s="3" t="str">
        <f>IF(T&lt;=AG$11,"",IF($A61&gt;AG$12,"",IF(T=AH$11,EXP(-IRTree!AG62*h)*AG128,EXP(-IRTree!AG62*h)*((AH61+AH62)/2+AG128))))</f>
        <v/>
      </c>
      <c r="AH61" s="3" t="str">
        <f>IF(T&lt;=AH$11,"",IF($A61&gt;AH$12,"",IF(T=AI$11,EXP(-IRTree!AH62*h)*AH128,EXP(-IRTree!AH62*h)*((AI61+AI62)/2+AH128))))</f>
        <v/>
      </c>
      <c r="AI61" s="3" t="str">
        <f>IF(T&lt;=AI$11,"",IF($A61&gt;AI$12,"",IF(T=AJ$11,EXP(-IRTree!AI62*h)*AI128,EXP(-IRTree!AI62*h)*((AJ61+AJ62)/2+AI128))))</f>
        <v/>
      </c>
      <c r="AJ61" s="3" t="str">
        <f>IF(T&lt;=AJ$11,"",IF($A61&gt;AJ$12,"",IF(T=AK$11,EXP(-IRTree!AJ62*h)*AJ128,EXP(-IRTree!AJ62*h)*((AK61+AK62)/2+AJ128))))</f>
        <v/>
      </c>
      <c r="AK61" s="3" t="str">
        <f>IF(T&lt;=AK$11,"",IF($A61&gt;AK$12,"",IF(T=AL$11,EXP(-IRTree!AK62*h)*AK128,EXP(-IRTree!AK62*h)*((AL61+AL62)/2+AK128))))</f>
        <v/>
      </c>
      <c r="AL61" s="3" t="str">
        <f>IF(T&lt;=AL$11,"",IF($A61&gt;AL$12,"",IF(T=AM$11,EXP(-IRTree!AL62*h)*AL128,EXP(-IRTree!AL62*h)*((AM61+AM62)/2+AL128))))</f>
        <v/>
      </c>
      <c r="AM61" s="3" t="str">
        <f>IF(T&lt;=AM$11,"",IF($A61&gt;AM$12,"",IF(T=AN$11,EXP(-IRTree!AM62*h)*AM128,EXP(-IRTree!AM62*h)*((AN61+AN62)/2+AM128))))</f>
        <v/>
      </c>
      <c r="AN61" s="3" t="str">
        <f>IF(T&lt;=AN$11,"",IF($A61&gt;AN$12,"",IF(T=AO$11,EXP(-IRTree!AN62*h)*AN128,EXP(-IRTree!AN62*h)*((AO61+AO62)/2+AN128))))</f>
        <v/>
      </c>
      <c r="AO61" s="3" t="str">
        <f>IF(T&lt;=AO$11,"",IF($A61&gt;AO$12,"",IF(T=AP$11,EXP(-IRTree!AO62*h)*AO128,EXP(-IRTree!AO62*h)*((AP61+AP62)/2+AO128))))</f>
        <v/>
      </c>
      <c r="AP61" s="3" t="str">
        <f>IF(T&lt;=AP$11,"",IF($A61&gt;AP$12,"",IF(T=AQ$11,EXP(-IRTree!AP62*h)*AP128,EXP(-IRTree!AP62*h)*((AQ61+AQ62)/2+AP128))))</f>
        <v/>
      </c>
      <c r="AQ61" s="3" t="str">
        <f>IF(T&lt;=AQ$11,"",IF($A61&gt;AQ$12,"",IF(T=AR$11,EXP(-IRTree!AQ62*h)*AQ128,EXP(-IRTree!AQ62*h)*((AR61+AR62)/2+AQ128))))</f>
        <v/>
      </c>
      <c r="AR61" s="3" t="str">
        <f>IF(T&lt;=AR$11,"",IF($A61&gt;AR$12,"",IF(T=AS$11,EXP(-IRTree!AR62*h)*AR128,EXP(-IRTree!AR62*h)*((AS61+AS62)/2+AR128))))</f>
        <v/>
      </c>
      <c r="AS61" s="3" t="str">
        <f>IF(T&lt;=AS$11,"",IF($A61&gt;AS$12,"",IF(T=AT$11,EXP(-IRTree!AS62*h)*AS128,EXP(-IRTree!AS62*h)*((AT61+AT62)/2+AS128))))</f>
        <v/>
      </c>
      <c r="AT61" s="3" t="str">
        <f>IF(T&lt;=AT$11,"",IF($A61&gt;AT$12,"",IF(T=AU$11,EXP(-IRTree!AT62*h)*AT128,EXP(-IRTree!AT62*h)*((AU61+AU62)/2+AT128))))</f>
        <v/>
      </c>
      <c r="AU61" s="3" t="str">
        <f>IF(T&lt;=AU$11,"",IF($A61&gt;AU$12,"",IF(T=AV$11,EXP(-IRTree!AU62*h)*AU128,EXP(-IRTree!AU62*h)*((AV61+AV62)/2+AU128))))</f>
        <v/>
      </c>
      <c r="AV61" s="3" t="str">
        <f>IF(T&lt;=AV$11,"",IF($A61&gt;AV$12,"",IF(T=AW$11,EXP(-IRTree!AV62*h)*AV128,EXP(-IRTree!AV62*h)*((AW61+AW62)/2+AV128))))</f>
        <v/>
      </c>
      <c r="AW61" s="3" t="str">
        <f>IF(T&lt;=AW$11,"",IF($A61&gt;AW$12,"",IF(T=AX$11,EXP(-IRTree!AW62*h)*AW128,EXP(-IRTree!AW62*h)*((AX61+AX62)/2+AW128))))</f>
        <v/>
      </c>
      <c r="AX61" s="3" t="str">
        <f>IF(T&lt;=AX$11,"",IF($A61&gt;AX$12,"",IF(T=AY$11,EXP(-IRTree!AX62*h)*AX128,EXP(-IRTree!AX62*h)*((AY61+AY62)/2+AX128))))</f>
        <v/>
      </c>
      <c r="AY61" s="3" t="str">
        <f>IF(T&lt;=AY$11,"",IF($A61&gt;AY$12,"",IF(T=AZ$11,EXP(-IRTree!AY62*h)*AY128,EXP(-IRTree!AY62*h)*((AZ61+AZ62)/2+AY128))))</f>
        <v/>
      </c>
      <c r="AZ61" s="3" t="str">
        <f>IF(T&lt;=AZ$11,"",IF($A61&gt;AZ$12,"",IF(T=BA$11,EXP(-IRTree!AZ62*h)*AZ128,EXP(-IRTree!AZ62*h)*((BA61+BA62)/2+AZ128))))</f>
        <v/>
      </c>
      <c r="BA61" s="3" t="str">
        <f>IF(T&lt;=BA$11,"",IF($A61&gt;BA$12,"",IF(T=BB$11,EXP(-IRTree!BA62*h)*BA128,EXP(-IRTree!BA62*h)*((BB61+BB62)/2+BA128))))</f>
        <v/>
      </c>
      <c r="BB61" s="3" t="str">
        <f>IF(T&lt;=BB$11,"",IF($A61&gt;BB$12,"",IF(T=BC$11,EXP(-IRTree!BB62*h)*BB128,EXP(-IRTree!BB62*h)*((BC61+BC62)/2+BB128))))</f>
        <v/>
      </c>
      <c r="BC61" s="3" t="str">
        <f>IF(T&lt;=BC$11,"",IF($A61&gt;BC$12,"",IF(T=BD$11,EXP(-IRTree!BC62*h)*BC128,EXP(-IRTree!BC62*h)*((BD61+BD62)/2+BC128))))</f>
        <v/>
      </c>
      <c r="BD61" s="3" t="str">
        <f>IF(T&lt;=BD$11,"",IF($A61&gt;BD$12,"",IF(T=BE$11,EXP(-IRTree!BD62*h)*BD128,EXP(-IRTree!BD62*h)*((BE61+BE62)/2+BD128))))</f>
        <v/>
      </c>
      <c r="BE61" s="3" t="str">
        <f>IF(T&lt;=BE$11,"",IF($A61&gt;BE$12,"",IF(T=BF$11,EXP(-IRTree!BE62*h)*BE128,EXP(-IRTree!BE62*h)*((BF61+BF62)/2+BE128))))</f>
        <v/>
      </c>
      <c r="BF61" s="3" t="str">
        <f>IF(T&lt;=BF$11,"",IF($A61&gt;BF$12,"",IF(T=BG$11,EXP(-IRTree!BF62*h)*BF128,EXP(-IRTree!BF62*h)*((BG61+BG62)/2+BF128))))</f>
        <v/>
      </c>
      <c r="BG61" s="3" t="str">
        <f>IF(T&lt;=BG$11,"",IF($A61&gt;BG$12,"",IF(T=BH$11,EXP(-IRTree!BG62*h)*BG128,EXP(-IRTree!BG62*h)*((BH61+BH62)/2+BG128))))</f>
        <v/>
      </c>
      <c r="BH61" s="3" t="str">
        <f>IF(T&lt;=BH$11,"",IF($A61&gt;BH$12,"",IF(T=BI$11,EXP(-IRTree!BH62*h)*BH128,EXP(-IRTree!BH62*h)*((BI61+BI62)/2+BH128))))</f>
        <v/>
      </c>
      <c r="BI61" s="3" t="str">
        <f>IF(T&lt;=BI$11,"",IF($A61&gt;BI$12,"",IF(T=BJ$11,EXP(-IRTree!BI62*h)*BI128,EXP(-IRTree!BI62*h)*((BJ61+BJ62)/2+BI128))))</f>
        <v/>
      </c>
      <c r="BJ61" s="3" t="str">
        <f>IF(T&lt;=BJ$11,"",IF($A61&gt;BJ$12,"",IF(T=BK$11,EXP(-IRTree!BJ62*h)*BJ128,EXP(-IRTree!BJ62*h)*((BK61+BK62)/2+BJ128))))</f>
        <v/>
      </c>
    </row>
    <row r="62" spans="1:62">
      <c r="A62" s="12">
        <f t="shared" si="2"/>
        <v>49</v>
      </c>
      <c r="B62" s="3" t="str">
        <f>IF(T&lt;=B$11,"",IF($A62&gt;B$12,"",IF(T=C$11,EXP(-IRTree!B63*h)*B129,EXP(-IRTree!B63*h)*((C62+C63)/2+B129))))</f>
        <v/>
      </c>
      <c r="C62" s="3" t="str">
        <f>IF(T&lt;=C$11,"",IF($A62&gt;C$12,"",IF(T=D$11,EXP(-IRTree!C63*h)*C129,EXP(-IRTree!C63*h)*((D62+D63)/2+C129))))</f>
        <v/>
      </c>
      <c r="D62" s="3" t="str">
        <f>IF(T&lt;=D$11,"",IF($A62&gt;D$12,"",IF(T=E$11,EXP(-IRTree!D63*h)*D129,EXP(-IRTree!D63*h)*((E62+E63)/2+D129))))</f>
        <v/>
      </c>
      <c r="E62" s="3" t="str">
        <f>IF(T&lt;=E$11,"",IF($A62&gt;E$12,"",IF(T=F$11,EXP(-IRTree!E63*h)*E129,EXP(-IRTree!E63*h)*((F62+F63)/2+E129))))</f>
        <v/>
      </c>
      <c r="F62" s="3" t="str">
        <f>IF(T&lt;=F$11,"",IF($A62&gt;F$12,"",IF(T=G$11,EXP(-IRTree!F63*h)*F129,EXP(-IRTree!F63*h)*((G62+G63)/2+F129))))</f>
        <v/>
      </c>
      <c r="G62" s="3" t="str">
        <f>IF(T&lt;=G$11,"",IF($A62&gt;G$12,"",IF(T=H$11,EXP(-IRTree!G63*h)*G129,EXP(-IRTree!G63*h)*((H62+H63)/2+G129))))</f>
        <v/>
      </c>
      <c r="H62" s="3" t="str">
        <f>IF(T&lt;=H$11,"",IF($A62&gt;H$12,"",IF(T=I$11,EXP(-IRTree!H63*h)*H129,EXP(-IRTree!H63*h)*((I62+I63)/2+H129))))</f>
        <v/>
      </c>
      <c r="I62" s="3" t="str">
        <f>IF(T&lt;=I$11,"",IF($A62&gt;I$12,"",IF(T=J$11,EXP(-IRTree!I63*h)*I129,EXP(-IRTree!I63*h)*((J62+J63)/2+I129))))</f>
        <v/>
      </c>
      <c r="J62" s="3" t="str">
        <f>IF(T&lt;=J$11,"",IF($A62&gt;J$12,"",IF(T=K$11,EXP(-IRTree!J63*h)*J129,EXP(-IRTree!J63*h)*((K62+K63)/2+J129))))</f>
        <v/>
      </c>
      <c r="K62" s="3" t="str">
        <f>IF(T&lt;=K$11,"",IF($A62&gt;K$12,"",IF(T=L$11,EXP(-IRTree!K63*h)*K129,EXP(-IRTree!K63*h)*((L62+L63)/2+K129))))</f>
        <v/>
      </c>
      <c r="L62" s="3" t="str">
        <f>IF(T&lt;=L$11,"",IF($A62&gt;L$12,"",IF(T=M$11,EXP(-IRTree!L63*h)*L129,EXP(-IRTree!L63*h)*((M62+M63)/2+L129))))</f>
        <v/>
      </c>
      <c r="M62" s="3" t="str">
        <f>IF(T&lt;=M$11,"",IF($A62&gt;M$12,"",IF(T=N$11,EXP(-IRTree!M63*h)*M129,EXP(-IRTree!M63*h)*((N62+N63)/2+M129))))</f>
        <v/>
      </c>
      <c r="N62" s="3" t="str">
        <f>IF(T&lt;=N$11,"",IF($A62&gt;N$12,"",IF(T=O$11,EXP(-IRTree!N63*h)*N129,EXP(-IRTree!N63*h)*((O62+O63)/2+N129))))</f>
        <v/>
      </c>
      <c r="O62" s="3" t="str">
        <f>IF(T&lt;=O$11,"",IF($A62&gt;O$12,"",IF(T=P$11,EXP(-IRTree!O63*h)*O129,EXP(-IRTree!O63*h)*((P62+P63)/2+O129))))</f>
        <v/>
      </c>
      <c r="P62" s="3" t="str">
        <f>IF(T&lt;=P$11,"",IF($A62&gt;P$12,"",IF(T=Q$11,EXP(-IRTree!P63*h)*P129,EXP(-IRTree!P63*h)*((Q62+Q63)/2+P129))))</f>
        <v/>
      </c>
      <c r="Q62" s="3" t="str">
        <f>IF(T&lt;=Q$11,"",IF($A62&gt;Q$12,"",IF(T=R$11,EXP(-IRTree!Q63*h)*Q129,EXP(-IRTree!Q63*h)*((R62+R63)/2+Q129))))</f>
        <v/>
      </c>
      <c r="R62" s="3" t="str">
        <f>IF(T&lt;=R$11,"",IF($A62&gt;R$12,"",IF(T=S$11,EXP(-IRTree!R63*h)*R129,EXP(-IRTree!R63*h)*((S62+S63)/2+R129))))</f>
        <v/>
      </c>
      <c r="S62" s="3" t="str">
        <f>IF(T&lt;=S$11,"",IF($A62&gt;S$12,"",IF(T=T$11,EXP(-IRTree!S63*h)*S129,EXP(-IRTree!S63*h)*((T62+T63)/2+S129))))</f>
        <v/>
      </c>
      <c r="T62" s="3" t="str">
        <f>IF(T&lt;=T$11,"",IF($A62&gt;T$12,"",IF(T=U$11,EXP(-IRTree!T63*h)*T129,EXP(-IRTree!T63*h)*((U62+U63)/2+T129))))</f>
        <v/>
      </c>
      <c r="U62" s="3" t="str">
        <f>IF(T&lt;=U$11,"",IF($A62&gt;U$12,"",IF(T=V$11,EXP(-IRTree!U63*h)*U129,EXP(-IRTree!U63*h)*((V62+V63)/2+U129))))</f>
        <v/>
      </c>
      <c r="V62" s="3" t="str">
        <f>IF(T&lt;=V$11,"",IF($A62&gt;V$12,"",IF(T=W$11,EXP(-IRTree!V63*h)*V129,EXP(-IRTree!V63*h)*((W62+W63)/2+V129))))</f>
        <v/>
      </c>
      <c r="W62" s="3" t="str">
        <f>IF(T&lt;=W$11,"",IF($A62&gt;W$12,"",IF(T=X$11,EXP(-IRTree!W63*h)*W129,EXP(-IRTree!W63*h)*((X62+X63)/2+W129))))</f>
        <v/>
      </c>
      <c r="X62" s="3" t="str">
        <f>IF(T&lt;=X$11,"",IF($A62&gt;X$12,"",IF(T=Y$11,EXP(-IRTree!X63*h)*X129,EXP(-IRTree!X63*h)*((Y62+Y63)/2+X129))))</f>
        <v/>
      </c>
      <c r="Y62" s="3" t="str">
        <f>IF(T&lt;=Y$11,"",IF($A62&gt;Y$12,"",IF(T=Z$11,EXP(-IRTree!Y63*h)*Y129,EXP(-IRTree!Y63*h)*((Z62+Z63)/2+Y129))))</f>
        <v/>
      </c>
      <c r="Z62" s="3" t="str">
        <f>IF(T&lt;=Z$11,"",IF($A62&gt;Z$12,"",IF(T=AA$11,EXP(-IRTree!Z63*h)*Z129,EXP(-IRTree!Z63*h)*((AA62+AA63)/2+Z129))))</f>
        <v/>
      </c>
      <c r="AA62" s="3" t="str">
        <f>IF(T&lt;=AA$11,"",IF($A62&gt;AA$12,"",IF(T=AB$11,EXP(-IRTree!AA63*h)*AA129,EXP(-IRTree!AA63*h)*((AB62+AB63)/2+AA129))))</f>
        <v/>
      </c>
      <c r="AB62" s="3" t="str">
        <f>IF(T&lt;=AB$11,"",IF($A62&gt;AB$12,"",IF(T=AC$11,EXP(-IRTree!AB63*h)*AB129,EXP(-IRTree!AB63*h)*((AC62+AC63)/2+AB129))))</f>
        <v/>
      </c>
      <c r="AC62" s="3" t="str">
        <f>IF(T&lt;=AC$11,"",IF($A62&gt;AC$12,"",IF(T=AD$11,EXP(-IRTree!AC63*h)*AC129,EXP(-IRTree!AC63*h)*((AD62+AD63)/2+AC129))))</f>
        <v/>
      </c>
      <c r="AD62" s="3" t="str">
        <f>IF(T&lt;=AD$11,"",IF($A62&gt;AD$12,"",IF(T=AE$11,EXP(-IRTree!AD63*h)*AD129,EXP(-IRTree!AD63*h)*((AE62+AE63)/2+AD129))))</f>
        <v/>
      </c>
      <c r="AE62" s="3" t="str">
        <f>IF(T&lt;=AE$11,"",IF($A62&gt;AE$12,"",IF(T=AF$11,EXP(-IRTree!AE63*h)*AE129,EXP(-IRTree!AE63*h)*((AF62+AF63)/2+AE129))))</f>
        <v/>
      </c>
      <c r="AF62" s="3" t="str">
        <f>IF(T&lt;=AF$11,"",IF($A62&gt;AF$12,"",IF(T=AG$11,EXP(-IRTree!AF63*h)*AF129,EXP(-IRTree!AF63*h)*((AG62+AG63)/2+AF129))))</f>
        <v/>
      </c>
      <c r="AG62" s="3" t="str">
        <f>IF(T&lt;=AG$11,"",IF($A62&gt;AG$12,"",IF(T=AH$11,EXP(-IRTree!AG63*h)*AG129,EXP(-IRTree!AG63*h)*((AH62+AH63)/2+AG129))))</f>
        <v/>
      </c>
      <c r="AH62" s="3" t="str">
        <f>IF(T&lt;=AH$11,"",IF($A62&gt;AH$12,"",IF(T=AI$11,EXP(-IRTree!AH63*h)*AH129,EXP(-IRTree!AH63*h)*((AI62+AI63)/2+AH129))))</f>
        <v/>
      </c>
      <c r="AI62" s="3" t="str">
        <f>IF(T&lt;=AI$11,"",IF($A62&gt;AI$12,"",IF(T=AJ$11,EXP(-IRTree!AI63*h)*AI129,EXP(-IRTree!AI63*h)*((AJ62+AJ63)/2+AI129))))</f>
        <v/>
      </c>
      <c r="AJ62" s="3" t="str">
        <f>IF(T&lt;=AJ$11,"",IF($A62&gt;AJ$12,"",IF(T=AK$11,EXP(-IRTree!AJ63*h)*AJ129,EXP(-IRTree!AJ63*h)*((AK62+AK63)/2+AJ129))))</f>
        <v/>
      </c>
      <c r="AK62" s="3" t="str">
        <f>IF(T&lt;=AK$11,"",IF($A62&gt;AK$12,"",IF(T=AL$11,EXP(-IRTree!AK63*h)*AK129,EXP(-IRTree!AK63*h)*((AL62+AL63)/2+AK129))))</f>
        <v/>
      </c>
      <c r="AL62" s="3" t="str">
        <f>IF(T&lt;=AL$11,"",IF($A62&gt;AL$12,"",IF(T=AM$11,EXP(-IRTree!AL63*h)*AL129,EXP(-IRTree!AL63*h)*((AM62+AM63)/2+AL129))))</f>
        <v/>
      </c>
      <c r="AM62" s="3" t="str">
        <f>IF(T&lt;=AM$11,"",IF($A62&gt;AM$12,"",IF(T=AN$11,EXP(-IRTree!AM63*h)*AM129,EXP(-IRTree!AM63*h)*((AN62+AN63)/2+AM129))))</f>
        <v/>
      </c>
      <c r="AN62" s="3" t="str">
        <f>IF(T&lt;=AN$11,"",IF($A62&gt;AN$12,"",IF(T=AO$11,EXP(-IRTree!AN63*h)*AN129,EXP(-IRTree!AN63*h)*((AO62+AO63)/2+AN129))))</f>
        <v/>
      </c>
      <c r="AO62" s="3" t="str">
        <f>IF(T&lt;=AO$11,"",IF($A62&gt;AO$12,"",IF(T=AP$11,EXP(-IRTree!AO63*h)*AO129,EXP(-IRTree!AO63*h)*((AP62+AP63)/2+AO129))))</f>
        <v/>
      </c>
      <c r="AP62" s="3" t="str">
        <f>IF(T&lt;=AP$11,"",IF($A62&gt;AP$12,"",IF(T=AQ$11,EXP(-IRTree!AP63*h)*AP129,EXP(-IRTree!AP63*h)*((AQ62+AQ63)/2+AP129))))</f>
        <v/>
      </c>
      <c r="AQ62" s="3" t="str">
        <f>IF(T&lt;=AQ$11,"",IF($A62&gt;AQ$12,"",IF(T=AR$11,EXP(-IRTree!AQ63*h)*AQ129,EXP(-IRTree!AQ63*h)*((AR62+AR63)/2+AQ129))))</f>
        <v/>
      </c>
      <c r="AR62" s="3" t="str">
        <f>IF(T&lt;=AR$11,"",IF($A62&gt;AR$12,"",IF(T=AS$11,EXP(-IRTree!AR63*h)*AR129,EXP(-IRTree!AR63*h)*((AS62+AS63)/2+AR129))))</f>
        <v/>
      </c>
      <c r="AS62" s="3" t="str">
        <f>IF(T&lt;=AS$11,"",IF($A62&gt;AS$12,"",IF(T=AT$11,EXP(-IRTree!AS63*h)*AS129,EXP(-IRTree!AS63*h)*((AT62+AT63)/2+AS129))))</f>
        <v/>
      </c>
      <c r="AT62" s="3" t="str">
        <f>IF(T&lt;=AT$11,"",IF($A62&gt;AT$12,"",IF(T=AU$11,EXP(-IRTree!AT63*h)*AT129,EXP(-IRTree!AT63*h)*((AU62+AU63)/2+AT129))))</f>
        <v/>
      </c>
      <c r="AU62" s="3" t="str">
        <f>IF(T&lt;=AU$11,"",IF($A62&gt;AU$12,"",IF(T=AV$11,EXP(-IRTree!AU63*h)*AU129,EXP(-IRTree!AU63*h)*((AV62+AV63)/2+AU129))))</f>
        <v/>
      </c>
      <c r="AV62" s="3" t="str">
        <f>IF(T&lt;=AV$11,"",IF($A62&gt;AV$12,"",IF(T=AW$11,EXP(-IRTree!AV63*h)*AV129,EXP(-IRTree!AV63*h)*((AW62+AW63)/2+AV129))))</f>
        <v/>
      </c>
      <c r="AW62" s="3" t="str">
        <f>IF(T&lt;=AW$11,"",IF($A62&gt;AW$12,"",IF(T=AX$11,EXP(-IRTree!AW63*h)*AW129,EXP(-IRTree!AW63*h)*((AX62+AX63)/2+AW129))))</f>
        <v/>
      </c>
      <c r="AX62" s="3" t="str">
        <f>IF(T&lt;=AX$11,"",IF($A62&gt;AX$12,"",IF(T=AY$11,EXP(-IRTree!AX63*h)*AX129,EXP(-IRTree!AX63*h)*((AY62+AY63)/2+AX129))))</f>
        <v/>
      </c>
      <c r="AY62" s="3" t="str">
        <f>IF(T&lt;=AY$11,"",IF($A62&gt;AY$12,"",IF(T=AZ$11,EXP(-IRTree!AY63*h)*AY129,EXP(-IRTree!AY63*h)*((AZ62+AZ63)/2+AY129))))</f>
        <v/>
      </c>
      <c r="AZ62" s="3" t="str">
        <f>IF(T&lt;=AZ$11,"",IF($A62&gt;AZ$12,"",IF(T=BA$11,EXP(-IRTree!AZ63*h)*AZ129,EXP(-IRTree!AZ63*h)*((BA62+BA63)/2+AZ129))))</f>
        <v/>
      </c>
      <c r="BA62" s="3" t="str">
        <f>IF(T&lt;=BA$11,"",IF($A62&gt;BA$12,"",IF(T=BB$11,EXP(-IRTree!BA63*h)*BA129,EXP(-IRTree!BA63*h)*((BB62+BB63)/2+BA129))))</f>
        <v/>
      </c>
      <c r="BB62" s="3" t="str">
        <f>IF(T&lt;=BB$11,"",IF($A62&gt;BB$12,"",IF(T=BC$11,EXP(-IRTree!BB63*h)*BB129,EXP(-IRTree!BB63*h)*((BC62+BC63)/2+BB129))))</f>
        <v/>
      </c>
      <c r="BC62" s="3" t="str">
        <f>IF(T&lt;=BC$11,"",IF($A62&gt;BC$12,"",IF(T=BD$11,EXP(-IRTree!BC63*h)*BC129,EXP(-IRTree!BC63*h)*((BD62+BD63)/2+BC129))))</f>
        <v/>
      </c>
      <c r="BD62" s="3" t="str">
        <f>IF(T&lt;=BD$11,"",IF($A62&gt;BD$12,"",IF(T=BE$11,EXP(-IRTree!BD63*h)*BD129,EXP(-IRTree!BD63*h)*((BE62+BE63)/2+BD129))))</f>
        <v/>
      </c>
      <c r="BE62" s="3" t="str">
        <f>IF(T&lt;=BE$11,"",IF($A62&gt;BE$12,"",IF(T=BF$11,EXP(-IRTree!BE63*h)*BE129,EXP(-IRTree!BE63*h)*((BF62+BF63)/2+BE129))))</f>
        <v/>
      </c>
      <c r="BF62" s="3" t="str">
        <f>IF(T&lt;=BF$11,"",IF($A62&gt;BF$12,"",IF(T=BG$11,EXP(-IRTree!BF63*h)*BF129,EXP(-IRTree!BF63*h)*((BG62+BG63)/2+BF129))))</f>
        <v/>
      </c>
      <c r="BG62" s="3" t="str">
        <f>IF(T&lt;=BG$11,"",IF($A62&gt;BG$12,"",IF(T=BH$11,EXP(-IRTree!BG63*h)*BG129,EXP(-IRTree!BG63*h)*((BH62+BH63)/2+BG129))))</f>
        <v/>
      </c>
      <c r="BH62" s="3" t="str">
        <f>IF(T&lt;=BH$11,"",IF($A62&gt;BH$12,"",IF(T=BI$11,EXP(-IRTree!BH63*h)*BH129,EXP(-IRTree!BH63*h)*((BI62+BI63)/2+BH129))))</f>
        <v/>
      </c>
      <c r="BI62" s="3" t="str">
        <f>IF(T&lt;=BI$11,"",IF($A62&gt;BI$12,"",IF(T=BJ$11,EXP(-IRTree!BI63*h)*BI129,EXP(-IRTree!BI63*h)*((BJ62+BJ63)/2+BI129))))</f>
        <v/>
      </c>
      <c r="BJ62" s="3" t="str">
        <f>IF(T&lt;=BJ$11,"",IF($A62&gt;BJ$12,"",IF(T=BK$11,EXP(-IRTree!BJ63*h)*BJ129,EXP(-IRTree!BJ63*h)*((BK62+BK63)/2+BJ129))))</f>
        <v/>
      </c>
    </row>
    <row r="63" spans="1:62">
      <c r="A63" s="12">
        <f t="shared" si="2"/>
        <v>50</v>
      </c>
      <c r="B63" s="3" t="str">
        <f>IF(T&lt;=B$11,"",IF($A63&gt;B$12,"",IF(T=C$11,EXP(-IRTree!B64*h)*B130,EXP(-IRTree!B64*h)*((C63+C64)/2+B130))))</f>
        <v/>
      </c>
      <c r="C63" s="3" t="str">
        <f>IF(T&lt;=C$11,"",IF($A63&gt;C$12,"",IF(T=D$11,EXP(-IRTree!C64*h)*C130,EXP(-IRTree!C64*h)*((D63+D64)/2+C130))))</f>
        <v/>
      </c>
      <c r="D63" s="3" t="str">
        <f>IF(T&lt;=D$11,"",IF($A63&gt;D$12,"",IF(T=E$11,EXP(-IRTree!D64*h)*D130,EXP(-IRTree!D64*h)*((E63+E64)/2+D130))))</f>
        <v/>
      </c>
      <c r="E63" s="3" t="str">
        <f>IF(T&lt;=E$11,"",IF($A63&gt;E$12,"",IF(T=F$11,EXP(-IRTree!E64*h)*E130,EXP(-IRTree!E64*h)*((F63+F64)/2+E130))))</f>
        <v/>
      </c>
      <c r="F63" s="3" t="str">
        <f>IF(T&lt;=F$11,"",IF($A63&gt;F$12,"",IF(T=G$11,EXP(-IRTree!F64*h)*F130,EXP(-IRTree!F64*h)*((G63+G64)/2+F130))))</f>
        <v/>
      </c>
      <c r="G63" s="3" t="str">
        <f>IF(T&lt;=G$11,"",IF($A63&gt;G$12,"",IF(T=H$11,EXP(-IRTree!G64*h)*G130,EXP(-IRTree!G64*h)*((H63+H64)/2+G130))))</f>
        <v/>
      </c>
      <c r="H63" s="3" t="str">
        <f>IF(T&lt;=H$11,"",IF($A63&gt;H$12,"",IF(T=I$11,EXP(-IRTree!H64*h)*H130,EXP(-IRTree!H64*h)*((I63+I64)/2+H130))))</f>
        <v/>
      </c>
      <c r="I63" s="3" t="str">
        <f>IF(T&lt;=I$11,"",IF($A63&gt;I$12,"",IF(T=J$11,EXP(-IRTree!I64*h)*I130,EXP(-IRTree!I64*h)*((J63+J64)/2+I130))))</f>
        <v/>
      </c>
      <c r="J63" s="3" t="str">
        <f>IF(T&lt;=J$11,"",IF($A63&gt;J$12,"",IF(T=K$11,EXP(-IRTree!J64*h)*J130,EXP(-IRTree!J64*h)*((K63+K64)/2+J130))))</f>
        <v/>
      </c>
      <c r="K63" s="3" t="str">
        <f>IF(T&lt;=K$11,"",IF($A63&gt;K$12,"",IF(T=L$11,EXP(-IRTree!K64*h)*K130,EXP(-IRTree!K64*h)*((L63+L64)/2+K130))))</f>
        <v/>
      </c>
      <c r="L63" s="3" t="str">
        <f>IF(T&lt;=L$11,"",IF($A63&gt;L$12,"",IF(T=M$11,EXP(-IRTree!L64*h)*L130,EXP(-IRTree!L64*h)*((M63+M64)/2+L130))))</f>
        <v/>
      </c>
      <c r="M63" s="3" t="str">
        <f>IF(T&lt;=M$11,"",IF($A63&gt;M$12,"",IF(T=N$11,EXP(-IRTree!M64*h)*M130,EXP(-IRTree!M64*h)*((N63+N64)/2+M130))))</f>
        <v/>
      </c>
      <c r="N63" s="3" t="str">
        <f>IF(T&lt;=N$11,"",IF($A63&gt;N$12,"",IF(T=O$11,EXP(-IRTree!N64*h)*N130,EXP(-IRTree!N64*h)*((O63+O64)/2+N130))))</f>
        <v/>
      </c>
      <c r="O63" s="3" t="str">
        <f>IF(T&lt;=O$11,"",IF($A63&gt;O$12,"",IF(T=P$11,EXP(-IRTree!O64*h)*O130,EXP(-IRTree!O64*h)*((P63+P64)/2+O130))))</f>
        <v/>
      </c>
      <c r="P63" s="3" t="str">
        <f>IF(T&lt;=P$11,"",IF($A63&gt;P$12,"",IF(T=Q$11,EXP(-IRTree!P64*h)*P130,EXP(-IRTree!P64*h)*((Q63+Q64)/2+P130))))</f>
        <v/>
      </c>
      <c r="Q63" s="3" t="str">
        <f>IF(T&lt;=Q$11,"",IF($A63&gt;Q$12,"",IF(T=R$11,EXP(-IRTree!Q64*h)*Q130,EXP(-IRTree!Q64*h)*((R63+R64)/2+Q130))))</f>
        <v/>
      </c>
      <c r="R63" s="3" t="str">
        <f>IF(T&lt;=R$11,"",IF($A63&gt;R$12,"",IF(T=S$11,EXP(-IRTree!R64*h)*R130,EXP(-IRTree!R64*h)*((S63+S64)/2+R130))))</f>
        <v/>
      </c>
      <c r="S63" s="3" t="str">
        <f>IF(T&lt;=S$11,"",IF($A63&gt;S$12,"",IF(T=T$11,EXP(-IRTree!S64*h)*S130,EXP(-IRTree!S64*h)*((T63+T64)/2+S130))))</f>
        <v/>
      </c>
      <c r="T63" s="3" t="str">
        <f>IF(T&lt;=T$11,"",IF($A63&gt;T$12,"",IF(T=U$11,EXP(-IRTree!T64*h)*T130,EXP(-IRTree!T64*h)*((U63+U64)/2+T130))))</f>
        <v/>
      </c>
      <c r="U63" s="3" t="str">
        <f>IF(T&lt;=U$11,"",IF($A63&gt;U$12,"",IF(T=V$11,EXP(-IRTree!U64*h)*U130,EXP(-IRTree!U64*h)*((V63+V64)/2+U130))))</f>
        <v/>
      </c>
      <c r="V63" s="3" t="str">
        <f>IF(T&lt;=V$11,"",IF($A63&gt;V$12,"",IF(T=W$11,EXP(-IRTree!V64*h)*V130,EXP(-IRTree!V64*h)*((W63+W64)/2+V130))))</f>
        <v/>
      </c>
      <c r="W63" s="3" t="str">
        <f>IF(T&lt;=W$11,"",IF($A63&gt;W$12,"",IF(T=X$11,EXP(-IRTree!W64*h)*W130,EXP(-IRTree!W64*h)*((X63+X64)/2+W130))))</f>
        <v/>
      </c>
      <c r="X63" s="3" t="str">
        <f>IF(T&lt;=X$11,"",IF($A63&gt;X$12,"",IF(T=Y$11,EXP(-IRTree!X64*h)*X130,EXP(-IRTree!X64*h)*((Y63+Y64)/2+X130))))</f>
        <v/>
      </c>
      <c r="Y63" s="3" t="str">
        <f>IF(T&lt;=Y$11,"",IF($A63&gt;Y$12,"",IF(T=Z$11,EXP(-IRTree!Y64*h)*Y130,EXP(-IRTree!Y64*h)*((Z63+Z64)/2+Y130))))</f>
        <v/>
      </c>
      <c r="Z63" s="3" t="str">
        <f>IF(T&lt;=Z$11,"",IF($A63&gt;Z$12,"",IF(T=AA$11,EXP(-IRTree!Z64*h)*Z130,EXP(-IRTree!Z64*h)*((AA63+AA64)/2+Z130))))</f>
        <v/>
      </c>
      <c r="AA63" s="3" t="str">
        <f>IF(T&lt;=AA$11,"",IF($A63&gt;AA$12,"",IF(T=AB$11,EXP(-IRTree!AA64*h)*AA130,EXP(-IRTree!AA64*h)*((AB63+AB64)/2+AA130))))</f>
        <v/>
      </c>
      <c r="AB63" s="3" t="str">
        <f>IF(T&lt;=AB$11,"",IF($A63&gt;AB$12,"",IF(T=AC$11,EXP(-IRTree!AB64*h)*AB130,EXP(-IRTree!AB64*h)*((AC63+AC64)/2+AB130))))</f>
        <v/>
      </c>
      <c r="AC63" s="3" t="str">
        <f>IF(T&lt;=AC$11,"",IF($A63&gt;AC$12,"",IF(T=AD$11,EXP(-IRTree!AC64*h)*AC130,EXP(-IRTree!AC64*h)*((AD63+AD64)/2+AC130))))</f>
        <v/>
      </c>
      <c r="AD63" s="3" t="str">
        <f>IF(T&lt;=AD$11,"",IF($A63&gt;AD$12,"",IF(T=AE$11,EXP(-IRTree!AD64*h)*AD130,EXP(-IRTree!AD64*h)*((AE63+AE64)/2+AD130))))</f>
        <v/>
      </c>
      <c r="AE63" s="3" t="str">
        <f>IF(T&lt;=AE$11,"",IF($A63&gt;AE$12,"",IF(T=AF$11,EXP(-IRTree!AE64*h)*AE130,EXP(-IRTree!AE64*h)*((AF63+AF64)/2+AE130))))</f>
        <v/>
      </c>
      <c r="AF63" s="3" t="str">
        <f>IF(T&lt;=AF$11,"",IF($A63&gt;AF$12,"",IF(T=AG$11,EXP(-IRTree!AF64*h)*AF130,EXP(-IRTree!AF64*h)*((AG63+AG64)/2+AF130))))</f>
        <v/>
      </c>
      <c r="AG63" s="3" t="str">
        <f>IF(T&lt;=AG$11,"",IF($A63&gt;AG$12,"",IF(T=AH$11,EXP(-IRTree!AG64*h)*AG130,EXP(-IRTree!AG64*h)*((AH63+AH64)/2+AG130))))</f>
        <v/>
      </c>
      <c r="AH63" s="3" t="str">
        <f>IF(T&lt;=AH$11,"",IF($A63&gt;AH$12,"",IF(T=AI$11,EXP(-IRTree!AH64*h)*AH130,EXP(-IRTree!AH64*h)*((AI63+AI64)/2+AH130))))</f>
        <v/>
      </c>
      <c r="AI63" s="3" t="str">
        <f>IF(T&lt;=AI$11,"",IF($A63&gt;AI$12,"",IF(T=AJ$11,EXP(-IRTree!AI64*h)*AI130,EXP(-IRTree!AI64*h)*((AJ63+AJ64)/2+AI130))))</f>
        <v/>
      </c>
      <c r="AJ63" s="3" t="str">
        <f>IF(T&lt;=AJ$11,"",IF($A63&gt;AJ$12,"",IF(T=AK$11,EXP(-IRTree!AJ64*h)*AJ130,EXP(-IRTree!AJ64*h)*((AK63+AK64)/2+AJ130))))</f>
        <v/>
      </c>
      <c r="AK63" s="3" t="str">
        <f>IF(T&lt;=AK$11,"",IF($A63&gt;AK$12,"",IF(T=AL$11,EXP(-IRTree!AK64*h)*AK130,EXP(-IRTree!AK64*h)*((AL63+AL64)/2+AK130))))</f>
        <v/>
      </c>
      <c r="AL63" s="3" t="str">
        <f>IF(T&lt;=AL$11,"",IF($A63&gt;AL$12,"",IF(T=AM$11,EXP(-IRTree!AL64*h)*AL130,EXP(-IRTree!AL64*h)*((AM63+AM64)/2+AL130))))</f>
        <v/>
      </c>
      <c r="AM63" s="3" t="str">
        <f>IF(T&lt;=AM$11,"",IF($A63&gt;AM$12,"",IF(T=AN$11,EXP(-IRTree!AM64*h)*AM130,EXP(-IRTree!AM64*h)*((AN63+AN64)/2+AM130))))</f>
        <v/>
      </c>
      <c r="AN63" s="3" t="str">
        <f>IF(T&lt;=AN$11,"",IF($A63&gt;AN$12,"",IF(T=AO$11,EXP(-IRTree!AN64*h)*AN130,EXP(-IRTree!AN64*h)*((AO63+AO64)/2+AN130))))</f>
        <v/>
      </c>
      <c r="AO63" s="3" t="str">
        <f>IF(T&lt;=AO$11,"",IF($A63&gt;AO$12,"",IF(T=AP$11,EXP(-IRTree!AO64*h)*AO130,EXP(-IRTree!AO64*h)*((AP63+AP64)/2+AO130))))</f>
        <v/>
      </c>
      <c r="AP63" s="3" t="str">
        <f>IF(T&lt;=AP$11,"",IF($A63&gt;AP$12,"",IF(T=AQ$11,EXP(-IRTree!AP64*h)*AP130,EXP(-IRTree!AP64*h)*((AQ63+AQ64)/2+AP130))))</f>
        <v/>
      </c>
      <c r="AQ63" s="3" t="str">
        <f>IF(T&lt;=AQ$11,"",IF($A63&gt;AQ$12,"",IF(T=AR$11,EXP(-IRTree!AQ64*h)*AQ130,EXP(-IRTree!AQ64*h)*((AR63+AR64)/2+AQ130))))</f>
        <v/>
      </c>
      <c r="AR63" s="3" t="str">
        <f>IF(T&lt;=AR$11,"",IF($A63&gt;AR$12,"",IF(T=AS$11,EXP(-IRTree!AR64*h)*AR130,EXP(-IRTree!AR64*h)*((AS63+AS64)/2+AR130))))</f>
        <v/>
      </c>
      <c r="AS63" s="3" t="str">
        <f>IF(T&lt;=AS$11,"",IF($A63&gt;AS$12,"",IF(T=AT$11,EXP(-IRTree!AS64*h)*AS130,EXP(-IRTree!AS64*h)*((AT63+AT64)/2+AS130))))</f>
        <v/>
      </c>
      <c r="AT63" s="3" t="str">
        <f>IF(T&lt;=AT$11,"",IF($A63&gt;AT$12,"",IF(T=AU$11,EXP(-IRTree!AT64*h)*AT130,EXP(-IRTree!AT64*h)*((AU63+AU64)/2+AT130))))</f>
        <v/>
      </c>
      <c r="AU63" s="3" t="str">
        <f>IF(T&lt;=AU$11,"",IF($A63&gt;AU$12,"",IF(T=AV$11,EXP(-IRTree!AU64*h)*AU130,EXP(-IRTree!AU64*h)*((AV63+AV64)/2+AU130))))</f>
        <v/>
      </c>
      <c r="AV63" s="3" t="str">
        <f>IF(T&lt;=AV$11,"",IF($A63&gt;AV$12,"",IF(T=AW$11,EXP(-IRTree!AV64*h)*AV130,EXP(-IRTree!AV64*h)*((AW63+AW64)/2+AV130))))</f>
        <v/>
      </c>
      <c r="AW63" s="3" t="str">
        <f>IF(T&lt;=AW$11,"",IF($A63&gt;AW$12,"",IF(T=AX$11,EXP(-IRTree!AW64*h)*AW130,EXP(-IRTree!AW64*h)*((AX63+AX64)/2+AW130))))</f>
        <v/>
      </c>
      <c r="AX63" s="3" t="str">
        <f>IF(T&lt;=AX$11,"",IF($A63&gt;AX$12,"",IF(T=AY$11,EXP(-IRTree!AX64*h)*AX130,EXP(-IRTree!AX64*h)*((AY63+AY64)/2+AX130))))</f>
        <v/>
      </c>
      <c r="AY63" s="3" t="str">
        <f>IF(T&lt;=AY$11,"",IF($A63&gt;AY$12,"",IF(T=AZ$11,EXP(-IRTree!AY64*h)*AY130,EXP(-IRTree!AY64*h)*((AZ63+AZ64)/2+AY130))))</f>
        <v/>
      </c>
      <c r="AZ63" s="3" t="str">
        <f>IF(T&lt;=AZ$11,"",IF($A63&gt;AZ$12,"",IF(T=BA$11,EXP(-IRTree!AZ64*h)*AZ130,EXP(-IRTree!AZ64*h)*((BA63+BA64)/2+AZ130))))</f>
        <v/>
      </c>
      <c r="BA63" s="3" t="str">
        <f>IF(T&lt;=BA$11,"",IF($A63&gt;BA$12,"",IF(T=BB$11,EXP(-IRTree!BA64*h)*BA130,EXP(-IRTree!BA64*h)*((BB63+BB64)/2+BA130))))</f>
        <v/>
      </c>
      <c r="BB63" s="3" t="str">
        <f>IF(T&lt;=BB$11,"",IF($A63&gt;BB$12,"",IF(T=BC$11,EXP(-IRTree!BB64*h)*BB130,EXP(-IRTree!BB64*h)*((BC63+BC64)/2+BB130))))</f>
        <v/>
      </c>
      <c r="BC63" s="3" t="str">
        <f>IF(T&lt;=BC$11,"",IF($A63&gt;BC$12,"",IF(T=BD$11,EXP(-IRTree!BC64*h)*BC130,EXP(-IRTree!BC64*h)*((BD63+BD64)/2+BC130))))</f>
        <v/>
      </c>
      <c r="BD63" s="3" t="str">
        <f>IF(T&lt;=BD$11,"",IF($A63&gt;BD$12,"",IF(T=BE$11,EXP(-IRTree!BD64*h)*BD130,EXP(-IRTree!BD64*h)*((BE63+BE64)/2+BD130))))</f>
        <v/>
      </c>
      <c r="BE63" s="3" t="str">
        <f>IF(T&lt;=BE$11,"",IF($A63&gt;BE$12,"",IF(T=BF$11,EXP(-IRTree!BE64*h)*BE130,EXP(-IRTree!BE64*h)*((BF63+BF64)/2+BE130))))</f>
        <v/>
      </c>
      <c r="BF63" s="3" t="str">
        <f>IF(T&lt;=BF$11,"",IF($A63&gt;BF$12,"",IF(T=BG$11,EXP(-IRTree!BF64*h)*BF130,EXP(-IRTree!BF64*h)*((BG63+BG64)/2+BF130))))</f>
        <v/>
      </c>
      <c r="BG63" s="3" t="str">
        <f>IF(T&lt;=BG$11,"",IF($A63&gt;BG$12,"",IF(T=BH$11,EXP(-IRTree!BG64*h)*BG130,EXP(-IRTree!BG64*h)*((BH63+BH64)/2+BG130))))</f>
        <v/>
      </c>
      <c r="BH63" s="3" t="str">
        <f>IF(T&lt;=BH$11,"",IF($A63&gt;BH$12,"",IF(T=BI$11,EXP(-IRTree!BH64*h)*BH130,EXP(-IRTree!BH64*h)*((BI63+BI64)/2+BH130))))</f>
        <v/>
      </c>
      <c r="BI63" s="3" t="str">
        <f>IF(T&lt;=BI$11,"",IF($A63&gt;BI$12,"",IF(T=BJ$11,EXP(-IRTree!BI64*h)*BI130,EXP(-IRTree!BI64*h)*((BJ63+BJ64)/2+BI130))))</f>
        <v/>
      </c>
      <c r="BJ63" s="3" t="str">
        <f>IF(T&lt;=BJ$11,"",IF($A63&gt;BJ$12,"",IF(T=BK$11,EXP(-IRTree!BJ64*h)*BJ130,EXP(-IRTree!BJ64*h)*((BK63+BK64)/2+BJ130))))</f>
        <v/>
      </c>
    </row>
    <row r="64" spans="1:62">
      <c r="A64" s="12">
        <f t="shared" si="2"/>
        <v>51</v>
      </c>
      <c r="B64" s="3" t="str">
        <f>IF(T&lt;=B$11,"",IF($A64&gt;B$12,"",IF(T=C$11,EXP(-IRTree!B65*h)*B131,EXP(-IRTree!B65*h)*((C64+C65)/2+B131))))</f>
        <v/>
      </c>
      <c r="C64" s="3" t="str">
        <f>IF(T&lt;=C$11,"",IF($A64&gt;C$12,"",IF(T=D$11,EXP(-IRTree!C65*h)*C131,EXP(-IRTree!C65*h)*((D64+D65)/2+C131))))</f>
        <v/>
      </c>
      <c r="D64" s="3" t="str">
        <f>IF(T&lt;=D$11,"",IF($A64&gt;D$12,"",IF(T=E$11,EXP(-IRTree!D65*h)*D131,EXP(-IRTree!D65*h)*((E64+E65)/2+D131))))</f>
        <v/>
      </c>
      <c r="E64" s="3" t="str">
        <f>IF(T&lt;=E$11,"",IF($A64&gt;E$12,"",IF(T=F$11,EXP(-IRTree!E65*h)*E131,EXP(-IRTree!E65*h)*((F64+F65)/2+E131))))</f>
        <v/>
      </c>
      <c r="F64" s="3" t="str">
        <f>IF(T&lt;=F$11,"",IF($A64&gt;F$12,"",IF(T=G$11,EXP(-IRTree!F65*h)*F131,EXP(-IRTree!F65*h)*((G64+G65)/2+F131))))</f>
        <v/>
      </c>
      <c r="G64" s="3" t="str">
        <f>IF(T&lt;=G$11,"",IF($A64&gt;G$12,"",IF(T=H$11,EXP(-IRTree!G65*h)*G131,EXP(-IRTree!G65*h)*((H64+H65)/2+G131))))</f>
        <v/>
      </c>
      <c r="H64" s="3" t="str">
        <f>IF(T&lt;=H$11,"",IF($A64&gt;H$12,"",IF(T=I$11,EXP(-IRTree!H65*h)*H131,EXP(-IRTree!H65*h)*((I64+I65)/2+H131))))</f>
        <v/>
      </c>
      <c r="I64" s="3" t="str">
        <f>IF(T&lt;=I$11,"",IF($A64&gt;I$12,"",IF(T=J$11,EXP(-IRTree!I65*h)*I131,EXP(-IRTree!I65*h)*((J64+J65)/2+I131))))</f>
        <v/>
      </c>
      <c r="J64" s="3" t="str">
        <f>IF(T&lt;=J$11,"",IF($A64&gt;J$12,"",IF(T=K$11,EXP(-IRTree!J65*h)*J131,EXP(-IRTree!J65*h)*((K64+K65)/2+J131))))</f>
        <v/>
      </c>
      <c r="K64" s="3" t="str">
        <f>IF(T&lt;=K$11,"",IF($A64&gt;K$12,"",IF(T=L$11,EXP(-IRTree!K65*h)*K131,EXP(-IRTree!K65*h)*((L64+L65)/2+K131))))</f>
        <v/>
      </c>
      <c r="L64" s="3" t="str">
        <f>IF(T&lt;=L$11,"",IF($A64&gt;L$12,"",IF(T=M$11,EXP(-IRTree!L65*h)*L131,EXP(-IRTree!L65*h)*((M64+M65)/2+L131))))</f>
        <v/>
      </c>
      <c r="M64" s="3" t="str">
        <f>IF(T&lt;=M$11,"",IF($A64&gt;M$12,"",IF(T=N$11,EXP(-IRTree!M65*h)*M131,EXP(-IRTree!M65*h)*((N64+N65)/2+M131))))</f>
        <v/>
      </c>
      <c r="N64" s="3" t="str">
        <f>IF(T&lt;=N$11,"",IF($A64&gt;N$12,"",IF(T=O$11,EXP(-IRTree!N65*h)*N131,EXP(-IRTree!N65*h)*((O64+O65)/2+N131))))</f>
        <v/>
      </c>
      <c r="O64" s="3" t="str">
        <f>IF(T&lt;=O$11,"",IF($A64&gt;O$12,"",IF(T=P$11,EXP(-IRTree!O65*h)*O131,EXP(-IRTree!O65*h)*((P64+P65)/2+O131))))</f>
        <v/>
      </c>
      <c r="P64" s="3" t="str">
        <f>IF(T&lt;=P$11,"",IF($A64&gt;P$12,"",IF(T=Q$11,EXP(-IRTree!P65*h)*P131,EXP(-IRTree!P65*h)*((Q64+Q65)/2+P131))))</f>
        <v/>
      </c>
      <c r="Q64" s="3" t="str">
        <f>IF(T&lt;=Q$11,"",IF($A64&gt;Q$12,"",IF(T=R$11,EXP(-IRTree!Q65*h)*Q131,EXP(-IRTree!Q65*h)*((R64+R65)/2+Q131))))</f>
        <v/>
      </c>
      <c r="R64" s="3" t="str">
        <f>IF(T&lt;=R$11,"",IF($A64&gt;R$12,"",IF(T=S$11,EXP(-IRTree!R65*h)*R131,EXP(-IRTree!R65*h)*((S64+S65)/2+R131))))</f>
        <v/>
      </c>
      <c r="S64" s="3" t="str">
        <f>IF(T&lt;=S$11,"",IF($A64&gt;S$12,"",IF(T=T$11,EXP(-IRTree!S65*h)*S131,EXP(-IRTree!S65*h)*((T64+T65)/2+S131))))</f>
        <v/>
      </c>
      <c r="T64" s="3" t="str">
        <f>IF(T&lt;=T$11,"",IF($A64&gt;T$12,"",IF(T=U$11,EXP(-IRTree!T65*h)*T131,EXP(-IRTree!T65*h)*((U64+U65)/2+T131))))</f>
        <v/>
      </c>
      <c r="U64" s="3" t="str">
        <f>IF(T&lt;=U$11,"",IF($A64&gt;U$12,"",IF(T=V$11,EXP(-IRTree!U65*h)*U131,EXP(-IRTree!U65*h)*((V64+V65)/2+U131))))</f>
        <v/>
      </c>
      <c r="V64" s="3" t="str">
        <f>IF(T&lt;=V$11,"",IF($A64&gt;V$12,"",IF(T=W$11,EXP(-IRTree!V65*h)*V131,EXP(-IRTree!V65*h)*((W64+W65)/2+V131))))</f>
        <v/>
      </c>
      <c r="W64" s="3" t="str">
        <f>IF(T&lt;=W$11,"",IF($A64&gt;W$12,"",IF(T=X$11,EXP(-IRTree!W65*h)*W131,EXP(-IRTree!W65*h)*((X64+X65)/2+W131))))</f>
        <v/>
      </c>
      <c r="X64" s="3" t="str">
        <f>IF(T&lt;=X$11,"",IF($A64&gt;X$12,"",IF(T=Y$11,EXP(-IRTree!X65*h)*X131,EXP(-IRTree!X65*h)*((Y64+Y65)/2+X131))))</f>
        <v/>
      </c>
      <c r="Y64" s="3" t="str">
        <f>IF(T&lt;=Y$11,"",IF($A64&gt;Y$12,"",IF(T=Z$11,EXP(-IRTree!Y65*h)*Y131,EXP(-IRTree!Y65*h)*((Z64+Z65)/2+Y131))))</f>
        <v/>
      </c>
      <c r="Z64" s="3" t="str">
        <f>IF(T&lt;=Z$11,"",IF($A64&gt;Z$12,"",IF(T=AA$11,EXP(-IRTree!Z65*h)*Z131,EXP(-IRTree!Z65*h)*((AA64+AA65)/2+Z131))))</f>
        <v/>
      </c>
      <c r="AA64" s="3" t="str">
        <f>IF(T&lt;=AA$11,"",IF($A64&gt;AA$12,"",IF(T=AB$11,EXP(-IRTree!AA65*h)*AA131,EXP(-IRTree!AA65*h)*((AB64+AB65)/2+AA131))))</f>
        <v/>
      </c>
      <c r="AB64" s="3" t="str">
        <f>IF(T&lt;=AB$11,"",IF($A64&gt;AB$12,"",IF(T=AC$11,EXP(-IRTree!AB65*h)*AB131,EXP(-IRTree!AB65*h)*((AC64+AC65)/2+AB131))))</f>
        <v/>
      </c>
      <c r="AC64" s="3" t="str">
        <f>IF(T&lt;=AC$11,"",IF($A64&gt;AC$12,"",IF(T=AD$11,EXP(-IRTree!AC65*h)*AC131,EXP(-IRTree!AC65*h)*((AD64+AD65)/2+AC131))))</f>
        <v/>
      </c>
      <c r="AD64" s="3" t="str">
        <f>IF(T&lt;=AD$11,"",IF($A64&gt;AD$12,"",IF(T=AE$11,EXP(-IRTree!AD65*h)*AD131,EXP(-IRTree!AD65*h)*((AE64+AE65)/2+AD131))))</f>
        <v/>
      </c>
      <c r="AE64" s="3" t="str">
        <f>IF(T&lt;=AE$11,"",IF($A64&gt;AE$12,"",IF(T=AF$11,EXP(-IRTree!AE65*h)*AE131,EXP(-IRTree!AE65*h)*((AF64+AF65)/2+AE131))))</f>
        <v/>
      </c>
      <c r="AF64" s="3" t="str">
        <f>IF(T&lt;=AF$11,"",IF($A64&gt;AF$12,"",IF(T=AG$11,EXP(-IRTree!AF65*h)*AF131,EXP(-IRTree!AF65*h)*((AG64+AG65)/2+AF131))))</f>
        <v/>
      </c>
      <c r="AG64" s="3" t="str">
        <f>IF(T&lt;=AG$11,"",IF($A64&gt;AG$12,"",IF(T=AH$11,EXP(-IRTree!AG65*h)*AG131,EXP(-IRTree!AG65*h)*((AH64+AH65)/2+AG131))))</f>
        <v/>
      </c>
      <c r="AH64" s="3" t="str">
        <f>IF(T&lt;=AH$11,"",IF($A64&gt;AH$12,"",IF(T=AI$11,EXP(-IRTree!AH65*h)*AH131,EXP(-IRTree!AH65*h)*((AI64+AI65)/2+AH131))))</f>
        <v/>
      </c>
      <c r="AI64" s="3" t="str">
        <f>IF(T&lt;=AI$11,"",IF($A64&gt;AI$12,"",IF(T=AJ$11,EXP(-IRTree!AI65*h)*AI131,EXP(-IRTree!AI65*h)*((AJ64+AJ65)/2+AI131))))</f>
        <v/>
      </c>
      <c r="AJ64" s="3" t="str">
        <f>IF(T&lt;=AJ$11,"",IF($A64&gt;AJ$12,"",IF(T=AK$11,EXP(-IRTree!AJ65*h)*AJ131,EXP(-IRTree!AJ65*h)*((AK64+AK65)/2+AJ131))))</f>
        <v/>
      </c>
      <c r="AK64" s="3" t="str">
        <f>IF(T&lt;=AK$11,"",IF($A64&gt;AK$12,"",IF(T=AL$11,EXP(-IRTree!AK65*h)*AK131,EXP(-IRTree!AK65*h)*((AL64+AL65)/2+AK131))))</f>
        <v/>
      </c>
      <c r="AL64" s="3" t="str">
        <f>IF(T&lt;=AL$11,"",IF($A64&gt;AL$12,"",IF(T=AM$11,EXP(-IRTree!AL65*h)*AL131,EXP(-IRTree!AL65*h)*((AM64+AM65)/2+AL131))))</f>
        <v/>
      </c>
      <c r="AM64" s="3" t="str">
        <f>IF(T&lt;=AM$11,"",IF($A64&gt;AM$12,"",IF(T=AN$11,EXP(-IRTree!AM65*h)*AM131,EXP(-IRTree!AM65*h)*((AN64+AN65)/2+AM131))))</f>
        <v/>
      </c>
      <c r="AN64" s="3" t="str">
        <f>IF(T&lt;=AN$11,"",IF($A64&gt;AN$12,"",IF(T=AO$11,EXP(-IRTree!AN65*h)*AN131,EXP(-IRTree!AN65*h)*((AO64+AO65)/2+AN131))))</f>
        <v/>
      </c>
      <c r="AO64" s="3" t="str">
        <f>IF(T&lt;=AO$11,"",IF($A64&gt;AO$12,"",IF(T=AP$11,EXP(-IRTree!AO65*h)*AO131,EXP(-IRTree!AO65*h)*((AP64+AP65)/2+AO131))))</f>
        <v/>
      </c>
      <c r="AP64" s="3" t="str">
        <f>IF(T&lt;=AP$11,"",IF($A64&gt;AP$12,"",IF(T=AQ$11,EXP(-IRTree!AP65*h)*AP131,EXP(-IRTree!AP65*h)*((AQ64+AQ65)/2+AP131))))</f>
        <v/>
      </c>
      <c r="AQ64" s="3" t="str">
        <f>IF(T&lt;=AQ$11,"",IF($A64&gt;AQ$12,"",IF(T=AR$11,EXP(-IRTree!AQ65*h)*AQ131,EXP(-IRTree!AQ65*h)*((AR64+AR65)/2+AQ131))))</f>
        <v/>
      </c>
      <c r="AR64" s="3" t="str">
        <f>IF(T&lt;=AR$11,"",IF($A64&gt;AR$12,"",IF(T=AS$11,EXP(-IRTree!AR65*h)*AR131,EXP(-IRTree!AR65*h)*((AS64+AS65)/2+AR131))))</f>
        <v/>
      </c>
      <c r="AS64" s="3" t="str">
        <f>IF(T&lt;=AS$11,"",IF($A64&gt;AS$12,"",IF(T=AT$11,EXP(-IRTree!AS65*h)*AS131,EXP(-IRTree!AS65*h)*((AT64+AT65)/2+AS131))))</f>
        <v/>
      </c>
      <c r="AT64" s="3" t="str">
        <f>IF(T&lt;=AT$11,"",IF($A64&gt;AT$12,"",IF(T=AU$11,EXP(-IRTree!AT65*h)*AT131,EXP(-IRTree!AT65*h)*((AU64+AU65)/2+AT131))))</f>
        <v/>
      </c>
      <c r="AU64" s="3" t="str">
        <f>IF(T&lt;=AU$11,"",IF($A64&gt;AU$12,"",IF(T=AV$11,EXP(-IRTree!AU65*h)*AU131,EXP(-IRTree!AU65*h)*((AV64+AV65)/2+AU131))))</f>
        <v/>
      </c>
      <c r="AV64" s="3" t="str">
        <f>IF(T&lt;=AV$11,"",IF($A64&gt;AV$12,"",IF(T=AW$11,EXP(-IRTree!AV65*h)*AV131,EXP(-IRTree!AV65*h)*((AW64+AW65)/2+AV131))))</f>
        <v/>
      </c>
      <c r="AW64" s="3" t="str">
        <f>IF(T&lt;=AW$11,"",IF($A64&gt;AW$12,"",IF(T=AX$11,EXP(-IRTree!AW65*h)*AW131,EXP(-IRTree!AW65*h)*((AX64+AX65)/2+AW131))))</f>
        <v/>
      </c>
      <c r="AX64" s="3" t="str">
        <f>IF(T&lt;=AX$11,"",IF($A64&gt;AX$12,"",IF(T=AY$11,EXP(-IRTree!AX65*h)*AX131,EXP(-IRTree!AX65*h)*((AY64+AY65)/2+AX131))))</f>
        <v/>
      </c>
      <c r="AY64" s="3" t="str">
        <f>IF(T&lt;=AY$11,"",IF($A64&gt;AY$12,"",IF(T=AZ$11,EXP(-IRTree!AY65*h)*AY131,EXP(-IRTree!AY65*h)*((AZ64+AZ65)/2+AY131))))</f>
        <v/>
      </c>
      <c r="AZ64" s="3" t="str">
        <f>IF(T&lt;=AZ$11,"",IF($A64&gt;AZ$12,"",IF(T=BA$11,EXP(-IRTree!AZ65*h)*AZ131,EXP(-IRTree!AZ65*h)*((BA64+BA65)/2+AZ131))))</f>
        <v/>
      </c>
      <c r="BA64" s="3" t="str">
        <f>IF(T&lt;=BA$11,"",IF($A64&gt;BA$12,"",IF(T=BB$11,EXP(-IRTree!BA65*h)*BA131,EXP(-IRTree!BA65*h)*((BB64+BB65)/2+BA131))))</f>
        <v/>
      </c>
      <c r="BB64" s="3" t="str">
        <f>IF(T&lt;=BB$11,"",IF($A64&gt;BB$12,"",IF(T=BC$11,EXP(-IRTree!BB65*h)*BB131,EXP(-IRTree!BB65*h)*((BC64+BC65)/2+BB131))))</f>
        <v/>
      </c>
      <c r="BC64" s="3" t="str">
        <f>IF(T&lt;=BC$11,"",IF($A64&gt;BC$12,"",IF(T=BD$11,EXP(-IRTree!BC65*h)*BC131,EXP(-IRTree!BC65*h)*((BD64+BD65)/2+BC131))))</f>
        <v/>
      </c>
      <c r="BD64" s="3" t="str">
        <f>IF(T&lt;=BD$11,"",IF($A64&gt;BD$12,"",IF(T=BE$11,EXP(-IRTree!BD65*h)*BD131,EXP(-IRTree!BD65*h)*((BE64+BE65)/2+BD131))))</f>
        <v/>
      </c>
      <c r="BE64" s="3" t="str">
        <f>IF(T&lt;=BE$11,"",IF($A64&gt;BE$12,"",IF(T=BF$11,EXP(-IRTree!BE65*h)*BE131,EXP(-IRTree!BE65*h)*((BF64+BF65)/2+BE131))))</f>
        <v/>
      </c>
      <c r="BF64" s="3" t="str">
        <f>IF(T&lt;=BF$11,"",IF($A64&gt;BF$12,"",IF(T=BG$11,EXP(-IRTree!BF65*h)*BF131,EXP(-IRTree!BF65*h)*((BG64+BG65)/2+BF131))))</f>
        <v/>
      </c>
      <c r="BG64" s="3" t="str">
        <f>IF(T&lt;=BG$11,"",IF($A64&gt;BG$12,"",IF(T=BH$11,EXP(-IRTree!BG65*h)*BG131,EXP(-IRTree!BG65*h)*((BH64+BH65)/2+BG131))))</f>
        <v/>
      </c>
      <c r="BH64" s="3" t="str">
        <f>IF(T&lt;=BH$11,"",IF($A64&gt;BH$12,"",IF(T=BI$11,EXP(-IRTree!BH65*h)*BH131,EXP(-IRTree!BH65*h)*((BI64+BI65)/2+BH131))))</f>
        <v/>
      </c>
      <c r="BI64" s="3" t="str">
        <f>IF(T&lt;=BI$11,"",IF($A64&gt;BI$12,"",IF(T=BJ$11,EXP(-IRTree!BI65*h)*BI131,EXP(-IRTree!BI65*h)*((BJ64+BJ65)/2+BI131))))</f>
        <v/>
      </c>
      <c r="BJ64" s="3" t="str">
        <f>IF(T&lt;=BJ$11,"",IF($A64&gt;BJ$12,"",IF(T=BK$11,EXP(-IRTree!BJ65*h)*BJ131,EXP(-IRTree!BJ65*h)*((BK64+BK65)/2+BJ131))))</f>
        <v/>
      </c>
    </row>
    <row r="65" spans="1:62">
      <c r="A65" s="12">
        <f t="shared" si="2"/>
        <v>52</v>
      </c>
      <c r="B65" s="3" t="str">
        <f>IF(T&lt;=B$11,"",IF($A65&gt;B$12,"",IF(T=C$11,EXP(-IRTree!B66*h)*B132,EXP(-IRTree!B66*h)*((C65+C66)/2+B132))))</f>
        <v/>
      </c>
      <c r="C65" s="3" t="str">
        <f>IF(T&lt;=C$11,"",IF($A65&gt;C$12,"",IF(T=D$11,EXP(-IRTree!C66*h)*C132,EXP(-IRTree!C66*h)*((D65+D66)/2+C132))))</f>
        <v/>
      </c>
      <c r="D65" s="3" t="str">
        <f>IF(T&lt;=D$11,"",IF($A65&gt;D$12,"",IF(T=E$11,EXP(-IRTree!D66*h)*D132,EXP(-IRTree!D66*h)*((E65+E66)/2+D132))))</f>
        <v/>
      </c>
      <c r="E65" s="3" t="str">
        <f>IF(T&lt;=E$11,"",IF($A65&gt;E$12,"",IF(T=F$11,EXP(-IRTree!E66*h)*E132,EXP(-IRTree!E66*h)*((F65+F66)/2+E132))))</f>
        <v/>
      </c>
      <c r="F65" s="3" t="str">
        <f>IF(T&lt;=F$11,"",IF($A65&gt;F$12,"",IF(T=G$11,EXP(-IRTree!F66*h)*F132,EXP(-IRTree!F66*h)*((G65+G66)/2+F132))))</f>
        <v/>
      </c>
      <c r="G65" s="3" t="str">
        <f>IF(T&lt;=G$11,"",IF($A65&gt;G$12,"",IF(T=H$11,EXP(-IRTree!G66*h)*G132,EXP(-IRTree!G66*h)*((H65+H66)/2+G132))))</f>
        <v/>
      </c>
      <c r="H65" s="3" t="str">
        <f>IF(T&lt;=H$11,"",IF($A65&gt;H$12,"",IF(T=I$11,EXP(-IRTree!H66*h)*H132,EXP(-IRTree!H66*h)*((I65+I66)/2+H132))))</f>
        <v/>
      </c>
      <c r="I65" s="3" t="str">
        <f>IF(T&lt;=I$11,"",IF($A65&gt;I$12,"",IF(T=J$11,EXP(-IRTree!I66*h)*I132,EXP(-IRTree!I66*h)*((J65+J66)/2+I132))))</f>
        <v/>
      </c>
      <c r="J65" s="3" t="str">
        <f>IF(T&lt;=J$11,"",IF($A65&gt;J$12,"",IF(T=K$11,EXP(-IRTree!J66*h)*J132,EXP(-IRTree!J66*h)*((K65+K66)/2+J132))))</f>
        <v/>
      </c>
      <c r="K65" s="3" t="str">
        <f>IF(T&lt;=K$11,"",IF($A65&gt;K$12,"",IF(T=L$11,EXP(-IRTree!K66*h)*K132,EXP(-IRTree!K66*h)*((L65+L66)/2+K132))))</f>
        <v/>
      </c>
      <c r="L65" s="3" t="str">
        <f>IF(T&lt;=L$11,"",IF($A65&gt;L$12,"",IF(T=M$11,EXP(-IRTree!L66*h)*L132,EXP(-IRTree!L66*h)*((M65+M66)/2+L132))))</f>
        <v/>
      </c>
      <c r="M65" s="3" t="str">
        <f>IF(T&lt;=M$11,"",IF($A65&gt;M$12,"",IF(T=N$11,EXP(-IRTree!M66*h)*M132,EXP(-IRTree!M66*h)*((N65+N66)/2+M132))))</f>
        <v/>
      </c>
      <c r="N65" s="3" t="str">
        <f>IF(T&lt;=N$11,"",IF($A65&gt;N$12,"",IF(T=O$11,EXP(-IRTree!N66*h)*N132,EXP(-IRTree!N66*h)*((O65+O66)/2+N132))))</f>
        <v/>
      </c>
      <c r="O65" s="3" t="str">
        <f>IF(T&lt;=O$11,"",IF($A65&gt;O$12,"",IF(T=P$11,EXP(-IRTree!O66*h)*O132,EXP(-IRTree!O66*h)*((P65+P66)/2+O132))))</f>
        <v/>
      </c>
      <c r="P65" s="3" t="str">
        <f>IF(T&lt;=P$11,"",IF($A65&gt;P$12,"",IF(T=Q$11,EXP(-IRTree!P66*h)*P132,EXP(-IRTree!P66*h)*((Q65+Q66)/2+P132))))</f>
        <v/>
      </c>
      <c r="Q65" s="3" t="str">
        <f>IF(T&lt;=Q$11,"",IF($A65&gt;Q$12,"",IF(T=R$11,EXP(-IRTree!Q66*h)*Q132,EXP(-IRTree!Q66*h)*((R65+R66)/2+Q132))))</f>
        <v/>
      </c>
      <c r="R65" s="3" t="str">
        <f>IF(T&lt;=R$11,"",IF($A65&gt;R$12,"",IF(T=S$11,EXP(-IRTree!R66*h)*R132,EXP(-IRTree!R66*h)*((S65+S66)/2+R132))))</f>
        <v/>
      </c>
      <c r="S65" s="3" t="str">
        <f>IF(T&lt;=S$11,"",IF($A65&gt;S$12,"",IF(T=T$11,EXP(-IRTree!S66*h)*S132,EXP(-IRTree!S66*h)*((T65+T66)/2+S132))))</f>
        <v/>
      </c>
      <c r="T65" s="3" t="str">
        <f>IF(T&lt;=T$11,"",IF($A65&gt;T$12,"",IF(T=U$11,EXP(-IRTree!T66*h)*T132,EXP(-IRTree!T66*h)*((U65+U66)/2+T132))))</f>
        <v/>
      </c>
      <c r="U65" s="3" t="str">
        <f>IF(T&lt;=U$11,"",IF($A65&gt;U$12,"",IF(T=V$11,EXP(-IRTree!U66*h)*U132,EXP(-IRTree!U66*h)*((V65+V66)/2+U132))))</f>
        <v/>
      </c>
      <c r="V65" s="3" t="str">
        <f>IF(T&lt;=V$11,"",IF($A65&gt;V$12,"",IF(T=W$11,EXP(-IRTree!V66*h)*V132,EXP(-IRTree!V66*h)*((W65+W66)/2+V132))))</f>
        <v/>
      </c>
      <c r="W65" s="3" t="str">
        <f>IF(T&lt;=W$11,"",IF($A65&gt;W$12,"",IF(T=X$11,EXP(-IRTree!W66*h)*W132,EXP(-IRTree!W66*h)*((X65+X66)/2+W132))))</f>
        <v/>
      </c>
      <c r="X65" s="3" t="str">
        <f>IF(T&lt;=X$11,"",IF($A65&gt;X$12,"",IF(T=Y$11,EXP(-IRTree!X66*h)*X132,EXP(-IRTree!X66*h)*((Y65+Y66)/2+X132))))</f>
        <v/>
      </c>
      <c r="Y65" s="3" t="str">
        <f>IF(T&lt;=Y$11,"",IF($A65&gt;Y$12,"",IF(T=Z$11,EXP(-IRTree!Y66*h)*Y132,EXP(-IRTree!Y66*h)*((Z65+Z66)/2+Y132))))</f>
        <v/>
      </c>
      <c r="Z65" s="3" t="str">
        <f>IF(T&lt;=Z$11,"",IF($A65&gt;Z$12,"",IF(T=AA$11,EXP(-IRTree!Z66*h)*Z132,EXP(-IRTree!Z66*h)*((AA65+AA66)/2+Z132))))</f>
        <v/>
      </c>
      <c r="AA65" s="3" t="str">
        <f>IF(T&lt;=AA$11,"",IF($A65&gt;AA$12,"",IF(T=AB$11,EXP(-IRTree!AA66*h)*AA132,EXP(-IRTree!AA66*h)*((AB65+AB66)/2+AA132))))</f>
        <v/>
      </c>
      <c r="AB65" s="3" t="str">
        <f>IF(T&lt;=AB$11,"",IF($A65&gt;AB$12,"",IF(T=AC$11,EXP(-IRTree!AB66*h)*AB132,EXP(-IRTree!AB66*h)*((AC65+AC66)/2+AB132))))</f>
        <v/>
      </c>
      <c r="AC65" s="3" t="str">
        <f>IF(T&lt;=AC$11,"",IF($A65&gt;AC$12,"",IF(T=AD$11,EXP(-IRTree!AC66*h)*AC132,EXP(-IRTree!AC66*h)*((AD65+AD66)/2+AC132))))</f>
        <v/>
      </c>
      <c r="AD65" s="3" t="str">
        <f>IF(T&lt;=AD$11,"",IF($A65&gt;AD$12,"",IF(T=AE$11,EXP(-IRTree!AD66*h)*AD132,EXP(-IRTree!AD66*h)*((AE65+AE66)/2+AD132))))</f>
        <v/>
      </c>
      <c r="AE65" s="3" t="str">
        <f>IF(T&lt;=AE$11,"",IF($A65&gt;AE$12,"",IF(T=AF$11,EXP(-IRTree!AE66*h)*AE132,EXP(-IRTree!AE66*h)*((AF65+AF66)/2+AE132))))</f>
        <v/>
      </c>
      <c r="AF65" s="3" t="str">
        <f>IF(T&lt;=AF$11,"",IF($A65&gt;AF$12,"",IF(T=AG$11,EXP(-IRTree!AF66*h)*AF132,EXP(-IRTree!AF66*h)*((AG65+AG66)/2+AF132))))</f>
        <v/>
      </c>
      <c r="AG65" s="3" t="str">
        <f>IF(T&lt;=AG$11,"",IF($A65&gt;AG$12,"",IF(T=AH$11,EXP(-IRTree!AG66*h)*AG132,EXP(-IRTree!AG66*h)*((AH65+AH66)/2+AG132))))</f>
        <v/>
      </c>
      <c r="AH65" s="3" t="str">
        <f>IF(T&lt;=AH$11,"",IF($A65&gt;AH$12,"",IF(T=AI$11,EXP(-IRTree!AH66*h)*AH132,EXP(-IRTree!AH66*h)*((AI65+AI66)/2+AH132))))</f>
        <v/>
      </c>
      <c r="AI65" s="3" t="str">
        <f>IF(T&lt;=AI$11,"",IF($A65&gt;AI$12,"",IF(T=AJ$11,EXP(-IRTree!AI66*h)*AI132,EXP(-IRTree!AI66*h)*((AJ65+AJ66)/2+AI132))))</f>
        <v/>
      </c>
      <c r="AJ65" s="3" t="str">
        <f>IF(T&lt;=AJ$11,"",IF($A65&gt;AJ$12,"",IF(T=AK$11,EXP(-IRTree!AJ66*h)*AJ132,EXP(-IRTree!AJ66*h)*((AK65+AK66)/2+AJ132))))</f>
        <v/>
      </c>
      <c r="AK65" s="3" t="str">
        <f>IF(T&lt;=AK$11,"",IF($A65&gt;AK$12,"",IF(T=AL$11,EXP(-IRTree!AK66*h)*AK132,EXP(-IRTree!AK66*h)*((AL65+AL66)/2+AK132))))</f>
        <v/>
      </c>
      <c r="AL65" s="3" t="str">
        <f>IF(T&lt;=AL$11,"",IF($A65&gt;AL$12,"",IF(T=AM$11,EXP(-IRTree!AL66*h)*AL132,EXP(-IRTree!AL66*h)*((AM65+AM66)/2+AL132))))</f>
        <v/>
      </c>
      <c r="AM65" s="3" t="str">
        <f>IF(T&lt;=AM$11,"",IF($A65&gt;AM$12,"",IF(T=AN$11,EXP(-IRTree!AM66*h)*AM132,EXP(-IRTree!AM66*h)*((AN65+AN66)/2+AM132))))</f>
        <v/>
      </c>
      <c r="AN65" s="3" t="str">
        <f>IF(T&lt;=AN$11,"",IF($A65&gt;AN$12,"",IF(T=AO$11,EXP(-IRTree!AN66*h)*AN132,EXP(-IRTree!AN66*h)*((AO65+AO66)/2+AN132))))</f>
        <v/>
      </c>
      <c r="AO65" s="3" t="str">
        <f>IF(T&lt;=AO$11,"",IF($A65&gt;AO$12,"",IF(T=AP$11,EXP(-IRTree!AO66*h)*AO132,EXP(-IRTree!AO66*h)*((AP65+AP66)/2+AO132))))</f>
        <v/>
      </c>
      <c r="AP65" s="3" t="str">
        <f>IF(T&lt;=AP$11,"",IF($A65&gt;AP$12,"",IF(T=AQ$11,EXP(-IRTree!AP66*h)*AP132,EXP(-IRTree!AP66*h)*((AQ65+AQ66)/2+AP132))))</f>
        <v/>
      </c>
      <c r="AQ65" s="3" t="str">
        <f>IF(T&lt;=AQ$11,"",IF($A65&gt;AQ$12,"",IF(T=AR$11,EXP(-IRTree!AQ66*h)*AQ132,EXP(-IRTree!AQ66*h)*((AR65+AR66)/2+AQ132))))</f>
        <v/>
      </c>
      <c r="AR65" s="3" t="str">
        <f>IF(T&lt;=AR$11,"",IF($A65&gt;AR$12,"",IF(T=AS$11,EXP(-IRTree!AR66*h)*AR132,EXP(-IRTree!AR66*h)*((AS65+AS66)/2+AR132))))</f>
        <v/>
      </c>
      <c r="AS65" s="3" t="str">
        <f>IF(T&lt;=AS$11,"",IF($A65&gt;AS$12,"",IF(T=AT$11,EXP(-IRTree!AS66*h)*AS132,EXP(-IRTree!AS66*h)*((AT65+AT66)/2+AS132))))</f>
        <v/>
      </c>
      <c r="AT65" s="3" t="str">
        <f>IF(T&lt;=AT$11,"",IF($A65&gt;AT$12,"",IF(T=AU$11,EXP(-IRTree!AT66*h)*AT132,EXP(-IRTree!AT66*h)*((AU65+AU66)/2+AT132))))</f>
        <v/>
      </c>
      <c r="AU65" s="3" t="str">
        <f>IF(T&lt;=AU$11,"",IF($A65&gt;AU$12,"",IF(T=AV$11,EXP(-IRTree!AU66*h)*AU132,EXP(-IRTree!AU66*h)*((AV65+AV66)/2+AU132))))</f>
        <v/>
      </c>
      <c r="AV65" s="3" t="str">
        <f>IF(T&lt;=AV$11,"",IF($A65&gt;AV$12,"",IF(T=AW$11,EXP(-IRTree!AV66*h)*AV132,EXP(-IRTree!AV66*h)*((AW65+AW66)/2+AV132))))</f>
        <v/>
      </c>
      <c r="AW65" s="3" t="str">
        <f>IF(T&lt;=AW$11,"",IF($A65&gt;AW$12,"",IF(T=AX$11,EXP(-IRTree!AW66*h)*AW132,EXP(-IRTree!AW66*h)*((AX65+AX66)/2+AW132))))</f>
        <v/>
      </c>
      <c r="AX65" s="3" t="str">
        <f>IF(T&lt;=AX$11,"",IF($A65&gt;AX$12,"",IF(T=AY$11,EXP(-IRTree!AX66*h)*AX132,EXP(-IRTree!AX66*h)*((AY65+AY66)/2+AX132))))</f>
        <v/>
      </c>
      <c r="AY65" s="3" t="str">
        <f>IF(T&lt;=AY$11,"",IF($A65&gt;AY$12,"",IF(T=AZ$11,EXP(-IRTree!AY66*h)*AY132,EXP(-IRTree!AY66*h)*((AZ65+AZ66)/2+AY132))))</f>
        <v/>
      </c>
      <c r="AZ65" s="3" t="str">
        <f>IF(T&lt;=AZ$11,"",IF($A65&gt;AZ$12,"",IF(T=BA$11,EXP(-IRTree!AZ66*h)*AZ132,EXP(-IRTree!AZ66*h)*((BA65+BA66)/2+AZ132))))</f>
        <v/>
      </c>
      <c r="BA65" s="3" t="str">
        <f>IF(T&lt;=BA$11,"",IF($A65&gt;BA$12,"",IF(T=BB$11,EXP(-IRTree!BA66*h)*BA132,EXP(-IRTree!BA66*h)*((BB65+BB66)/2+BA132))))</f>
        <v/>
      </c>
      <c r="BB65" s="3" t="str">
        <f>IF(T&lt;=BB$11,"",IF($A65&gt;BB$12,"",IF(T=BC$11,EXP(-IRTree!BB66*h)*BB132,EXP(-IRTree!BB66*h)*((BC65+BC66)/2+BB132))))</f>
        <v/>
      </c>
      <c r="BC65" s="3" t="str">
        <f>IF(T&lt;=BC$11,"",IF($A65&gt;BC$12,"",IF(T=BD$11,EXP(-IRTree!BC66*h)*BC132,EXP(-IRTree!BC66*h)*((BD65+BD66)/2+BC132))))</f>
        <v/>
      </c>
      <c r="BD65" s="3" t="str">
        <f>IF(T&lt;=BD$11,"",IF($A65&gt;BD$12,"",IF(T=BE$11,EXP(-IRTree!BD66*h)*BD132,EXP(-IRTree!BD66*h)*((BE65+BE66)/2+BD132))))</f>
        <v/>
      </c>
      <c r="BE65" s="3" t="str">
        <f>IF(T&lt;=BE$11,"",IF($A65&gt;BE$12,"",IF(T=BF$11,EXP(-IRTree!BE66*h)*BE132,EXP(-IRTree!BE66*h)*((BF65+BF66)/2+BE132))))</f>
        <v/>
      </c>
      <c r="BF65" s="3" t="str">
        <f>IF(T&lt;=BF$11,"",IF($A65&gt;BF$12,"",IF(T=BG$11,EXP(-IRTree!BF66*h)*BF132,EXP(-IRTree!BF66*h)*((BG65+BG66)/2+BF132))))</f>
        <v/>
      </c>
      <c r="BG65" s="3" t="str">
        <f>IF(T&lt;=BG$11,"",IF($A65&gt;BG$12,"",IF(T=BH$11,EXP(-IRTree!BG66*h)*BG132,EXP(-IRTree!BG66*h)*((BH65+BH66)/2+BG132))))</f>
        <v/>
      </c>
      <c r="BH65" s="3" t="str">
        <f>IF(T&lt;=BH$11,"",IF($A65&gt;BH$12,"",IF(T=BI$11,EXP(-IRTree!BH66*h)*BH132,EXP(-IRTree!BH66*h)*((BI65+BI66)/2+BH132))))</f>
        <v/>
      </c>
      <c r="BI65" s="3" t="str">
        <f>IF(T&lt;=BI$11,"",IF($A65&gt;BI$12,"",IF(T=BJ$11,EXP(-IRTree!BI66*h)*BI132,EXP(-IRTree!BI66*h)*((BJ65+BJ66)/2+BI132))))</f>
        <v/>
      </c>
      <c r="BJ65" s="3" t="str">
        <f>IF(T&lt;=BJ$11,"",IF($A65&gt;BJ$12,"",IF(T=BK$11,EXP(-IRTree!BJ66*h)*BJ132,EXP(-IRTree!BJ66*h)*((BK65+BK66)/2+BJ132))))</f>
        <v/>
      </c>
    </row>
    <row r="66" spans="1:62">
      <c r="A66" s="12">
        <f t="shared" si="2"/>
        <v>53</v>
      </c>
      <c r="B66" s="3" t="str">
        <f>IF(T&lt;=B$11,"",IF($A66&gt;B$12,"",IF(T=C$11,EXP(-IRTree!B67*h)*B133,EXP(-IRTree!B67*h)*((C66+C67)/2+B133))))</f>
        <v/>
      </c>
      <c r="C66" s="3" t="str">
        <f>IF(T&lt;=C$11,"",IF($A66&gt;C$12,"",IF(T=D$11,EXP(-IRTree!C67*h)*C133,EXP(-IRTree!C67*h)*((D66+D67)/2+C133))))</f>
        <v/>
      </c>
      <c r="D66" s="3" t="str">
        <f>IF(T&lt;=D$11,"",IF($A66&gt;D$12,"",IF(T=E$11,EXP(-IRTree!D67*h)*D133,EXP(-IRTree!D67*h)*((E66+E67)/2+D133))))</f>
        <v/>
      </c>
      <c r="E66" s="3" t="str">
        <f>IF(T&lt;=E$11,"",IF($A66&gt;E$12,"",IF(T=F$11,EXP(-IRTree!E67*h)*E133,EXP(-IRTree!E67*h)*((F66+F67)/2+E133))))</f>
        <v/>
      </c>
      <c r="F66" s="3" t="str">
        <f>IF(T&lt;=F$11,"",IF($A66&gt;F$12,"",IF(T=G$11,EXP(-IRTree!F67*h)*F133,EXP(-IRTree!F67*h)*((G66+G67)/2+F133))))</f>
        <v/>
      </c>
      <c r="G66" s="3" t="str">
        <f>IF(T&lt;=G$11,"",IF($A66&gt;G$12,"",IF(T=H$11,EXP(-IRTree!G67*h)*G133,EXP(-IRTree!G67*h)*((H66+H67)/2+G133))))</f>
        <v/>
      </c>
      <c r="H66" s="3" t="str">
        <f>IF(T&lt;=H$11,"",IF($A66&gt;H$12,"",IF(T=I$11,EXP(-IRTree!H67*h)*H133,EXP(-IRTree!H67*h)*((I66+I67)/2+H133))))</f>
        <v/>
      </c>
      <c r="I66" s="3" t="str">
        <f>IF(T&lt;=I$11,"",IF($A66&gt;I$12,"",IF(T=J$11,EXP(-IRTree!I67*h)*I133,EXP(-IRTree!I67*h)*((J66+J67)/2+I133))))</f>
        <v/>
      </c>
      <c r="J66" s="3" t="str">
        <f>IF(T&lt;=J$11,"",IF($A66&gt;J$12,"",IF(T=K$11,EXP(-IRTree!J67*h)*J133,EXP(-IRTree!J67*h)*((K66+K67)/2+J133))))</f>
        <v/>
      </c>
      <c r="K66" s="3" t="str">
        <f>IF(T&lt;=K$11,"",IF($A66&gt;K$12,"",IF(T=L$11,EXP(-IRTree!K67*h)*K133,EXP(-IRTree!K67*h)*((L66+L67)/2+K133))))</f>
        <v/>
      </c>
      <c r="L66" s="3" t="str">
        <f>IF(T&lt;=L$11,"",IF($A66&gt;L$12,"",IF(T=M$11,EXP(-IRTree!L67*h)*L133,EXP(-IRTree!L67*h)*((M66+M67)/2+L133))))</f>
        <v/>
      </c>
      <c r="M66" s="3" t="str">
        <f>IF(T&lt;=M$11,"",IF($A66&gt;M$12,"",IF(T=N$11,EXP(-IRTree!M67*h)*M133,EXP(-IRTree!M67*h)*((N66+N67)/2+M133))))</f>
        <v/>
      </c>
      <c r="N66" s="3" t="str">
        <f>IF(T&lt;=N$11,"",IF($A66&gt;N$12,"",IF(T=O$11,EXP(-IRTree!N67*h)*N133,EXP(-IRTree!N67*h)*((O66+O67)/2+N133))))</f>
        <v/>
      </c>
      <c r="O66" s="3" t="str">
        <f>IF(T&lt;=O$11,"",IF($A66&gt;O$12,"",IF(T=P$11,EXP(-IRTree!O67*h)*O133,EXP(-IRTree!O67*h)*((P66+P67)/2+O133))))</f>
        <v/>
      </c>
      <c r="P66" s="3" t="str">
        <f>IF(T&lt;=P$11,"",IF($A66&gt;P$12,"",IF(T=Q$11,EXP(-IRTree!P67*h)*P133,EXP(-IRTree!P67*h)*((Q66+Q67)/2+P133))))</f>
        <v/>
      </c>
      <c r="Q66" s="3" t="str">
        <f>IF(T&lt;=Q$11,"",IF($A66&gt;Q$12,"",IF(T=R$11,EXP(-IRTree!Q67*h)*Q133,EXP(-IRTree!Q67*h)*((R66+R67)/2+Q133))))</f>
        <v/>
      </c>
      <c r="R66" s="3" t="str">
        <f>IF(T&lt;=R$11,"",IF($A66&gt;R$12,"",IF(T=S$11,EXP(-IRTree!R67*h)*R133,EXP(-IRTree!R67*h)*((S66+S67)/2+R133))))</f>
        <v/>
      </c>
      <c r="S66" s="3" t="str">
        <f>IF(T&lt;=S$11,"",IF($A66&gt;S$12,"",IF(T=T$11,EXP(-IRTree!S67*h)*S133,EXP(-IRTree!S67*h)*((T66+T67)/2+S133))))</f>
        <v/>
      </c>
      <c r="T66" s="3" t="str">
        <f>IF(T&lt;=T$11,"",IF($A66&gt;T$12,"",IF(T=U$11,EXP(-IRTree!T67*h)*T133,EXP(-IRTree!T67*h)*((U66+U67)/2+T133))))</f>
        <v/>
      </c>
      <c r="U66" s="3" t="str">
        <f>IF(T&lt;=U$11,"",IF($A66&gt;U$12,"",IF(T=V$11,EXP(-IRTree!U67*h)*U133,EXP(-IRTree!U67*h)*((V66+V67)/2+U133))))</f>
        <v/>
      </c>
      <c r="V66" s="3" t="str">
        <f>IF(T&lt;=V$11,"",IF($A66&gt;V$12,"",IF(T=W$11,EXP(-IRTree!V67*h)*V133,EXP(-IRTree!V67*h)*((W66+W67)/2+V133))))</f>
        <v/>
      </c>
      <c r="W66" s="3" t="str">
        <f>IF(T&lt;=W$11,"",IF($A66&gt;W$12,"",IF(T=X$11,EXP(-IRTree!W67*h)*W133,EXP(-IRTree!W67*h)*((X66+X67)/2+W133))))</f>
        <v/>
      </c>
      <c r="X66" s="3" t="str">
        <f>IF(T&lt;=X$11,"",IF($A66&gt;X$12,"",IF(T=Y$11,EXP(-IRTree!X67*h)*X133,EXP(-IRTree!X67*h)*((Y66+Y67)/2+X133))))</f>
        <v/>
      </c>
      <c r="Y66" s="3" t="str">
        <f>IF(T&lt;=Y$11,"",IF($A66&gt;Y$12,"",IF(T=Z$11,EXP(-IRTree!Y67*h)*Y133,EXP(-IRTree!Y67*h)*((Z66+Z67)/2+Y133))))</f>
        <v/>
      </c>
      <c r="Z66" s="3" t="str">
        <f>IF(T&lt;=Z$11,"",IF($A66&gt;Z$12,"",IF(T=AA$11,EXP(-IRTree!Z67*h)*Z133,EXP(-IRTree!Z67*h)*((AA66+AA67)/2+Z133))))</f>
        <v/>
      </c>
      <c r="AA66" s="3" t="str">
        <f>IF(T&lt;=AA$11,"",IF($A66&gt;AA$12,"",IF(T=AB$11,EXP(-IRTree!AA67*h)*AA133,EXP(-IRTree!AA67*h)*((AB66+AB67)/2+AA133))))</f>
        <v/>
      </c>
      <c r="AB66" s="3" t="str">
        <f>IF(T&lt;=AB$11,"",IF($A66&gt;AB$12,"",IF(T=AC$11,EXP(-IRTree!AB67*h)*AB133,EXP(-IRTree!AB67*h)*((AC66+AC67)/2+AB133))))</f>
        <v/>
      </c>
      <c r="AC66" s="3" t="str">
        <f>IF(T&lt;=AC$11,"",IF($A66&gt;AC$12,"",IF(T=AD$11,EXP(-IRTree!AC67*h)*AC133,EXP(-IRTree!AC67*h)*((AD66+AD67)/2+AC133))))</f>
        <v/>
      </c>
      <c r="AD66" s="3" t="str">
        <f>IF(T&lt;=AD$11,"",IF($A66&gt;AD$12,"",IF(T=AE$11,EXP(-IRTree!AD67*h)*AD133,EXP(-IRTree!AD67*h)*((AE66+AE67)/2+AD133))))</f>
        <v/>
      </c>
      <c r="AE66" s="3" t="str">
        <f>IF(T&lt;=AE$11,"",IF($A66&gt;AE$12,"",IF(T=AF$11,EXP(-IRTree!AE67*h)*AE133,EXP(-IRTree!AE67*h)*((AF66+AF67)/2+AE133))))</f>
        <v/>
      </c>
      <c r="AF66" s="3" t="str">
        <f>IF(T&lt;=AF$11,"",IF($A66&gt;AF$12,"",IF(T=AG$11,EXP(-IRTree!AF67*h)*AF133,EXP(-IRTree!AF67*h)*((AG66+AG67)/2+AF133))))</f>
        <v/>
      </c>
      <c r="AG66" s="3" t="str">
        <f>IF(T&lt;=AG$11,"",IF($A66&gt;AG$12,"",IF(T=AH$11,EXP(-IRTree!AG67*h)*AG133,EXP(-IRTree!AG67*h)*((AH66+AH67)/2+AG133))))</f>
        <v/>
      </c>
      <c r="AH66" s="3" t="str">
        <f>IF(T&lt;=AH$11,"",IF($A66&gt;AH$12,"",IF(T=AI$11,EXP(-IRTree!AH67*h)*AH133,EXP(-IRTree!AH67*h)*((AI66+AI67)/2+AH133))))</f>
        <v/>
      </c>
      <c r="AI66" s="3" t="str">
        <f>IF(T&lt;=AI$11,"",IF($A66&gt;AI$12,"",IF(T=AJ$11,EXP(-IRTree!AI67*h)*AI133,EXP(-IRTree!AI67*h)*((AJ66+AJ67)/2+AI133))))</f>
        <v/>
      </c>
      <c r="AJ66" s="3" t="str">
        <f>IF(T&lt;=AJ$11,"",IF($A66&gt;AJ$12,"",IF(T=AK$11,EXP(-IRTree!AJ67*h)*AJ133,EXP(-IRTree!AJ67*h)*((AK66+AK67)/2+AJ133))))</f>
        <v/>
      </c>
      <c r="AK66" s="3" t="str">
        <f>IF(T&lt;=AK$11,"",IF($A66&gt;AK$12,"",IF(T=AL$11,EXP(-IRTree!AK67*h)*AK133,EXP(-IRTree!AK67*h)*((AL66+AL67)/2+AK133))))</f>
        <v/>
      </c>
      <c r="AL66" s="3" t="str">
        <f>IF(T&lt;=AL$11,"",IF($A66&gt;AL$12,"",IF(T=AM$11,EXP(-IRTree!AL67*h)*AL133,EXP(-IRTree!AL67*h)*((AM66+AM67)/2+AL133))))</f>
        <v/>
      </c>
      <c r="AM66" s="3" t="str">
        <f>IF(T&lt;=AM$11,"",IF($A66&gt;AM$12,"",IF(T=AN$11,EXP(-IRTree!AM67*h)*AM133,EXP(-IRTree!AM67*h)*((AN66+AN67)/2+AM133))))</f>
        <v/>
      </c>
      <c r="AN66" s="3" t="str">
        <f>IF(T&lt;=AN$11,"",IF($A66&gt;AN$12,"",IF(T=AO$11,EXP(-IRTree!AN67*h)*AN133,EXP(-IRTree!AN67*h)*((AO66+AO67)/2+AN133))))</f>
        <v/>
      </c>
      <c r="AO66" s="3" t="str">
        <f>IF(T&lt;=AO$11,"",IF($A66&gt;AO$12,"",IF(T=AP$11,EXP(-IRTree!AO67*h)*AO133,EXP(-IRTree!AO67*h)*((AP66+AP67)/2+AO133))))</f>
        <v/>
      </c>
      <c r="AP66" s="3" t="str">
        <f>IF(T&lt;=AP$11,"",IF($A66&gt;AP$12,"",IF(T=AQ$11,EXP(-IRTree!AP67*h)*AP133,EXP(-IRTree!AP67*h)*((AQ66+AQ67)/2+AP133))))</f>
        <v/>
      </c>
      <c r="AQ66" s="3" t="str">
        <f>IF(T&lt;=AQ$11,"",IF($A66&gt;AQ$12,"",IF(T=AR$11,EXP(-IRTree!AQ67*h)*AQ133,EXP(-IRTree!AQ67*h)*((AR66+AR67)/2+AQ133))))</f>
        <v/>
      </c>
      <c r="AR66" s="3" t="str">
        <f>IF(T&lt;=AR$11,"",IF($A66&gt;AR$12,"",IF(T=AS$11,EXP(-IRTree!AR67*h)*AR133,EXP(-IRTree!AR67*h)*((AS66+AS67)/2+AR133))))</f>
        <v/>
      </c>
      <c r="AS66" s="3" t="str">
        <f>IF(T&lt;=AS$11,"",IF($A66&gt;AS$12,"",IF(T=AT$11,EXP(-IRTree!AS67*h)*AS133,EXP(-IRTree!AS67*h)*((AT66+AT67)/2+AS133))))</f>
        <v/>
      </c>
      <c r="AT66" s="3" t="str">
        <f>IF(T&lt;=AT$11,"",IF($A66&gt;AT$12,"",IF(T=AU$11,EXP(-IRTree!AT67*h)*AT133,EXP(-IRTree!AT67*h)*((AU66+AU67)/2+AT133))))</f>
        <v/>
      </c>
      <c r="AU66" s="3" t="str">
        <f>IF(T&lt;=AU$11,"",IF($A66&gt;AU$12,"",IF(T=AV$11,EXP(-IRTree!AU67*h)*AU133,EXP(-IRTree!AU67*h)*((AV66+AV67)/2+AU133))))</f>
        <v/>
      </c>
      <c r="AV66" s="3" t="str">
        <f>IF(T&lt;=AV$11,"",IF($A66&gt;AV$12,"",IF(T=AW$11,EXP(-IRTree!AV67*h)*AV133,EXP(-IRTree!AV67*h)*((AW66+AW67)/2+AV133))))</f>
        <v/>
      </c>
      <c r="AW66" s="3" t="str">
        <f>IF(T&lt;=AW$11,"",IF($A66&gt;AW$12,"",IF(T=AX$11,EXP(-IRTree!AW67*h)*AW133,EXP(-IRTree!AW67*h)*((AX66+AX67)/2+AW133))))</f>
        <v/>
      </c>
      <c r="AX66" s="3" t="str">
        <f>IF(T&lt;=AX$11,"",IF($A66&gt;AX$12,"",IF(T=AY$11,EXP(-IRTree!AX67*h)*AX133,EXP(-IRTree!AX67*h)*((AY66+AY67)/2+AX133))))</f>
        <v/>
      </c>
      <c r="AY66" s="3" t="str">
        <f>IF(T&lt;=AY$11,"",IF($A66&gt;AY$12,"",IF(T=AZ$11,EXP(-IRTree!AY67*h)*AY133,EXP(-IRTree!AY67*h)*((AZ66+AZ67)/2+AY133))))</f>
        <v/>
      </c>
      <c r="AZ66" s="3" t="str">
        <f>IF(T&lt;=AZ$11,"",IF($A66&gt;AZ$12,"",IF(T=BA$11,EXP(-IRTree!AZ67*h)*AZ133,EXP(-IRTree!AZ67*h)*((BA66+BA67)/2+AZ133))))</f>
        <v/>
      </c>
      <c r="BA66" s="3" t="str">
        <f>IF(T&lt;=BA$11,"",IF($A66&gt;BA$12,"",IF(T=BB$11,EXP(-IRTree!BA67*h)*BA133,EXP(-IRTree!BA67*h)*((BB66+BB67)/2+BA133))))</f>
        <v/>
      </c>
      <c r="BB66" s="3" t="str">
        <f>IF(T&lt;=BB$11,"",IF($A66&gt;BB$12,"",IF(T=BC$11,EXP(-IRTree!BB67*h)*BB133,EXP(-IRTree!BB67*h)*((BC66+BC67)/2+BB133))))</f>
        <v/>
      </c>
      <c r="BC66" s="3" t="str">
        <f>IF(T&lt;=BC$11,"",IF($A66&gt;BC$12,"",IF(T=BD$11,EXP(-IRTree!BC67*h)*BC133,EXP(-IRTree!BC67*h)*((BD66+BD67)/2+BC133))))</f>
        <v/>
      </c>
      <c r="BD66" s="3" t="str">
        <f>IF(T&lt;=BD$11,"",IF($A66&gt;BD$12,"",IF(T=BE$11,EXP(-IRTree!BD67*h)*BD133,EXP(-IRTree!BD67*h)*((BE66+BE67)/2+BD133))))</f>
        <v/>
      </c>
      <c r="BE66" s="3" t="str">
        <f>IF(T&lt;=BE$11,"",IF($A66&gt;BE$12,"",IF(T=BF$11,EXP(-IRTree!BE67*h)*BE133,EXP(-IRTree!BE67*h)*((BF66+BF67)/2+BE133))))</f>
        <v/>
      </c>
      <c r="BF66" s="3" t="str">
        <f>IF(T&lt;=BF$11,"",IF($A66&gt;BF$12,"",IF(T=BG$11,EXP(-IRTree!BF67*h)*BF133,EXP(-IRTree!BF67*h)*((BG66+BG67)/2+BF133))))</f>
        <v/>
      </c>
      <c r="BG66" s="3" t="str">
        <f>IF(T&lt;=BG$11,"",IF($A66&gt;BG$12,"",IF(T=BH$11,EXP(-IRTree!BG67*h)*BG133,EXP(-IRTree!BG67*h)*((BH66+BH67)/2+BG133))))</f>
        <v/>
      </c>
      <c r="BH66" s="3" t="str">
        <f>IF(T&lt;=BH$11,"",IF($A66&gt;BH$12,"",IF(T=BI$11,EXP(-IRTree!BH67*h)*BH133,EXP(-IRTree!BH67*h)*((BI66+BI67)/2+BH133))))</f>
        <v/>
      </c>
      <c r="BI66" s="3" t="str">
        <f>IF(T&lt;=BI$11,"",IF($A66&gt;BI$12,"",IF(T=BJ$11,EXP(-IRTree!BI67*h)*BI133,EXP(-IRTree!BI67*h)*((BJ66+BJ67)/2+BI133))))</f>
        <v/>
      </c>
      <c r="BJ66" s="3" t="str">
        <f>IF(T&lt;=BJ$11,"",IF($A66&gt;BJ$12,"",IF(T=BK$11,EXP(-IRTree!BJ67*h)*BJ133,EXP(-IRTree!BJ67*h)*((BK66+BK67)/2+BJ133))))</f>
        <v/>
      </c>
    </row>
    <row r="67" spans="1:62">
      <c r="A67" s="12">
        <f t="shared" si="2"/>
        <v>54</v>
      </c>
      <c r="B67" s="3" t="str">
        <f>IF(T&lt;=B$11,"",IF($A67&gt;B$12,"",IF(T=C$11,EXP(-IRTree!B68*h)*B134,EXP(-IRTree!B68*h)*((C67+C68)/2+B134))))</f>
        <v/>
      </c>
      <c r="C67" s="3" t="str">
        <f>IF(T&lt;=C$11,"",IF($A67&gt;C$12,"",IF(T=D$11,EXP(-IRTree!C68*h)*C134,EXP(-IRTree!C68*h)*((D67+D68)/2+C134))))</f>
        <v/>
      </c>
      <c r="D67" s="3" t="str">
        <f>IF(T&lt;=D$11,"",IF($A67&gt;D$12,"",IF(T=E$11,EXP(-IRTree!D68*h)*D134,EXP(-IRTree!D68*h)*((E67+E68)/2+D134))))</f>
        <v/>
      </c>
      <c r="E67" s="3" t="str">
        <f>IF(T&lt;=E$11,"",IF($A67&gt;E$12,"",IF(T=F$11,EXP(-IRTree!E68*h)*E134,EXP(-IRTree!E68*h)*((F67+F68)/2+E134))))</f>
        <v/>
      </c>
      <c r="F67" s="3" t="str">
        <f>IF(T&lt;=F$11,"",IF($A67&gt;F$12,"",IF(T=G$11,EXP(-IRTree!F68*h)*F134,EXP(-IRTree!F68*h)*((G67+G68)/2+F134))))</f>
        <v/>
      </c>
      <c r="G67" s="3" t="str">
        <f>IF(T&lt;=G$11,"",IF($A67&gt;G$12,"",IF(T=H$11,EXP(-IRTree!G68*h)*G134,EXP(-IRTree!G68*h)*((H67+H68)/2+G134))))</f>
        <v/>
      </c>
      <c r="H67" s="3" t="str">
        <f>IF(T&lt;=H$11,"",IF($A67&gt;H$12,"",IF(T=I$11,EXP(-IRTree!H68*h)*H134,EXP(-IRTree!H68*h)*((I67+I68)/2+H134))))</f>
        <v/>
      </c>
      <c r="I67" s="3" t="str">
        <f>IF(T&lt;=I$11,"",IF($A67&gt;I$12,"",IF(T=J$11,EXP(-IRTree!I68*h)*I134,EXP(-IRTree!I68*h)*((J67+J68)/2+I134))))</f>
        <v/>
      </c>
      <c r="J67" s="3" t="str">
        <f>IF(T&lt;=J$11,"",IF($A67&gt;J$12,"",IF(T=K$11,EXP(-IRTree!J68*h)*J134,EXP(-IRTree!J68*h)*((K67+K68)/2+J134))))</f>
        <v/>
      </c>
      <c r="K67" s="3" t="str">
        <f>IF(T&lt;=K$11,"",IF($A67&gt;K$12,"",IF(T=L$11,EXP(-IRTree!K68*h)*K134,EXP(-IRTree!K68*h)*((L67+L68)/2+K134))))</f>
        <v/>
      </c>
      <c r="L67" s="3" t="str">
        <f>IF(T&lt;=L$11,"",IF($A67&gt;L$12,"",IF(T=M$11,EXP(-IRTree!L68*h)*L134,EXP(-IRTree!L68*h)*((M67+M68)/2+L134))))</f>
        <v/>
      </c>
      <c r="M67" s="3" t="str">
        <f>IF(T&lt;=M$11,"",IF($A67&gt;M$12,"",IF(T=N$11,EXP(-IRTree!M68*h)*M134,EXP(-IRTree!M68*h)*((N67+N68)/2+M134))))</f>
        <v/>
      </c>
      <c r="N67" s="3" t="str">
        <f>IF(T&lt;=N$11,"",IF($A67&gt;N$12,"",IF(T=O$11,EXP(-IRTree!N68*h)*N134,EXP(-IRTree!N68*h)*((O67+O68)/2+N134))))</f>
        <v/>
      </c>
      <c r="O67" s="3" t="str">
        <f>IF(T&lt;=O$11,"",IF($A67&gt;O$12,"",IF(T=P$11,EXP(-IRTree!O68*h)*O134,EXP(-IRTree!O68*h)*((P67+P68)/2+O134))))</f>
        <v/>
      </c>
      <c r="P67" s="3" t="str">
        <f>IF(T&lt;=P$11,"",IF($A67&gt;P$12,"",IF(T=Q$11,EXP(-IRTree!P68*h)*P134,EXP(-IRTree!P68*h)*((Q67+Q68)/2+P134))))</f>
        <v/>
      </c>
      <c r="Q67" s="3" t="str">
        <f>IF(T&lt;=Q$11,"",IF($A67&gt;Q$12,"",IF(T=R$11,EXP(-IRTree!Q68*h)*Q134,EXP(-IRTree!Q68*h)*((R67+R68)/2+Q134))))</f>
        <v/>
      </c>
      <c r="R67" s="3" t="str">
        <f>IF(T&lt;=R$11,"",IF($A67&gt;R$12,"",IF(T=S$11,EXP(-IRTree!R68*h)*R134,EXP(-IRTree!R68*h)*((S67+S68)/2+R134))))</f>
        <v/>
      </c>
      <c r="S67" s="3" t="str">
        <f>IF(T&lt;=S$11,"",IF($A67&gt;S$12,"",IF(T=T$11,EXP(-IRTree!S68*h)*S134,EXP(-IRTree!S68*h)*((T67+T68)/2+S134))))</f>
        <v/>
      </c>
      <c r="T67" s="3" t="str">
        <f>IF(T&lt;=T$11,"",IF($A67&gt;T$12,"",IF(T=U$11,EXP(-IRTree!T68*h)*T134,EXP(-IRTree!T68*h)*((U67+U68)/2+T134))))</f>
        <v/>
      </c>
      <c r="U67" s="3" t="str">
        <f>IF(T&lt;=U$11,"",IF($A67&gt;U$12,"",IF(T=V$11,EXP(-IRTree!U68*h)*U134,EXP(-IRTree!U68*h)*((V67+V68)/2+U134))))</f>
        <v/>
      </c>
      <c r="V67" s="3" t="str">
        <f>IF(T&lt;=V$11,"",IF($A67&gt;V$12,"",IF(T=W$11,EXP(-IRTree!V68*h)*V134,EXP(-IRTree!V68*h)*((W67+W68)/2+V134))))</f>
        <v/>
      </c>
      <c r="W67" s="3" t="str">
        <f>IF(T&lt;=W$11,"",IF($A67&gt;W$12,"",IF(T=X$11,EXP(-IRTree!W68*h)*W134,EXP(-IRTree!W68*h)*((X67+X68)/2+W134))))</f>
        <v/>
      </c>
      <c r="X67" s="3" t="str">
        <f>IF(T&lt;=X$11,"",IF($A67&gt;X$12,"",IF(T=Y$11,EXP(-IRTree!X68*h)*X134,EXP(-IRTree!X68*h)*((Y67+Y68)/2+X134))))</f>
        <v/>
      </c>
      <c r="Y67" s="3" t="str">
        <f>IF(T&lt;=Y$11,"",IF($A67&gt;Y$12,"",IF(T=Z$11,EXP(-IRTree!Y68*h)*Y134,EXP(-IRTree!Y68*h)*((Z67+Z68)/2+Y134))))</f>
        <v/>
      </c>
      <c r="Z67" s="3" t="str">
        <f>IF(T&lt;=Z$11,"",IF($A67&gt;Z$12,"",IF(T=AA$11,EXP(-IRTree!Z68*h)*Z134,EXP(-IRTree!Z68*h)*((AA67+AA68)/2+Z134))))</f>
        <v/>
      </c>
      <c r="AA67" s="3" t="str">
        <f>IF(T&lt;=AA$11,"",IF($A67&gt;AA$12,"",IF(T=AB$11,EXP(-IRTree!AA68*h)*AA134,EXP(-IRTree!AA68*h)*((AB67+AB68)/2+AA134))))</f>
        <v/>
      </c>
      <c r="AB67" s="3" t="str">
        <f>IF(T&lt;=AB$11,"",IF($A67&gt;AB$12,"",IF(T=AC$11,EXP(-IRTree!AB68*h)*AB134,EXP(-IRTree!AB68*h)*((AC67+AC68)/2+AB134))))</f>
        <v/>
      </c>
      <c r="AC67" s="3" t="str">
        <f>IF(T&lt;=AC$11,"",IF($A67&gt;AC$12,"",IF(T=AD$11,EXP(-IRTree!AC68*h)*AC134,EXP(-IRTree!AC68*h)*((AD67+AD68)/2+AC134))))</f>
        <v/>
      </c>
      <c r="AD67" s="3" t="str">
        <f>IF(T&lt;=AD$11,"",IF($A67&gt;AD$12,"",IF(T=AE$11,EXP(-IRTree!AD68*h)*AD134,EXP(-IRTree!AD68*h)*((AE67+AE68)/2+AD134))))</f>
        <v/>
      </c>
      <c r="AE67" s="3" t="str">
        <f>IF(T&lt;=AE$11,"",IF($A67&gt;AE$12,"",IF(T=AF$11,EXP(-IRTree!AE68*h)*AE134,EXP(-IRTree!AE68*h)*((AF67+AF68)/2+AE134))))</f>
        <v/>
      </c>
      <c r="AF67" s="3" t="str">
        <f>IF(T&lt;=AF$11,"",IF($A67&gt;AF$12,"",IF(T=AG$11,EXP(-IRTree!AF68*h)*AF134,EXP(-IRTree!AF68*h)*((AG67+AG68)/2+AF134))))</f>
        <v/>
      </c>
      <c r="AG67" s="3" t="str">
        <f>IF(T&lt;=AG$11,"",IF($A67&gt;AG$12,"",IF(T=AH$11,EXP(-IRTree!AG68*h)*AG134,EXP(-IRTree!AG68*h)*((AH67+AH68)/2+AG134))))</f>
        <v/>
      </c>
      <c r="AH67" s="3" t="str">
        <f>IF(T&lt;=AH$11,"",IF($A67&gt;AH$12,"",IF(T=AI$11,EXP(-IRTree!AH68*h)*AH134,EXP(-IRTree!AH68*h)*((AI67+AI68)/2+AH134))))</f>
        <v/>
      </c>
      <c r="AI67" s="3" t="str">
        <f>IF(T&lt;=AI$11,"",IF($A67&gt;AI$12,"",IF(T=AJ$11,EXP(-IRTree!AI68*h)*AI134,EXP(-IRTree!AI68*h)*((AJ67+AJ68)/2+AI134))))</f>
        <v/>
      </c>
      <c r="AJ67" s="3" t="str">
        <f>IF(T&lt;=AJ$11,"",IF($A67&gt;AJ$12,"",IF(T=AK$11,EXP(-IRTree!AJ68*h)*AJ134,EXP(-IRTree!AJ68*h)*((AK67+AK68)/2+AJ134))))</f>
        <v/>
      </c>
      <c r="AK67" s="3" t="str">
        <f>IF(T&lt;=AK$11,"",IF($A67&gt;AK$12,"",IF(T=AL$11,EXP(-IRTree!AK68*h)*AK134,EXP(-IRTree!AK68*h)*((AL67+AL68)/2+AK134))))</f>
        <v/>
      </c>
      <c r="AL67" s="3" t="str">
        <f>IF(T&lt;=AL$11,"",IF($A67&gt;AL$12,"",IF(T=AM$11,EXP(-IRTree!AL68*h)*AL134,EXP(-IRTree!AL68*h)*((AM67+AM68)/2+AL134))))</f>
        <v/>
      </c>
      <c r="AM67" s="3" t="str">
        <f>IF(T&lt;=AM$11,"",IF($A67&gt;AM$12,"",IF(T=AN$11,EXP(-IRTree!AM68*h)*AM134,EXP(-IRTree!AM68*h)*((AN67+AN68)/2+AM134))))</f>
        <v/>
      </c>
      <c r="AN67" s="3" t="str">
        <f>IF(T&lt;=AN$11,"",IF($A67&gt;AN$12,"",IF(T=AO$11,EXP(-IRTree!AN68*h)*AN134,EXP(-IRTree!AN68*h)*((AO67+AO68)/2+AN134))))</f>
        <v/>
      </c>
      <c r="AO67" s="3" t="str">
        <f>IF(T&lt;=AO$11,"",IF($A67&gt;AO$12,"",IF(T=AP$11,EXP(-IRTree!AO68*h)*AO134,EXP(-IRTree!AO68*h)*((AP67+AP68)/2+AO134))))</f>
        <v/>
      </c>
      <c r="AP67" s="3" t="str">
        <f>IF(T&lt;=AP$11,"",IF($A67&gt;AP$12,"",IF(T=AQ$11,EXP(-IRTree!AP68*h)*AP134,EXP(-IRTree!AP68*h)*((AQ67+AQ68)/2+AP134))))</f>
        <v/>
      </c>
      <c r="AQ67" s="3" t="str">
        <f>IF(T&lt;=AQ$11,"",IF($A67&gt;AQ$12,"",IF(T=AR$11,EXP(-IRTree!AQ68*h)*AQ134,EXP(-IRTree!AQ68*h)*((AR67+AR68)/2+AQ134))))</f>
        <v/>
      </c>
      <c r="AR67" s="3" t="str">
        <f>IF(T&lt;=AR$11,"",IF($A67&gt;AR$12,"",IF(T=AS$11,EXP(-IRTree!AR68*h)*AR134,EXP(-IRTree!AR68*h)*((AS67+AS68)/2+AR134))))</f>
        <v/>
      </c>
      <c r="AS67" s="3" t="str">
        <f>IF(T&lt;=AS$11,"",IF($A67&gt;AS$12,"",IF(T=AT$11,EXP(-IRTree!AS68*h)*AS134,EXP(-IRTree!AS68*h)*((AT67+AT68)/2+AS134))))</f>
        <v/>
      </c>
      <c r="AT67" s="3" t="str">
        <f>IF(T&lt;=AT$11,"",IF($A67&gt;AT$12,"",IF(T=AU$11,EXP(-IRTree!AT68*h)*AT134,EXP(-IRTree!AT68*h)*((AU67+AU68)/2+AT134))))</f>
        <v/>
      </c>
      <c r="AU67" s="3" t="str">
        <f>IF(T&lt;=AU$11,"",IF($A67&gt;AU$12,"",IF(T=AV$11,EXP(-IRTree!AU68*h)*AU134,EXP(-IRTree!AU68*h)*((AV67+AV68)/2+AU134))))</f>
        <v/>
      </c>
      <c r="AV67" s="3" t="str">
        <f>IF(T&lt;=AV$11,"",IF($A67&gt;AV$12,"",IF(T=AW$11,EXP(-IRTree!AV68*h)*AV134,EXP(-IRTree!AV68*h)*((AW67+AW68)/2+AV134))))</f>
        <v/>
      </c>
      <c r="AW67" s="3" t="str">
        <f>IF(T&lt;=AW$11,"",IF($A67&gt;AW$12,"",IF(T=AX$11,EXP(-IRTree!AW68*h)*AW134,EXP(-IRTree!AW68*h)*((AX67+AX68)/2+AW134))))</f>
        <v/>
      </c>
      <c r="AX67" s="3" t="str">
        <f>IF(T&lt;=AX$11,"",IF($A67&gt;AX$12,"",IF(T=AY$11,EXP(-IRTree!AX68*h)*AX134,EXP(-IRTree!AX68*h)*((AY67+AY68)/2+AX134))))</f>
        <v/>
      </c>
      <c r="AY67" s="3" t="str">
        <f>IF(T&lt;=AY$11,"",IF($A67&gt;AY$12,"",IF(T=AZ$11,EXP(-IRTree!AY68*h)*AY134,EXP(-IRTree!AY68*h)*((AZ67+AZ68)/2+AY134))))</f>
        <v/>
      </c>
      <c r="AZ67" s="3" t="str">
        <f>IF(T&lt;=AZ$11,"",IF($A67&gt;AZ$12,"",IF(T=BA$11,EXP(-IRTree!AZ68*h)*AZ134,EXP(-IRTree!AZ68*h)*((BA67+BA68)/2+AZ134))))</f>
        <v/>
      </c>
      <c r="BA67" s="3" t="str">
        <f>IF(T&lt;=BA$11,"",IF($A67&gt;BA$12,"",IF(T=BB$11,EXP(-IRTree!BA68*h)*BA134,EXP(-IRTree!BA68*h)*((BB67+BB68)/2+BA134))))</f>
        <v/>
      </c>
      <c r="BB67" s="3" t="str">
        <f>IF(T&lt;=BB$11,"",IF($A67&gt;BB$12,"",IF(T=BC$11,EXP(-IRTree!BB68*h)*BB134,EXP(-IRTree!BB68*h)*((BC67+BC68)/2+BB134))))</f>
        <v/>
      </c>
      <c r="BC67" s="3" t="str">
        <f>IF(T&lt;=BC$11,"",IF($A67&gt;BC$12,"",IF(T=BD$11,EXP(-IRTree!BC68*h)*BC134,EXP(-IRTree!BC68*h)*((BD67+BD68)/2+BC134))))</f>
        <v/>
      </c>
      <c r="BD67" s="3" t="str">
        <f>IF(T&lt;=BD$11,"",IF($A67&gt;BD$12,"",IF(T=BE$11,EXP(-IRTree!BD68*h)*BD134,EXP(-IRTree!BD68*h)*((BE67+BE68)/2+BD134))))</f>
        <v/>
      </c>
      <c r="BE67" s="3" t="str">
        <f>IF(T&lt;=BE$11,"",IF($A67&gt;BE$12,"",IF(T=BF$11,EXP(-IRTree!BE68*h)*BE134,EXP(-IRTree!BE68*h)*((BF67+BF68)/2+BE134))))</f>
        <v/>
      </c>
      <c r="BF67" s="3" t="str">
        <f>IF(T&lt;=BF$11,"",IF($A67&gt;BF$12,"",IF(T=BG$11,EXP(-IRTree!BF68*h)*BF134,EXP(-IRTree!BF68*h)*((BG67+BG68)/2+BF134))))</f>
        <v/>
      </c>
      <c r="BG67" s="3" t="str">
        <f>IF(T&lt;=BG$11,"",IF($A67&gt;BG$12,"",IF(T=BH$11,EXP(-IRTree!BG68*h)*BG134,EXP(-IRTree!BG68*h)*((BH67+BH68)/2+BG134))))</f>
        <v/>
      </c>
      <c r="BH67" s="3" t="str">
        <f>IF(T&lt;=BH$11,"",IF($A67&gt;BH$12,"",IF(T=BI$11,EXP(-IRTree!BH68*h)*BH134,EXP(-IRTree!BH68*h)*((BI67+BI68)/2+BH134))))</f>
        <v/>
      </c>
      <c r="BI67" s="3" t="str">
        <f>IF(T&lt;=BI$11,"",IF($A67&gt;BI$12,"",IF(T=BJ$11,EXP(-IRTree!BI68*h)*BI134,EXP(-IRTree!BI68*h)*((BJ67+BJ68)/2+BI134))))</f>
        <v/>
      </c>
      <c r="BJ67" s="3" t="str">
        <f>IF(T&lt;=BJ$11,"",IF($A67&gt;BJ$12,"",IF(T=BK$11,EXP(-IRTree!BJ68*h)*BJ134,EXP(-IRTree!BJ68*h)*((BK67+BK68)/2+BJ134))))</f>
        <v/>
      </c>
    </row>
    <row r="68" spans="1:62">
      <c r="A68" s="12">
        <f t="shared" si="2"/>
        <v>55</v>
      </c>
      <c r="B68" s="3" t="str">
        <f>IF(T&lt;=B$11,"",IF($A68&gt;B$12,"",IF(T=C$11,EXP(-IRTree!B69*h)*B135,EXP(-IRTree!B69*h)*((C68+C69)/2+B135))))</f>
        <v/>
      </c>
      <c r="C68" s="3" t="str">
        <f>IF(T&lt;=C$11,"",IF($A68&gt;C$12,"",IF(T=D$11,EXP(-IRTree!C69*h)*C135,EXP(-IRTree!C69*h)*((D68+D69)/2+C135))))</f>
        <v/>
      </c>
      <c r="D68" s="3" t="str">
        <f>IF(T&lt;=D$11,"",IF($A68&gt;D$12,"",IF(T=E$11,EXP(-IRTree!D69*h)*D135,EXP(-IRTree!D69*h)*((E68+E69)/2+D135))))</f>
        <v/>
      </c>
      <c r="E68" s="3" t="str">
        <f>IF(T&lt;=E$11,"",IF($A68&gt;E$12,"",IF(T=F$11,EXP(-IRTree!E69*h)*E135,EXP(-IRTree!E69*h)*((F68+F69)/2+E135))))</f>
        <v/>
      </c>
      <c r="F68" s="3" t="str">
        <f>IF(T&lt;=F$11,"",IF($A68&gt;F$12,"",IF(T=G$11,EXP(-IRTree!F69*h)*F135,EXP(-IRTree!F69*h)*((G68+G69)/2+F135))))</f>
        <v/>
      </c>
      <c r="G68" s="3" t="str">
        <f>IF(T&lt;=G$11,"",IF($A68&gt;G$12,"",IF(T=H$11,EXP(-IRTree!G69*h)*G135,EXP(-IRTree!G69*h)*((H68+H69)/2+G135))))</f>
        <v/>
      </c>
      <c r="H68" s="3" t="str">
        <f>IF(T&lt;=H$11,"",IF($A68&gt;H$12,"",IF(T=I$11,EXP(-IRTree!H69*h)*H135,EXP(-IRTree!H69*h)*((I68+I69)/2+H135))))</f>
        <v/>
      </c>
      <c r="I68" s="3" t="str">
        <f>IF(T&lt;=I$11,"",IF($A68&gt;I$12,"",IF(T=J$11,EXP(-IRTree!I69*h)*I135,EXP(-IRTree!I69*h)*((J68+J69)/2+I135))))</f>
        <v/>
      </c>
      <c r="J68" s="3" t="str">
        <f>IF(T&lt;=J$11,"",IF($A68&gt;J$12,"",IF(T=K$11,EXP(-IRTree!J69*h)*J135,EXP(-IRTree!J69*h)*((K68+K69)/2+J135))))</f>
        <v/>
      </c>
      <c r="K68" s="3" t="str">
        <f>IF(T&lt;=K$11,"",IF($A68&gt;K$12,"",IF(T=L$11,EXP(-IRTree!K69*h)*K135,EXP(-IRTree!K69*h)*((L68+L69)/2+K135))))</f>
        <v/>
      </c>
      <c r="L68" s="3" t="str">
        <f>IF(T&lt;=L$11,"",IF($A68&gt;L$12,"",IF(T=M$11,EXP(-IRTree!L69*h)*L135,EXP(-IRTree!L69*h)*((M68+M69)/2+L135))))</f>
        <v/>
      </c>
      <c r="M68" s="3" t="str">
        <f>IF(T&lt;=M$11,"",IF($A68&gt;M$12,"",IF(T=N$11,EXP(-IRTree!M69*h)*M135,EXP(-IRTree!M69*h)*((N68+N69)/2+M135))))</f>
        <v/>
      </c>
      <c r="N68" s="3" t="str">
        <f>IF(T&lt;=N$11,"",IF($A68&gt;N$12,"",IF(T=O$11,EXP(-IRTree!N69*h)*N135,EXP(-IRTree!N69*h)*((O68+O69)/2+N135))))</f>
        <v/>
      </c>
      <c r="O68" s="3" t="str">
        <f>IF(T&lt;=O$11,"",IF($A68&gt;O$12,"",IF(T=P$11,EXP(-IRTree!O69*h)*O135,EXP(-IRTree!O69*h)*((P68+P69)/2+O135))))</f>
        <v/>
      </c>
      <c r="P68" s="3" t="str">
        <f>IF(T&lt;=P$11,"",IF($A68&gt;P$12,"",IF(T=Q$11,EXP(-IRTree!P69*h)*P135,EXP(-IRTree!P69*h)*((Q68+Q69)/2+P135))))</f>
        <v/>
      </c>
      <c r="Q68" s="3" t="str">
        <f>IF(T&lt;=Q$11,"",IF($A68&gt;Q$12,"",IF(T=R$11,EXP(-IRTree!Q69*h)*Q135,EXP(-IRTree!Q69*h)*((R68+R69)/2+Q135))))</f>
        <v/>
      </c>
      <c r="R68" s="3" t="str">
        <f>IF(T&lt;=R$11,"",IF($A68&gt;R$12,"",IF(T=S$11,EXP(-IRTree!R69*h)*R135,EXP(-IRTree!R69*h)*((S68+S69)/2+R135))))</f>
        <v/>
      </c>
      <c r="S68" s="3" t="str">
        <f>IF(T&lt;=S$11,"",IF($A68&gt;S$12,"",IF(T=T$11,EXP(-IRTree!S69*h)*S135,EXP(-IRTree!S69*h)*((T68+T69)/2+S135))))</f>
        <v/>
      </c>
      <c r="T68" s="3" t="str">
        <f>IF(T&lt;=T$11,"",IF($A68&gt;T$12,"",IF(T=U$11,EXP(-IRTree!T69*h)*T135,EXP(-IRTree!T69*h)*((U68+U69)/2+T135))))</f>
        <v/>
      </c>
      <c r="U68" s="3" t="str">
        <f>IF(T&lt;=U$11,"",IF($A68&gt;U$12,"",IF(T=V$11,EXP(-IRTree!U69*h)*U135,EXP(-IRTree!U69*h)*((V68+V69)/2+U135))))</f>
        <v/>
      </c>
      <c r="V68" s="3" t="str">
        <f>IF(T&lt;=V$11,"",IF($A68&gt;V$12,"",IF(T=W$11,EXP(-IRTree!V69*h)*V135,EXP(-IRTree!V69*h)*((W68+W69)/2+V135))))</f>
        <v/>
      </c>
      <c r="W68" s="3" t="str">
        <f>IF(T&lt;=W$11,"",IF($A68&gt;W$12,"",IF(T=X$11,EXP(-IRTree!W69*h)*W135,EXP(-IRTree!W69*h)*((X68+X69)/2+W135))))</f>
        <v/>
      </c>
      <c r="X68" s="3" t="str">
        <f>IF(T&lt;=X$11,"",IF($A68&gt;X$12,"",IF(T=Y$11,EXP(-IRTree!X69*h)*X135,EXP(-IRTree!X69*h)*((Y68+Y69)/2+X135))))</f>
        <v/>
      </c>
      <c r="Y68" s="3" t="str">
        <f>IF(T&lt;=Y$11,"",IF($A68&gt;Y$12,"",IF(T=Z$11,EXP(-IRTree!Y69*h)*Y135,EXP(-IRTree!Y69*h)*((Z68+Z69)/2+Y135))))</f>
        <v/>
      </c>
      <c r="Z68" s="3" t="str">
        <f>IF(T&lt;=Z$11,"",IF($A68&gt;Z$12,"",IF(T=AA$11,EXP(-IRTree!Z69*h)*Z135,EXP(-IRTree!Z69*h)*((AA68+AA69)/2+Z135))))</f>
        <v/>
      </c>
      <c r="AA68" s="3" t="str">
        <f>IF(T&lt;=AA$11,"",IF($A68&gt;AA$12,"",IF(T=AB$11,EXP(-IRTree!AA69*h)*AA135,EXP(-IRTree!AA69*h)*((AB68+AB69)/2+AA135))))</f>
        <v/>
      </c>
      <c r="AB68" s="3" t="str">
        <f>IF(T&lt;=AB$11,"",IF($A68&gt;AB$12,"",IF(T=AC$11,EXP(-IRTree!AB69*h)*AB135,EXP(-IRTree!AB69*h)*((AC68+AC69)/2+AB135))))</f>
        <v/>
      </c>
      <c r="AC68" s="3" t="str">
        <f>IF(T&lt;=AC$11,"",IF($A68&gt;AC$12,"",IF(T=AD$11,EXP(-IRTree!AC69*h)*AC135,EXP(-IRTree!AC69*h)*((AD68+AD69)/2+AC135))))</f>
        <v/>
      </c>
      <c r="AD68" s="3" t="str">
        <f>IF(T&lt;=AD$11,"",IF($A68&gt;AD$12,"",IF(T=AE$11,EXP(-IRTree!AD69*h)*AD135,EXP(-IRTree!AD69*h)*((AE68+AE69)/2+AD135))))</f>
        <v/>
      </c>
      <c r="AE68" s="3" t="str">
        <f>IF(T&lt;=AE$11,"",IF($A68&gt;AE$12,"",IF(T=AF$11,EXP(-IRTree!AE69*h)*AE135,EXP(-IRTree!AE69*h)*((AF68+AF69)/2+AE135))))</f>
        <v/>
      </c>
      <c r="AF68" s="3" t="str">
        <f>IF(T&lt;=AF$11,"",IF($A68&gt;AF$12,"",IF(T=AG$11,EXP(-IRTree!AF69*h)*AF135,EXP(-IRTree!AF69*h)*((AG68+AG69)/2+AF135))))</f>
        <v/>
      </c>
      <c r="AG68" s="3" t="str">
        <f>IF(T&lt;=AG$11,"",IF($A68&gt;AG$12,"",IF(T=AH$11,EXP(-IRTree!AG69*h)*AG135,EXP(-IRTree!AG69*h)*((AH68+AH69)/2+AG135))))</f>
        <v/>
      </c>
      <c r="AH68" s="3" t="str">
        <f>IF(T&lt;=AH$11,"",IF($A68&gt;AH$12,"",IF(T=AI$11,EXP(-IRTree!AH69*h)*AH135,EXP(-IRTree!AH69*h)*((AI68+AI69)/2+AH135))))</f>
        <v/>
      </c>
      <c r="AI68" s="3" t="str">
        <f>IF(T&lt;=AI$11,"",IF($A68&gt;AI$12,"",IF(T=AJ$11,EXP(-IRTree!AI69*h)*AI135,EXP(-IRTree!AI69*h)*((AJ68+AJ69)/2+AI135))))</f>
        <v/>
      </c>
      <c r="AJ68" s="3" t="str">
        <f>IF(T&lt;=AJ$11,"",IF($A68&gt;AJ$12,"",IF(T=AK$11,EXP(-IRTree!AJ69*h)*AJ135,EXP(-IRTree!AJ69*h)*((AK68+AK69)/2+AJ135))))</f>
        <v/>
      </c>
      <c r="AK68" s="3" t="str">
        <f>IF(T&lt;=AK$11,"",IF($A68&gt;AK$12,"",IF(T=AL$11,EXP(-IRTree!AK69*h)*AK135,EXP(-IRTree!AK69*h)*((AL68+AL69)/2+AK135))))</f>
        <v/>
      </c>
      <c r="AL68" s="3" t="str">
        <f>IF(T&lt;=AL$11,"",IF($A68&gt;AL$12,"",IF(T=AM$11,EXP(-IRTree!AL69*h)*AL135,EXP(-IRTree!AL69*h)*((AM68+AM69)/2+AL135))))</f>
        <v/>
      </c>
      <c r="AM68" s="3" t="str">
        <f>IF(T&lt;=AM$11,"",IF($A68&gt;AM$12,"",IF(T=AN$11,EXP(-IRTree!AM69*h)*AM135,EXP(-IRTree!AM69*h)*((AN68+AN69)/2+AM135))))</f>
        <v/>
      </c>
      <c r="AN68" s="3" t="str">
        <f>IF(T&lt;=AN$11,"",IF($A68&gt;AN$12,"",IF(T=AO$11,EXP(-IRTree!AN69*h)*AN135,EXP(-IRTree!AN69*h)*((AO68+AO69)/2+AN135))))</f>
        <v/>
      </c>
      <c r="AO68" s="3" t="str">
        <f>IF(T&lt;=AO$11,"",IF($A68&gt;AO$12,"",IF(T=AP$11,EXP(-IRTree!AO69*h)*AO135,EXP(-IRTree!AO69*h)*((AP68+AP69)/2+AO135))))</f>
        <v/>
      </c>
      <c r="AP68" s="3" t="str">
        <f>IF(T&lt;=AP$11,"",IF($A68&gt;AP$12,"",IF(T=AQ$11,EXP(-IRTree!AP69*h)*AP135,EXP(-IRTree!AP69*h)*((AQ68+AQ69)/2+AP135))))</f>
        <v/>
      </c>
      <c r="AQ68" s="3" t="str">
        <f>IF(T&lt;=AQ$11,"",IF($A68&gt;AQ$12,"",IF(T=AR$11,EXP(-IRTree!AQ69*h)*AQ135,EXP(-IRTree!AQ69*h)*((AR68+AR69)/2+AQ135))))</f>
        <v/>
      </c>
      <c r="AR68" s="3" t="str">
        <f>IF(T&lt;=AR$11,"",IF($A68&gt;AR$12,"",IF(T=AS$11,EXP(-IRTree!AR69*h)*AR135,EXP(-IRTree!AR69*h)*((AS68+AS69)/2+AR135))))</f>
        <v/>
      </c>
      <c r="AS68" s="3" t="str">
        <f>IF(T&lt;=AS$11,"",IF($A68&gt;AS$12,"",IF(T=AT$11,EXP(-IRTree!AS69*h)*AS135,EXP(-IRTree!AS69*h)*((AT68+AT69)/2+AS135))))</f>
        <v/>
      </c>
      <c r="AT68" s="3" t="str">
        <f>IF(T&lt;=AT$11,"",IF($A68&gt;AT$12,"",IF(T=AU$11,EXP(-IRTree!AT69*h)*AT135,EXP(-IRTree!AT69*h)*((AU68+AU69)/2+AT135))))</f>
        <v/>
      </c>
      <c r="AU68" s="3" t="str">
        <f>IF(T&lt;=AU$11,"",IF($A68&gt;AU$12,"",IF(T=AV$11,EXP(-IRTree!AU69*h)*AU135,EXP(-IRTree!AU69*h)*((AV68+AV69)/2+AU135))))</f>
        <v/>
      </c>
      <c r="AV68" s="3" t="str">
        <f>IF(T&lt;=AV$11,"",IF($A68&gt;AV$12,"",IF(T=AW$11,EXP(-IRTree!AV69*h)*AV135,EXP(-IRTree!AV69*h)*((AW68+AW69)/2+AV135))))</f>
        <v/>
      </c>
      <c r="AW68" s="3" t="str">
        <f>IF(T&lt;=AW$11,"",IF($A68&gt;AW$12,"",IF(T=AX$11,EXP(-IRTree!AW69*h)*AW135,EXP(-IRTree!AW69*h)*((AX68+AX69)/2+AW135))))</f>
        <v/>
      </c>
      <c r="AX68" s="3" t="str">
        <f>IF(T&lt;=AX$11,"",IF($A68&gt;AX$12,"",IF(T=AY$11,EXP(-IRTree!AX69*h)*AX135,EXP(-IRTree!AX69*h)*((AY68+AY69)/2+AX135))))</f>
        <v/>
      </c>
      <c r="AY68" s="3" t="str">
        <f>IF(T&lt;=AY$11,"",IF($A68&gt;AY$12,"",IF(T=AZ$11,EXP(-IRTree!AY69*h)*AY135,EXP(-IRTree!AY69*h)*((AZ68+AZ69)/2+AY135))))</f>
        <v/>
      </c>
      <c r="AZ68" s="3" t="str">
        <f>IF(T&lt;=AZ$11,"",IF($A68&gt;AZ$12,"",IF(T=BA$11,EXP(-IRTree!AZ69*h)*AZ135,EXP(-IRTree!AZ69*h)*((BA68+BA69)/2+AZ135))))</f>
        <v/>
      </c>
      <c r="BA68" s="3" t="str">
        <f>IF(T&lt;=BA$11,"",IF($A68&gt;BA$12,"",IF(T=BB$11,EXP(-IRTree!BA69*h)*BA135,EXP(-IRTree!BA69*h)*((BB68+BB69)/2+BA135))))</f>
        <v/>
      </c>
      <c r="BB68" s="3" t="str">
        <f>IF(T&lt;=BB$11,"",IF($A68&gt;BB$12,"",IF(T=BC$11,EXP(-IRTree!BB69*h)*BB135,EXP(-IRTree!BB69*h)*((BC68+BC69)/2+BB135))))</f>
        <v/>
      </c>
      <c r="BC68" s="3" t="str">
        <f>IF(T&lt;=BC$11,"",IF($A68&gt;BC$12,"",IF(T=BD$11,EXP(-IRTree!BC69*h)*BC135,EXP(-IRTree!BC69*h)*((BD68+BD69)/2+BC135))))</f>
        <v/>
      </c>
      <c r="BD68" s="3" t="str">
        <f>IF(T&lt;=BD$11,"",IF($A68&gt;BD$12,"",IF(T=BE$11,EXP(-IRTree!BD69*h)*BD135,EXP(-IRTree!BD69*h)*((BE68+BE69)/2+BD135))))</f>
        <v/>
      </c>
      <c r="BE68" s="3" t="str">
        <f>IF(T&lt;=BE$11,"",IF($A68&gt;BE$12,"",IF(T=BF$11,EXP(-IRTree!BE69*h)*BE135,EXP(-IRTree!BE69*h)*((BF68+BF69)/2+BE135))))</f>
        <v/>
      </c>
      <c r="BF68" s="3" t="str">
        <f>IF(T&lt;=BF$11,"",IF($A68&gt;BF$12,"",IF(T=BG$11,EXP(-IRTree!BF69*h)*BF135,EXP(-IRTree!BF69*h)*((BG68+BG69)/2+BF135))))</f>
        <v/>
      </c>
      <c r="BG68" s="3" t="str">
        <f>IF(T&lt;=BG$11,"",IF($A68&gt;BG$12,"",IF(T=BH$11,EXP(-IRTree!BG69*h)*BG135,EXP(-IRTree!BG69*h)*((BH68+BH69)/2+BG135))))</f>
        <v/>
      </c>
      <c r="BH68" s="3" t="str">
        <f>IF(T&lt;=BH$11,"",IF($A68&gt;BH$12,"",IF(T=BI$11,EXP(-IRTree!BH69*h)*BH135,EXP(-IRTree!BH69*h)*((BI68+BI69)/2+BH135))))</f>
        <v/>
      </c>
      <c r="BI68" s="3" t="str">
        <f>IF(T&lt;=BI$11,"",IF($A68&gt;BI$12,"",IF(T=BJ$11,EXP(-IRTree!BI69*h)*BI135,EXP(-IRTree!BI69*h)*((BJ68+BJ69)/2+BI135))))</f>
        <v/>
      </c>
      <c r="BJ68" s="3" t="str">
        <f>IF(T&lt;=BJ$11,"",IF($A68&gt;BJ$12,"",IF(T=BK$11,EXP(-IRTree!BJ69*h)*BJ135,EXP(-IRTree!BJ69*h)*((BK68+BK69)/2+BJ135))))</f>
        <v/>
      </c>
    </row>
    <row r="69" spans="1:62">
      <c r="A69" s="12">
        <f t="shared" si="2"/>
        <v>56</v>
      </c>
      <c r="B69" s="3" t="str">
        <f>IF(T&lt;=B$11,"",IF($A69&gt;B$12,"",IF(T=C$11,EXP(-IRTree!B70*h)*B136,EXP(-IRTree!B70*h)*((C69+C70)/2+B136))))</f>
        <v/>
      </c>
      <c r="C69" s="3" t="str">
        <f>IF(T&lt;=C$11,"",IF($A69&gt;C$12,"",IF(T=D$11,EXP(-IRTree!C70*h)*C136,EXP(-IRTree!C70*h)*((D69+D70)/2+C136))))</f>
        <v/>
      </c>
      <c r="D69" s="3" t="str">
        <f>IF(T&lt;=D$11,"",IF($A69&gt;D$12,"",IF(T=E$11,EXP(-IRTree!D70*h)*D136,EXP(-IRTree!D70*h)*((E69+E70)/2+D136))))</f>
        <v/>
      </c>
      <c r="E69" s="3" t="str">
        <f>IF(T&lt;=E$11,"",IF($A69&gt;E$12,"",IF(T=F$11,EXP(-IRTree!E70*h)*E136,EXP(-IRTree!E70*h)*((F69+F70)/2+E136))))</f>
        <v/>
      </c>
      <c r="F69" s="3" t="str">
        <f>IF(T&lt;=F$11,"",IF($A69&gt;F$12,"",IF(T=G$11,EXP(-IRTree!F70*h)*F136,EXP(-IRTree!F70*h)*((G69+G70)/2+F136))))</f>
        <v/>
      </c>
      <c r="G69" s="3" t="str">
        <f>IF(T&lt;=G$11,"",IF($A69&gt;G$12,"",IF(T=H$11,EXP(-IRTree!G70*h)*G136,EXP(-IRTree!G70*h)*((H69+H70)/2+G136))))</f>
        <v/>
      </c>
      <c r="H69" s="3" t="str">
        <f>IF(T&lt;=H$11,"",IF($A69&gt;H$12,"",IF(T=I$11,EXP(-IRTree!H70*h)*H136,EXP(-IRTree!H70*h)*((I69+I70)/2+H136))))</f>
        <v/>
      </c>
      <c r="I69" s="3" t="str">
        <f>IF(T&lt;=I$11,"",IF($A69&gt;I$12,"",IF(T=J$11,EXP(-IRTree!I70*h)*I136,EXP(-IRTree!I70*h)*((J69+J70)/2+I136))))</f>
        <v/>
      </c>
      <c r="J69" s="3" t="str">
        <f>IF(T&lt;=J$11,"",IF($A69&gt;J$12,"",IF(T=K$11,EXP(-IRTree!J70*h)*J136,EXP(-IRTree!J70*h)*((K69+K70)/2+J136))))</f>
        <v/>
      </c>
      <c r="K69" s="3" t="str">
        <f>IF(T&lt;=K$11,"",IF($A69&gt;K$12,"",IF(T=L$11,EXP(-IRTree!K70*h)*K136,EXP(-IRTree!K70*h)*((L69+L70)/2+K136))))</f>
        <v/>
      </c>
      <c r="L69" s="3" t="str">
        <f>IF(T&lt;=L$11,"",IF($A69&gt;L$12,"",IF(T=M$11,EXP(-IRTree!L70*h)*L136,EXP(-IRTree!L70*h)*((M69+M70)/2+L136))))</f>
        <v/>
      </c>
      <c r="M69" s="3" t="str">
        <f>IF(T&lt;=M$11,"",IF($A69&gt;M$12,"",IF(T=N$11,EXP(-IRTree!M70*h)*M136,EXP(-IRTree!M70*h)*((N69+N70)/2+M136))))</f>
        <v/>
      </c>
      <c r="N69" s="3" t="str">
        <f>IF(T&lt;=N$11,"",IF($A69&gt;N$12,"",IF(T=O$11,EXP(-IRTree!N70*h)*N136,EXP(-IRTree!N70*h)*((O69+O70)/2+N136))))</f>
        <v/>
      </c>
      <c r="O69" s="3" t="str">
        <f>IF(T&lt;=O$11,"",IF($A69&gt;O$12,"",IF(T=P$11,EXP(-IRTree!O70*h)*O136,EXP(-IRTree!O70*h)*((P69+P70)/2+O136))))</f>
        <v/>
      </c>
      <c r="P69" s="3" t="str">
        <f>IF(T&lt;=P$11,"",IF($A69&gt;P$12,"",IF(T=Q$11,EXP(-IRTree!P70*h)*P136,EXP(-IRTree!P70*h)*((Q69+Q70)/2+P136))))</f>
        <v/>
      </c>
      <c r="Q69" s="3" t="str">
        <f>IF(T&lt;=Q$11,"",IF($A69&gt;Q$12,"",IF(T=R$11,EXP(-IRTree!Q70*h)*Q136,EXP(-IRTree!Q70*h)*((R69+R70)/2+Q136))))</f>
        <v/>
      </c>
      <c r="R69" s="3" t="str">
        <f>IF(T&lt;=R$11,"",IF($A69&gt;R$12,"",IF(T=S$11,EXP(-IRTree!R70*h)*R136,EXP(-IRTree!R70*h)*((S69+S70)/2+R136))))</f>
        <v/>
      </c>
      <c r="S69" s="3" t="str">
        <f>IF(T&lt;=S$11,"",IF($A69&gt;S$12,"",IF(T=T$11,EXP(-IRTree!S70*h)*S136,EXP(-IRTree!S70*h)*((T69+T70)/2+S136))))</f>
        <v/>
      </c>
      <c r="T69" s="3" t="str">
        <f>IF(T&lt;=T$11,"",IF($A69&gt;T$12,"",IF(T=U$11,EXP(-IRTree!T70*h)*T136,EXP(-IRTree!T70*h)*((U69+U70)/2+T136))))</f>
        <v/>
      </c>
      <c r="U69" s="3" t="str">
        <f>IF(T&lt;=U$11,"",IF($A69&gt;U$12,"",IF(T=V$11,EXP(-IRTree!U70*h)*U136,EXP(-IRTree!U70*h)*((V69+V70)/2+U136))))</f>
        <v/>
      </c>
      <c r="V69" s="3" t="str">
        <f>IF(T&lt;=V$11,"",IF($A69&gt;V$12,"",IF(T=W$11,EXP(-IRTree!V70*h)*V136,EXP(-IRTree!V70*h)*((W69+W70)/2+V136))))</f>
        <v/>
      </c>
      <c r="W69" s="3" t="str">
        <f>IF(T&lt;=W$11,"",IF($A69&gt;W$12,"",IF(T=X$11,EXP(-IRTree!W70*h)*W136,EXP(-IRTree!W70*h)*((X69+X70)/2+W136))))</f>
        <v/>
      </c>
      <c r="X69" s="3" t="str">
        <f>IF(T&lt;=X$11,"",IF($A69&gt;X$12,"",IF(T=Y$11,EXP(-IRTree!X70*h)*X136,EXP(-IRTree!X70*h)*((Y69+Y70)/2+X136))))</f>
        <v/>
      </c>
      <c r="Y69" s="3" t="str">
        <f>IF(T&lt;=Y$11,"",IF($A69&gt;Y$12,"",IF(T=Z$11,EXP(-IRTree!Y70*h)*Y136,EXP(-IRTree!Y70*h)*((Z69+Z70)/2+Y136))))</f>
        <v/>
      </c>
      <c r="Z69" s="3" t="str">
        <f>IF(T&lt;=Z$11,"",IF($A69&gt;Z$12,"",IF(T=AA$11,EXP(-IRTree!Z70*h)*Z136,EXP(-IRTree!Z70*h)*((AA69+AA70)/2+Z136))))</f>
        <v/>
      </c>
      <c r="AA69" s="3" t="str">
        <f>IF(T&lt;=AA$11,"",IF($A69&gt;AA$12,"",IF(T=AB$11,EXP(-IRTree!AA70*h)*AA136,EXP(-IRTree!AA70*h)*((AB69+AB70)/2+AA136))))</f>
        <v/>
      </c>
      <c r="AB69" s="3" t="str">
        <f>IF(T&lt;=AB$11,"",IF($A69&gt;AB$12,"",IF(T=AC$11,EXP(-IRTree!AB70*h)*AB136,EXP(-IRTree!AB70*h)*((AC69+AC70)/2+AB136))))</f>
        <v/>
      </c>
      <c r="AC69" s="3" t="str">
        <f>IF(T&lt;=AC$11,"",IF($A69&gt;AC$12,"",IF(T=AD$11,EXP(-IRTree!AC70*h)*AC136,EXP(-IRTree!AC70*h)*((AD69+AD70)/2+AC136))))</f>
        <v/>
      </c>
      <c r="AD69" s="3" t="str">
        <f>IF(T&lt;=AD$11,"",IF($A69&gt;AD$12,"",IF(T=AE$11,EXP(-IRTree!AD70*h)*AD136,EXP(-IRTree!AD70*h)*((AE69+AE70)/2+AD136))))</f>
        <v/>
      </c>
      <c r="AE69" s="3" t="str">
        <f>IF(T&lt;=AE$11,"",IF($A69&gt;AE$12,"",IF(T=AF$11,EXP(-IRTree!AE70*h)*AE136,EXP(-IRTree!AE70*h)*((AF69+AF70)/2+AE136))))</f>
        <v/>
      </c>
      <c r="AF69" s="3" t="str">
        <f>IF(T&lt;=AF$11,"",IF($A69&gt;AF$12,"",IF(T=AG$11,EXP(-IRTree!AF70*h)*AF136,EXP(-IRTree!AF70*h)*((AG69+AG70)/2+AF136))))</f>
        <v/>
      </c>
      <c r="AG69" s="3" t="str">
        <f>IF(T&lt;=AG$11,"",IF($A69&gt;AG$12,"",IF(T=AH$11,EXP(-IRTree!AG70*h)*AG136,EXP(-IRTree!AG70*h)*((AH69+AH70)/2+AG136))))</f>
        <v/>
      </c>
      <c r="AH69" s="3" t="str">
        <f>IF(T&lt;=AH$11,"",IF($A69&gt;AH$12,"",IF(T=AI$11,EXP(-IRTree!AH70*h)*AH136,EXP(-IRTree!AH70*h)*((AI69+AI70)/2+AH136))))</f>
        <v/>
      </c>
      <c r="AI69" s="3" t="str">
        <f>IF(T&lt;=AI$11,"",IF($A69&gt;AI$12,"",IF(T=AJ$11,EXP(-IRTree!AI70*h)*AI136,EXP(-IRTree!AI70*h)*((AJ69+AJ70)/2+AI136))))</f>
        <v/>
      </c>
      <c r="AJ69" s="3" t="str">
        <f>IF(T&lt;=AJ$11,"",IF($A69&gt;AJ$12,"",IF(T=AK$11,EXP(-IRTree!AJ70*h)*AJ136,EXP(-IRTree!AJ70*h)*((AK69+AK70)/2+AJ136))))</f>
        <v/>
      </c>
      <c r="AK69" s="3" t="str">
        <f>IF(T&lt;=AK$11,"",IF($A69&gt;AK$12,"",IF(T=AL$11,EXP(-IRTree!AK70*h)*AK136,EXP(-IRTree!AK70*h)*((AL69+AL70)/2+AK136))))</f>
        <v/>
      </c>
      <c r="AL69" s="3" t="str">
        <f>IF(T&lt;=AL$11,"",IF($A69&gt;AL$12,"",IF(T=AM$11,EXP(-IRTree!AL70*h)*AL136,EXP(-IRTree!AL70*h)*((AM69+AM70)/2+AL136))))</f>
        <v/>
      </c>
      <c r="AM69" s="3" t="str">
        <f>IF(T&lt;=AM$11,"",IF($A69&gt;AM$12,"",IF(T=AN$11,EXP(-IRTree!AM70*h)*AM136,EXP(-IRTree!AM70*h)*((AN69+AN70)/2+AM136))))</f>
        <v/>
      </c>
      <c r="AN69" s="3" t="str">
        <f>IF(T&lt;=AN$11,"",IF($A69&gt;AN$12,"",IF(T=AO$11,EXP(-IRTree!AN70*h)*AN136,EXP(-IRTree!AN70*h)*((AO69+AO70)/2+AN136))))</f>
        <v/>
      </c>
      <c r="AO69" s="3" t="str">
        <f>IF(T&lt;=AO$11,"",IF($A69&gt;AO$12,"",IF(T=AP$11,EXP(-IRTree!AO70*h)*AO136,EXP(-IRTree!AO70*h)*((AP69+AP70)/2+AO136))))</f>
        <v/>
      </c>
      <c r="AP69" s="3" t="str">
        <f>IF(T&lt;=AP$11,"",IF($A69&gt;AP$12,"",IF(T=AQ$11,EXP(-IRTree!AP70*h)*AP136,EXP(-IRTree!AP70*h)*((AQ69+AQ70)/2+AP136))))</f>
        <v/>
      </c>
      <c r="AQ69" s="3" t="str">
        <f>IF(T&lt;=AQ$11,"",IF($A69&gt;AQ$12,"",IF(T=AR$11,EXP(-IRTree!AQ70*h)*AQ136,EXP(-IRTree!AQ70*h)*((AR69+AR70)/2+AQ136))))</f>
        <v/>
      </c>
      <c r="AR69" s="3" t="str">
        <f>IF(T&lt;=AR$11,"",IF($A69&gt;AR$12,"",IF(T=AS$11,EXP(-IRTree!AR70*h)*AR136,EXP(-IRTree!AR70*h)*((AS69+AS70)/2+AR136))))</f>
        <v/>
      </c>
      <c r="AS69" s="3" t="str">
        <f>IF(T&lt;=AS$11,"",IF($A69&gt;AS$12,"",IF(T=AT$11,EXP(-IRTree!AS70*h)*AS136,EXP(-IRTree!AS70*h)*((AT69+AT70)/2+AS136))))</f>
        <v/>
      </c>
      <c r="AT69" s="3" t="str">
        <f>IF(T&lt;=AT$11,"",IF($A69&gt;AT$12,"",IF(T=AU$11,EXP(-IRTree!AT70*h)*AT136,EXP(-IRTree!AT70*h)*((AU69+AU70)/2+AT136))))</f>
        <v/>
      </c>
      <c r="AU69" s="3" t="str">
        <f>IF(T&lt;=AU$11,"",IF($A69&gt;AU$12,"",IF(T=AV$11,EXP(-IRTree!AU70*h)*AU136,EXP(-IRTree!AU70*h)*((AV69+AV70)/2+AU136))))</f>
        <v/>
      </c>
      <c r="AV69" s="3" t="str">
        <f>IF(T&lt;=AV$11,"",IF($A69&gt;AV$12,"",IF(T=AW$11,EXP(-IRTree!AV70*h)*AV136,EXP(-IRTree!AV70*h)*((AW69+AW70)/2+AV136))))</f>
        <v/>
      </c>
      <c r="AW69" s="3" t="str">
        <f>IF(T&lt;=AW$11,"",IF($A69&gt;AW$12,"",IF(T=AX$11,EXP(-IRTree!AW70*h)*AW136,EXP(-IRTree!AW70*h)*((AX69+AX70)/2+AW136))))</f>
        <v/>
      </c>
      <c r="AX69" s="3" t="str">
        <f>IF(T&lt;=AX$11,"",IF($A69&gt;AX$12,"",IF(T=AY$11,EXP(-IRTree!AX70*h)*AX136,EXP(-IRTree!AX70*h)*((AY69+AY70)/2+AX136))))</f>
        <v/>
      </c>
      <c r="AY69" s="3" t="str">
        <f>IF(T&lt;=AY$11,"",IF($A69&gt;AY$12,"",IF(T=AZ$11,EXP(-IRTree!AY70*h)*AY136,EXP(-IRTree!AY70*h)*((AZ69+AZ70)/2+AY136))))</f>
        <v/>
      </c>
      <c r="AZ69" s="3" t="str">
        <f>IF(T&lt;=AZ$11,"",IF($A69&gt;AZ$12,"",IF(T=BA$11,EXP(-IRTree!AZ70*h)*AZ136,EXP(-IRTree!AZ70*h)*((BA69+BA70)/2+AZ136))))</f>
        <v/>
      </c>
      <c r="BA69" s="3" t="str">
        <f>IF(T&lt;=BA$11,"",IF($A69&gt;BA$12,"",IF(T=BB$11,EXP(-IRTree!BA70*h)*BA136,EXP(-IRTree!BA70*h)*((BB69+BB70)/2+BA136))))</f>
        <v/>
      </c>
      <c r="BB69" s="3" t="str">
        <f>IF(T&lt;=BB$11,"",IF($A69&gt;BB$12,"",IF(T=BC$11,EXP(-IRTree!BB70*h)*BB136,EXP(-IRTree!BB70*h)*((BC69+BC70)/2+BB136))))</f>
        <v/>
      </c>
      <c r="BC69" s="3" t="str">
        <f>IF(T&lt;=BC$11,"",IF($A69&gt;BC$12,"",IF(T=BD$11,EXP(-IRTree!BC70*h)*BC136,EXP(-IRTree!BC70*h)*((BD69+BD70)/2+BC136))))</f>
        <v/>
      </c>
      <c r="BD69" s="3" t="str">
        <f>IF(T&lt;=BD$11,"",IF($A69&gt;BD$12,"",IF(T=BE$11,EXP(-IRTree!BD70*h)*BD136,EXP(-IRTree!BD70*h)*((BE69+BE70)/2+BD136))))</f>
        <v/>
      </c>
      <c r="BE69" s="3" t="str">
        <f>IF(T&lt;=BE$11,"",IF($A69&gt;BE$12,"",IF(T=BF$11,EXP(-IRTree!BE70*h)*BE136,EXP(-IRTree!BE70*h)*((BF69+BF70)/2+BE136))))</f>
        <v/>
      </c>
      <c r="BF69" s="3" t="str">
        <f>IF(T&lt;=BF$11,"",IF($A69&gt;BF$12,"",IF(T=BG$11,EXP(-IRTree!BF70*h)*BF136,EXP(-IRTree!BF70*h)*((BG69+BG70)/2+BF136))))</f>
        <v/>
      </c>
      <c r="BG69" s="3" t="str">
        <f>IF(T&lt;=BG$11,"",IF($A69&gt;BG$12,"",IF(T=BH$11,EXP(-IRTree!BG70*h)*BG136,EXP(-IRTree!BG70*h)*((BH69+BH70)/2+BG136))))</f>
        <v/>
      </c>
      <c r="BH69" s="3" t="str">
        <f>IF(T&lt;=BH$11,"",IF($A69&gt;BH$12,"",IF(T=BI$11,EXP(-IRTree!BH70*h)*BH136,EXP(-IRTree!BH70*h)*((BI69+BI70)/2+BH136))))</f>
        <v/>
      </c>
      <c r="BI69" s="3" t="str">
        <f>IF(T&lt;=BI$11,"",IF($A69&gt;BI$12,"",IF(T=BJ$11,EXP(-IRTree!BI70*h)*BI136,EXP(-IRTree!BI70*h)*((BJ69+BJ70)/2+BI136))))</f>
        <v/>
      </c>
      <c r="BJ69" s="3" t="str">
        <f>IF(T&lt;=BJ$11,"",IF($A69&gt;BJ$12,"",IF(T=BK$11,EXP(-IRTree!BJ70*h)*BJ136,EXP(-IRTree!BJ70*h)*((BK69+BK70)/2+BJ136))))</f>
        <v/>
      </c>
    </row>
    <row r="70" spans="1:62">
      <c r="A70" s="12">
        <f t="shared" si="2"/>
        <v>57</v>
      </c>
      <c r="B70" s="3" t="str">
        <f>IF(T&lt;=B$11,"",IF($A70&gt;B$12,"",IF(T=C$11,EXP(-IRTree!B71*h)*B137,EXP(-IRTree!B71*h)*((C70+C71)/2+B137))))</f>
        <v/>
      </c>
      <c r="C70" s="3" t="str">
        <f>IF(T&lt;=C$11,"",IF($A70&gt;C$12,"",IF(T=D$11,EXP(-IRTree!C71*h)*C137,EXP(-IRTree!C71*h)*((D70+D71)/2+C137))))</f>
        <v/>
      </c>
      <c r="D70" s="3" t="str">
        <f>IF(T&lt;=D$11,"",IF($A70&gt;D$12,"",IF(T=E$11,EXP(-IRTree!D71*h)*D137,EXP(-IRTree!D71*h)*((E70+E71)/2+D137))))</f>
        <v/>
      </c>
      <c r="E70" s="3" t="str">
        <f>IF(T&lt;=E$11,"",IF($A70&gt;E$12,"",IF(T=F$11,EXP(-IRTree!E71*h)*E137,EXP(-IRTree!E71*h)*((F70+F71)/2+E137))))</f>
        <v/>
      </c>
      <c r="F70" s="3" t="str">
        <f>IF(T&lt;=F$11,"",IF($A70&gt;F$12,"",IF(T=G$11,EXP(-IRTree!F71*h)*F137,EXP(-IRTree!F71*h)*((G70+G71)/2+F137))))</f>
        <v/>
      </c>
      <c r="G70" s="3" t="str">
        <f>IF(T&lt;=G$11,"",IF($A70&gt;G$12,"",IF(T=H$11,EXP(-IRTree!G71*h)*G137,EXP(-IRTree!G71*h)*((H70+H71)/2+G137))))</f>
        <v/>
      </c>
      <c r="H70" s="3" t="str">
        <f>IF(T&lt;=H$11,"",IF($A70&gt;H$12,"",IF(T=I$11,EXP(-IRTree!H71*h)*H137,EXP(-IRTree!H71*h)*((I70+I71)/2+H137))))</f>
        <v/>
      </c>
      <c r="I70" s="3" t="str">
        <f>IF(T&lt;=I$11,"",IF($A70&gt;I$12,"",IF(T=J$11,EXP(-IRTree!I71*h)*I137,EXP(-IRTree!I71*h)*((J70+J71)/2+I137))))</f>
        <v/>
      </c>
      <c r="J70" s="3" t="str">
        <f>IF(T&lt;=J$11,"",IF($A70&gt;J$12,"",IF(T=K$11,EXP(-IRTree!J71*h)*J137,EXP(-IRTree!J71*h)*((K70+K71)/2+J137))))</f>
        <v/>
      </c>
      <c r="K70" s="3" t="str">
        <f>IF(T&lt;=K$11,"",IF($A70&gt;K$12,"",IF(T=L$11,EXP(-IRTree!K71*h)*K137,EXP(-IRTree!K71*h)*((L70+L71)/2+K137))))</f>
        <v/>
      </c>
      <c r="L70" s="3" t="str">
        <f>IF(T&lt;=L$11,"",IF($A70&gt;L$12,"",IF(T=M$11,EXP(-IRTree!L71*h)*L137,EXP(-IRTree!L71*h)*((M70+M71)/2+L137))))</f>
        <v/>
      </c>
      <c r="M70" s="3" t="str">
        <f>IF(T&lt;=M$11,"",IF($A70&gt;M$12,"",IF(T=N$11,EXP(-IRTree!M71*h)*M137,EXP(-IRTree!M71*h)*((N70+N71)/2+M137))))</f>
        <v/>
      </c>
      <c r="N70" s="3" t="str">
        <f>IF(T&lt;=N$11,"",IF($A70&gt;N$12,"",IF(T=O$11,EXP(-IRTree!N71*h)*N137,EXP(-IRTree!N71*h)*((O70+O71)/2+N137))))</f>
        <v/>
      </c>
      <c r="O70" s="3" t="str">
        <f>IF(T&lt;=O$11,"",IF($A70&gt;O$12,"",IF(T=P$11,EXP(-IRTree!O71*h)*O137,EXP(-IRTree!O71*h)*((P70+P71)/2+O137))))</f>
        <v/>
      </c>
      <c r="P70" s="3" t="str">
        <f>IF(T&lt;=P$11,"",IF($A70&gt;P$12,"",IF(T=Q$11,EXP(-IRTree!P71*h)*P137,EXP(-IRTree!P71*h)*((Q70+Q71)/2+P137))))</f>
        <v/>
      </c>
      <c r="Q70" s="3" t="str">
        <f>IF(T&lt;=Q$11,"",IF($A70&gt;Q$12,"",IF(T=R$11,EXP(-IRTree!Q71*h)*Q137,EXP(-IRTree!Q71*h)*((R70+R71)/2+Q137))))</f>
        <v/>
      </c>
      <c r="R70" s="3" t="str">
        <f>IF(T&lt;=R$11,"",IF($A70&gt;R$12,"",IF(T=S$11,EXP(-IRTree!R71*h)*R137,EXP(-IRTree!R71*h)*((S70+S71)/2+R137))))</f>
        <v/>
      </c>
      <c r="S70" s="3" t="str">
        <f>IF(T&lt;=S$11,"",IF($A70&gt;S$12,"",IF(T=T$11,EXP(-IRTree!S71*h)*S137,EXP(-IRTree!S71*h)*((T70+T71)/2+S137))))</f>
        <v/>
      </c>
      <c r="T70" s="3" t="str">
        <f>IF(T&lt;=T$11,"",IF($A70&gt;T$12,"",IF(T=U$11,EXP(-IRTree!T71*h)*T137,EXP(-IRTree!T71*h)*((U70+U71)/2+T137))))</f>
        <v/>
      </c>
      <c r="U70" s="3" t="str">
        <f>IF(T&lt;=U$11,"",IF($A70&gt;U$12,"",IF(T=V$11,EXP(-IRTree!U71*h)*U137,EXP(-IRTree!U71*h)*((V70+V71)/2+U137))))</f>
        <v/>
      </c>
      <c r="V70" s="3" t="str">
        <f>IF(T&lt;=V$11,"",IF($A70&gt;V$12,"",IF(T=W$11,EXP(-IRTree!V71*h)*V137,EXP(-IRTree!V71*h)*((W70+W71)/2+V137))))</f>
        <v/>
      </c>
      <c r="W70" s="3" t="str">
        <f>IF(T&lt;=W$11,"",IF($A70&gt;W$12,"",IF(T=X$11,EXP(-IRTree!W71*h)*W137,EXP(-IRTree!W71*h)*((X70+X71)/2+W137))))</f>
        <v/>
      </c>
      <c r="X70" s="3" t="str">
        <f>IF(T&lt;=X$11,"",IF($A70&gt;X$12,"",IF(T=Y$11,EXP(-IRTree!X71*h)*X137,EXP(-IRTree!X71*h)*((Y70+Y71)/2+X137))))</f>
        <v/>
      </c>
      <c r="Y70" s="3" t="str">
        <f>IF(T&lt;=Y$11,"",IF($A70&gt;Y$12,"",IF(T=Z$11,EXP(-IRTree!Y71*h)*Y137,EXP(-IRTree!Y71*h)*((Z70+Z71)/2+Y137))))</f>
        <v/>
      </c>
      <c r="Z70" s="3" t="str">
        <f>IF(T&lt;=Z$11,"",IF($A70&gt;Z$12,"",IF(T=AA$11,EXP(-IRTree!Z71*h)*Z137,EXP(-IRTree!Z71*h)*((AA70+AA71)/2+Z137))))</f>
        <v/>
      </c>
      <c r="AA70" s="3" t="str">
        <f>IF(T&lt;=AA$11,"",IF($A70&gt;AA$12,"",IF(T=AB$11,EXP(-IRTree!AA71*h)*AA137,EXP(-IRTree!AA71*h)*((AB70+AB71)/2+AA137))))</f>
        <v/>
      </c>
      <c r="AB70" s="3" t="str">
        <f>IF(T&lt;=AB$11,"",IF($A70&gt;AB$12,"",IF(T=AC$11,EXP(-IRTree!AB71*h)*AB137,EXP(-IRTree!AB71*h)*((AC70+AC71)/2+AB137))))</f>
        <v/>
      </c>
      <c r="AC70" s="3" t="str">
        <f>IF(T&lt;=AC$11,"",IF($A70&gt;AC$12,"",IF(T=AD$11,EXP(-IRTree!AC71*h)*AC137,EXP(-IRTree!AC71*h)*((AD70+AD71)/2+AC137))))</f>
        <v/>
      </c>
      <c r="AD70" s="3" t="str">
        <f>IF(T&lt;=AD$11,"",IF($A70&gt;AD$12,"",IF(T=AE$11,EXP(-IRTree!AD71*h)*AD137,EXP(-IRTree!AD71*h)*((AE70+AE71)/2+AD137))))</f>
        <v/>
      </c>
      <c r="AE70" s="3" t="str">
        <f>IF(T&lt;=AE$11,"",IF($A70&gt;AE$12,"",IF(T=AF$11,EXP(-IRTree!AE71*h)*AE137,EXP(-IRTree!AE71*h)*((AF70+AF71)/2+AE137))))</f>
        <v/>
      </c>
      <c r="AF70" s="3" t="str">
        <f>IF(T&lt;=AF$11,"",IF($A70&gt;AF$12,"",IF(T=AG$11,EXP(-IRTree!AF71*h)*AF137,EXP(-IRTree!AF71*h)*((AG70+AG71)/2+AF137))))</f>
        <v/>
      </c>
      <c r="AG70" s="3" t="str">
        <f>IF(T&lt;=AG$11,"",IF($A70&gt;AG$12,"",IF(T=AH$11,EXP(-IRTree!AG71*h)*AG137,EXP(-IRTree!AG71*h)*((AH70+AH71)/2+AG137))))</f>
        <v/>
      </c>
      <c r="AH70" s="3" t="str">
        <f>IF(T&lt;=AH$11,"",IF($A70&gt;AH$12,"",IF(T=AI$11,EXP(-IRTree!AH71*h)*AH137,EXP(-IRTree!AH71*h)*((AI70+AI71)/2+AH137))))</f>
        <v/>
      </c>
      <c r="AI70" s="3" t="str">
        <f>IF(T&lt;=AI$11,"",IF($A70&gt;AI$12,"",IF(T=AJ$11,EXP(-IRTree!AI71*h)*AI137,EXP(-IRTree!AI71*h)*((AJ70+AJ71)/2+AI137))))</f>
        <v/>
      </c>
      <c r="AJ70" s="3" t="str">
        <f>IF(T&lt;=AJ$11,"",IF($A70&gt;AJ$12,"",IF(T=AK$11,EXP(-IRTree!AJ71*h)*AJ137,EXP(-IRTree!AJ71*h)*((AK70+AK71)/2+AJ137))))</f>
        <v/>
      </c>
      <c r="AK70" s="3" t="str">
        <f>IF(T&lt;=AK$11,"",IF($A70&gt;AK$12,"",IF(T=AL$11,EXP(-IRTree!AK71*h)*AK137,EXP(-IRTree!AK71*h)*((AL70+AL71)/2+AK137))))</f>
        <v/>
      </c>
      <c r="AL70" s="3" t="str">
        <f>IF(T&lt;=AL$11,"",IF($A70&gt;AL$12,"",IF(T=AM$11,EXP(-IRTree!AL71*h)*AL137,EXP(-IRTree!AL71*h)*((AM70+AM71)/2+AL137))))</f>
        <v/>
      </c>
      <c r="AM70" s="3" t="str">
        <f>IF(T&lt;=AM$11,"",IF($A70&gt;AM$12,"",IF(T=AN$11,EXP(-IRTree!AM71*h)*AM137,EXP(-IRTree!AM71*h)*((AN70+AN71)/2+AM137))))</f>
        <v/>
      </c>
      <c r="AN70" s="3" t="str">
        <f>IF(T&lt;=AN$11,"",IF($A70&gt;AN$12,"",IF(T=AO$11,EXP(-IRTree!AN71*h)*AN137,EXP(-IRTree!AN71*h)*((AO70+AO71)/2+AN137))))</f>
        <v/>
      </c>
      <c r="AO70" s="3" t="str">
        <f>IF(T&lt;=AO$11,"",IF($A70&gt;AO$12,"",IF(T=AP$11,EXP(-IRTree!AO71*h)*AO137,EXP(-IRTree!AO71*h)*((AP70+AP71)/2+AO137))))</f>
        <v/>
      </c>
      <c r="AP70" s="3" t="str">
        <f>IF(T&lt;=AP$11,"",IF($A70&gt;AP$12,"",IF(T=AQ$11,EXP(-IRTree!AP71*h)*AP137,EXP(-IRTree!AP71*h)*((AQ70+AQ71)/2+AP137))))</f>
        <v/>
      </c>
      <c r="AQ70" s="3" t="str">
        <f>IF(T&lt;=AQ$11,"",IF($A70&gt;AQ$12,"",IF(T=AR$11,EXP(-IRTree!AQ71*h)*AQ137,EXP(-IRTree!AQ71*h)*((AR70+AR71)/2+AQ137))))</f>
        <v/>
      </c>
      <c r="AR70" s="3" t="str">
        <f>IF(T&lt;=AR$11,"",IF($A70&gt;AR$12,"",IF(T=AS$11,EXP(-IRTree!AR71*h)*AR137,EXP(-IRTree!AR71*h)*((AS70+AS71)/2+AR137))))</f>
        <v/>
      </c>
      <c r="AS70" s="3" t="str">
        <f>IF(T&lt;=AS$11,"",IF($A70&gt;AS$12,"",IF(T=AT$11,EXP(-IRTree!AS71*h)*AS137,EXP(-IRTree!AS71*h)*((AT70+AT71)/2+AS137))))</f>
        <v/>
      </c>
      <c r="AT70" s="3" t="str">
        <f>IF(T&lt;=AT$11,"",IF($A70&gt;AT$12,"",IF(T=AU$11,EXP(-IRTree!AT71*h)*AT137,EXP(-IRTree!AT71*h)*((AU70+AU71)/2+AT137))))</f>
        <v/>
      </c>
      <c r="AU70" s="3" t="str">
        <f>IF(T&lt;=AU$11,"",IF($A70&gt;AU$12,"",IF(T=AV$11,EXP(-IRTree!AU71*h)*AU137,EXP(-IRTree!AU71*h)*((AV70+AV71)/2+AU137))))</f>
        <v/>
      </c>
      <c r="AV70" s="3" t="str">
        <f>IF(T&lt;=AV$11,"",IF($A70&gt;AV$12,"",IF(T=AW$11,EXP(-IRTree!AV71*h)*AV137,EXP(-IRTree!AV71*h)*((AW70+AW71)/2+AV137))))</f>
        <v/>
      </c>
      <c r="AW70" s="3" t="str">
        <f>IF(T&lt;=AW$11,"",IF($A70&gt;AW$12,"",IF(T=AX$11,EXP(-IRTree!AW71*h)*AW137,EXP(-IRTree!AW71*h)*((AX70+AX71)/2+AW137))))</f>
        <v/>
      </c>
      <c r="AX70" s="3" t="str">
        <f>IF(T&lt;=AX$11,"",IF($A70&gt;AX$12,"",IF(T=AY$11,EXP(-IRTree!AX71*h)*AX137,EXP(-IRTree!AX71*h)*((AY70+AY71)/2+AX137))))</f>
        <v/>
      </c>
      <c r="AY70" s="3" t="str">
        <f>IF(T&lt;=AY$11,"",IF($A70&gt;AY$12,"",IF(T=AZ$11,EXP(-IRTree!AY71*h)*AY137,EXP(-IRTree!AY71*h)*((AZ70+AZ71)/2+AY137))))</f>
        <v/>
      </c>
      <c r="AZ70" s="3" t="str">
        <f>IF(T&lt;=AZ$11,"",IF($A70&gt;AZ$12,"",IF(T=BA$11,EXP(-IRTree!AZ71*h)*AZ137,EXP(-IRTree!AZ71*h)*((BA70+BA71)/2+AZ137))))</f>
        <v/>
      </c>
      <c r="BA70" s="3" t="str">
        <f>IF(T&lt;=BA$11,"",IF($A70&gt;BA$12,"",IF(T=BB$11,EXP(-IRTree!BA71*h)*BA137,EXP(-IRTree!BA71*h)*((BB70+BB71)/2+BA137))))</f>
        <v/>
      </c>
      <c r="BB70" s="3" t="str">
        <f>IF(T&lt;=BB$11,"",IF($A70&gt;BB$12,"",IF(T=BC$11,EXP(-IRTree!BB71*h)*BB137,EXP(-IRTree!BB71*h)*((BC70+BC71)/2+BB137))))</f>
        <v/>
      </c>
      <c r="BC70" s="3" t="str">
        <f>IF(T&lt;=BC$11,"",IF($A70&gt;BC$12,"",IF(T=BD$11,EXP(-IRTree!BC71*h)*BC137,EXP(-IRTree!BC71*h)*((BD70+BD71)/2+BC137))))</f>
        <v/>
      </c>
      <c r="BD70" s="3" t="str">
        <f>IF(T&lt;=BD$11,"",IF($A70&gt;BD$12,"",IF(T=BE$11,EXP(-IRTree!BD71*h)*BD137,EXP(-IRTree!BD71*h)*((BE70+BE71)/2+BD137))))</f>
        <v/>
      </c>
      <c r="BE70" s="3" t="str">
        <f>IF(T&lt;=BE$11,"",IF($A70&gt;BE$12,"",IF(T=BF$11,EXP(-IRTree!BE71*h)*BE137,EXP(-IRTree!BE71*h)*((BF70+BF71)/2+BE137))))</f>
        <v/>
      </c>
      <c r="BF70" s="3" t="str">
        <f>IF(T&lt;=BF$11,"",IF($A70&gt;BF$12,"",IF(T=BG$11,EXP(-IRTree!BF71*h)*BF137,EXP(-IRTree!BF71*h)*((BG70+BG71)/2+BF137))))</f>
        <v/>
      </c>
      <c r="BG70" s="3" t="str">
        <f>IF(T&lt;=BG$11,"",IF($A70&gt;BG$12,"",IF(T=BH$11,EXP(-IRTree!BG71*h)*BG137,EXP(-IRTree!BG71*h)*((BH70+BH71)/2+BG137))))</f>
        <v/>
      </c>
      <c r="BH70" s="3" t="str">
        <f>IF(T&lt;=BH$11,"",IF($A70&gt;BH$12,"",IF(T=BI$11,EXP(-IRTree!BH71*h)*BH137,EXP(-IRTree!BH71*h)*((BI70+BI71)/2+BH137))))</f>
        <v/>
      </c>
      <c r="BI70" s="3" t="str">
        <f>IF(T&lt;=BI$11,"",IF($A70&gt;BI$12,"",IF(T=BJ$11,EXP(-IRTree!BI71*h)*BI137,EXP(-IRTree!BI71*h)*((BJ70+BJ71)/2+BI137))))</f>
        <v/>
      </c>
      <c r="BJ70" s="3" t="str">
        <f>IF(T&lt;=BJ$11,"",IF($A70&gt;BJ$12,"",IF(T=BK$11,EXP(-IRTree!BJ71*h)*BJ137,EXP(-IRTree!BJ71*h)*((BK70+BK71)/2+BJ137))))</f>
        <v/>
      </c>
    </row>
    <row r="71" spans="1:62">
      <c r="A71" s="12">
        <f t="shared" si="2"/>
        <v>58</v>
      </c>
      <c r="B71" s="3" t="str">
        <f>IF(T&lt;=B$11,"",IF($A71&gt;B$12,"",IF(T=C$11,EXP(-IRTree!B72*h)*B138,EXP(-IRTree!B72*h)*((C71+C72)/2+B138))))</f>
        <v/>
      </c>
      <c r="C71" s="3" t="str">
        <f>IF(T&lt;=C$11,"",IF($A71&gt;C$12,"",IF(T=D$11,EXP(-IRTree!C72*h)*C138,EXP(-IRTree!C72*h)*((D71+D72)/2+C138))))</f>
        <v/>
      </c>
      <c r="D71" s="3" t="str">
        <f>IF(T&lt;=D$11,"",IF($A71&gt;D$12,"",IF(T=E$11,EXP(-IRTree!D72*h)*D138,EXP(-IRTree!D72*h)*((E71+E72)/2+D138))))</f>
        <v/>
      </c>
      <c r="E71" s="3" t="str">
        <f>IF(T&lt;=E$11,"",IF($A71&gt;E$12,"",IF(T=F$11,EXP(-IRTree!E72*h)*E138,EXP(-IRTree!E72*h)*((F71+F72)/2+E138))))</f>
        <v/>
      </c>
      <c r="F71" s="3" t="str">
        <f>IF(T&lt;=F$11,"",IF($A71&gt;F$12,"",IF(T=G$11,EXP(-IRTree!F72*h)*F138,EXP(-IRTree!F72*h)*((G71+G72)/2+F138))))</f>
        <v/>
      </c>
      <c r="G71" s="3" t="str">
        <f>IF(T&lt;=G$11,"",IF($A71&gt;G$12,"",IF(T=H$11,EXP(-IRTree!G72*h)*G138,EXP(-IRTree!G72*h)*((H71+H72)/2+G138))))</f>
        <v/>
      </c>
      <c r="H71" s="3" t="str">
        <f>IF(T&lt;=H$11,"",IF($A71&gt;H$12,"",IF(T=I$11,EXP(-IRTree!H72*h)*H138,EXP(-IRTree!H72*h)*((I71+I72)/2+H138))))</f>
        <v/>
      </c>
      <c r="I71" s="3" t="str">
        <f>IF(T&lt;=I$11,"",IF($A71&gt;I$12,"",IF(T=J$11,EXP(-IRTree!I72*h)*I138,EXP(-IRTree!I72*h)*((J71+J72)/2+I138))))</f>
        <v/>
      </c>
      <c r="J71" s="3" t="str">
        <f>IF(T&lt;=J$11,"",IF($A71&gt;J$12,"",IF(T=K$11,EXP(-IRTree!J72*h)*J138,EXP(-IRTree!J72*h)*((K71+K72)/2+J138))))</f>
        <v/>
      </c>
      <c r="K71" s="3" t="str">
        <f>IF(T&lt;=K$11,"",IF($A71&gt;K$12,"",IF(T=L$11,EXP(-IRTree!K72*h)*K138,EXP(-IRTree!K72*h)*((L71+L72)/2+K138))))</f>
        <v/>
      </c>
      <c r="L71" s="3" t="str">
        <f>IF(T&lt;=L$11,"",IF($A71&gt;L$12,"",IF(T=M$11,EXP(-IRTree!L72*h)*L138,EXP(-IRTree!L72*h)*((M71+M72)/2+L138))))</f>
        <v/>
      </c>
      <c r="M71" s="3" t="str">
        <f>IF(T&lt;=M$11,"",IF($A71&gt;M$12,"",IF(T=N$11,EXP(-IRTree!M72*h)*M138,EXP(-IRTree!M72*h)*((N71+N72)/2+M138))))</f>
        <v/>
      </c>
      <c r="N71" s="3" t="str">
        <f>IF(T&lt;=N$11,"",IF($A71&gt;N$12,"",IF(T=O$11,EXP(-IRTree!N72*h)*N138,EXP(-IRTree!N72*h)*((O71+O72)/2+N138))))</f>
        <v/>
      </c>
      <c r="O71" s="3" t="str">
        <f>IF(T&lt;=O$11,"",IF($A71&gt;O$12,"",IF(T=P$11,EXP(-IRTree!O72*h)*O138,EXP(-IRTree!O72*h)*((P71+P72)/2+O138))))</f>
        <v/>
      </c>
      <c r="P71" s="3" t="str">
        <f>IF(T&lt;=P$11,"",IF($A71&gt;P$12,"",IF(T=Q$11,EXP(-IRTree!P72*h)*P138,EXP(-IRTree!P72*h)*((Q71+Q72)/2+P138))))</f>
        <v/>
      </c>
      <c r="Q71" s="3" t="str">
        <f>IF(T&lt;=Q$11,"",IF($A71&gt;Q$12,"",IF(T=R$11,EXP(-IRTree!Q72*h)*Q138,EXP(-IRTree!Q72*h)*((R71+R72)/2+Q138))))</f>
        <v/>
      </c>
      <c r="R71" s="3" t="str">
        <f>IF(T&lt;=R$11,"",IF($A71&gt;R$12,"",IF(T=S$11,EXP(-IRTree!R72*h)*R138,EXP(-IRTree!R72*h)*((S71+S72)/2+R138))))</f>
        <v/>
      </c>
      <c r="S71" s="3" t="str">
        <f>IF(T&lt;=S$11,"",IF($A71&gt;S$12,"",IF(T=T$11,EXP(-IRTree!S72*h)*S138,EXP(-IRTree!S72*h)*((T71+T72)/2+S138))))</f>
        <v/>
      </c>
      <c r="T71" s="3" t="str">
        <f>IF(T&lt;=T$11,"",IF($A71&gt;T$12,"",IF(T=U$11,EXP(-IRTree!T72*h)*T138,EXP(-IRTree!T72*h)*((U71+U72)/2+T138))))</f>
        <v/>
      </c>
      <c r="U71" s="3" t="str">
        <f>IF(T&lt;=U$11,"",IF($A71&gt;U$12,"",IF(T=V$11,EXP(-IRTree!U72*h)*U138,EXP(-IRTree!U72*h)*((V71+V72)/2+U138))))</f>
        <v/>
      </c>
      <c r="V71" s="3" t="str">
        <f>IF(T&lt;=V$11,"",IF($A71&gt;V$12,"",IF(T=W$11,EXP(-IRTree!V72*h)*V138,EXP(-IRTree!V72*h)*((W71+W72)/2+V138))))</f>
        <v/>
      </c>
      <c r="W71" s="3" t="str">
        <f>IF(T&lt;=W$11,"",IF($A71&gt;W$12,"",IF(T=X$11,EXP(-IRTree!W72*h)*W138,EXP(-IRTree!W72*h)*((X71+X72)/2+W138))))</f>
        <v/>
      </c>
      <c r="X71" s="3" t="str">
        <f>IF(T&lt;=X$11,"",IF($A71&gt;X$12,"",IF(T=Y$11,EXP(-IRTree!X72*h)*X138,EXP(-IRTree!X72*h)*((Y71+Y72)/2+X138))))</f>
        <v/>
      </c>
      <c r="Y71" s="3" t="str">
        <f>IF(T&lt;=Y$11,"",IF($A71&gt;Y$12,"",IF(T=Z$11,EXP(-IRTree!Y72*h)*Y138,EXP(-IRTree!Y72*h)*((Z71+Z72)/2+Y138))))</f>
        <v/>
      </c>
      <c r="Z71" s="3" t="str">
        <f>IF(T&lt;=Z$11,"",IF($A71&gt;Z$12,"",IF(T=AA$11,EXP(-IRTree!Z72*h)*Z138,EXP(-IRTree!Z72*h)*((AA71+AA72)/2+Z138))))</f>
        <v/>
      </c>
      <c r="AA71" s="3" t="str">
        <f>IF(T&lt;=AA$11,"",IF($A71&gt;AA$12,"",IF(T=AB$11,EXP(-IRTree!AA72*h)*AA138,EXP(-IRTree!AA72*h)*((AB71+AB72)/2+AA138))))</f>
        <v/>
      </c>
      <c r="AB71" s="3" t="str">
        <f>IF(T&lt;=AB$11,"",IF($A71&gt;AB$12,"",IF(T=AC$11,EXP(-IRTree!AB72*h)*AB138,EXP(-IRTree!AB72*h)*((AC71+AC72)/2+AB138))))</f>
        <v/>
      </c>
      <c r="AC71" s="3" t="str">
        <f>IF(T&lt;=AC$11,"",IF($A71&gt;AC$12,"",IF(T=AD$11,EXP(-IRTree!AC72*h)*AC138,EXP(-IRTree!AC72*h)*((AD71+AD72)/2+AC138))))</f>
        <v/>
      </c>
      <c r="AD71" s="3" t="str">
        <f>IF(T&lt;=AD$11,"",IF($A71&gt;AD$12,"",IF(T=AE$11,EXP(-IRTree!AD72*h)*AD138,EXP(-IRTree!AD72*h)*((AE71+AE72)/2+AD138))))</f>
        <v/>
      </c>
      <c r="AE71" s="3" t="str">
        <f>IF(T&lt;=AE$11,"",IF($A71&gt;AE$12,"",IF(T=AF$11,EXP(-IRTree!AE72*h)*AE138,EXP(-IRTree!AE72*h)*((AF71+AF72)/2+AE138))))</f>
        <v/>
      </c>
      <c r="AF71" s="3" t="str">
        <f>IF(T&lt;=AF$11,"",IF($A71&gt;AF$12,"",IF(T=AG$11,EXP(-IRTree!AF72*h)*AF138,EXP(-IRTree!AF72*h)*((AG71+AG72)/2+AF138))))</f>
        <v/>
      </c>
      <c r="AG71" s="3" t="str">
        <f>IF(T&lt;=AG$11,"",IF($A71&gt;AG$12,"",IF(T=AH$11,EXP(-IRTree!AG72*h)*AG138,EXP(-IRTree!AG72*h)*((AH71+AH72)/2+AG138))))</f>
        <v/>
      </c>
      <c r="AH71" s="3" t="str">
        <f>IF(T&lt;=AH$11,"",IF($A71&gt;AH$12,"",IF(T=AI$11,EXP(-IRTree!AH72*h)*AH138,EXP(-IRTree!AH72*h)*((AI71+AI72)/2+AH138))))</f>
        <v/>
      </c>
      <c r="AI71" s="3" t="str">
        <f>IF(T&lt;=AI$11,"",IF($A71&gt;AI$12,"",IF(T=AJ$11,EXP(-IRTree!AI72*h)*AI138,EXP(-IRTree!AI72*h)*((AJ71+AJ72)/2+AI138))))</f>
        <v/>
      </c>
      <c r="AJ71" s="3" t="str">
        <f>IF(T&lt;=AJ$11,"",IF($A71&gt;AJ$12,"",IF(T=AK$11,EXP(-IRTree!AJ72*h)*AJ138,EXP(-IRTree!AJ72*h)*((AK71+AK72)/2+AJ138))))</f>
        <v/>
      </c>
      <c r="AK71" s="3" t="str">
        <f>IF(T&lt;=AK$11,"",IF($A71&gt;AK$12,"",IF(T=AL$11,EXP(-IRTree!AK72*h)*AK138,EXP(-IRTree!AK72*h)*((AL71+AL72)/2+AK138))))</f>
        <v/>
      </c>
      <c r="AL71" s="3" t="str">
        <f>IF(T&lt;=AL$11,"",IF($A71&gt;AL$12,"",IF(T=AM$11,EXP(-IRTree!AL72*h)*AL138,EXP(-IRTree!AL72*h)*((AM71+AM72)/2+AL138))))</f>
        <v/>
      </c>
      <c r="AM71" s="3" t="str">
        <f>IF(T&lt;=AM$11,"",IF($A71&gt;AM$12,"",IF(T=AN$11,EXP(-IRTree!AM72*h)*AM138,EXP(-IRTree!AM72*h)*((AN71+AN72)/2+AM138))))</f>
        <v/>
      </c>
      <c r="AN71" s="3" t="str">
        <f>IF(T&lt;=AN$11,"",IF($A71&gt;AN$12,"",IF(T=AO$11,EXP(-IRTree!AN72*h)*AN138,EXP(-IRTree!AN72*h)*((AO71+AO72)/2+AN138))))</f>
        <v/>
      </c>
      <c r="AO71" s="3" t="str">
        <f>IF(T&lt;=AO$11,"",IF($A71&gt;AO$12,"",IF(T=AP$11,EXP(-IRTree!AO72*h)*AO138,EXP(-IRTree!AO72*h)*((AP71+AP72)/2+AO138))))</f>
        <v/>
      </c>
      <c r="AP71" s="3" t="str">
        <f>IF(T&lt;=AP$11,"",IF($A71&gt;AP$12,"",IF(T=AQ$11,EXP(-IRTree!AP72*h)*AP138,EXP(-IRTree!AP72*h)*((AQ71+AQ72)/2+AP138))))</f>
        <v/>
      </c>
      <c r="AQ71" s="3" t="str">
        <f>IF(T&lt;=AQ$11,"",IF($A71&gt;AQ$12,"",IF(T=AR$11,EXP(-IRTree!AQ72*h)*AQ138,EXP(-IRTree!AQ72*h)*((AR71+AR72)/2+AQ138))))</f>
        <v/>
      </c>
      <c r="AR71" s="3" t="str">
        <f>IF(T&lt;=AR$11,"",IF($A71&gt;AR$12,"",IF(T=AS$11,EXP(-IRTree!AR72*h)*AR138,EXP(-IRTree!AR72*h)*((AS71+AS72)/2+AR138))))</f>
        <v/>
      </c>
      <c r="AS71" s="3" t="str">
        <f>IF(T&lt;=AS$11,"",IF($A71&gt;AS$12,"",IF(T=AT$11,EXP(-IRTree!AS72*h)*AS138,EXP(-IRTree!AS72*h)*((AT71+AT72)/2+AS138))))</f>
        <v/>
      </c>
      <c r="AT71" s="3" t="str">
        <f>IF(T&lt;=AT$11,"",IF($A71&gt;AT$12,"",IF(T=AU$11,EXP(-IRTree!AT72*h)*AT138,EXP(-IRTree!AT72*h)*((AU71+AU72)/2+AT138))))</f>
        <v/>
      </c>
      <c r="AU71" s="3" t="str">
        <f>IF(T&lt;=AU$11,"",IF($A71&gt;AU$12,"",IF(T=AV$11,EXP(-IRTree!AU72*h)*AU138,EXP(-IRTree!AU72*h)*((AV71+AV72)/2+AU138))))</f>
        <v/>
      </c>
      <c r="AV71" s="3" t="str">
        <f>IF(T&lt;=AV$11,"",IF($A71&gt;AV$12,"",IF(T=AW$11,EXP(-IRTree!AV72*h)*AV138,EXP(-IRTree!AV72*h)*((AW71+AW72)/2+AV138))))</f>
        <v/>
      </c>
      <c r="AW71" s="3" t="str">
        <f>IF(T&lt;=AW$11,"",IF($A71&gt;AW$12,"",IF(T=AX$11,EXP(-IRTree!AW72*h)*AW138,EXP(-IRTree!AW72*h)*((AX71+AX72)/2+AW138))))</f>
        <v/>
      </c>
      <c r="AX71" s="3" t="str">
        <f>IF(T&lt;=AX$11,"",IF($A71&gt;AX$12,"",IF(T=AY$11,EXP(-IRTree!AX72*h)*AX138,EXP(-IRTree!AX72*h)*((AY71+AY72)/2+AX138))))</f>
        <v/>
      </c>
      <c r="AY71" s="3" t="str">
        <f>IF(T&lt;=AY$11,"",IF($A71&gt;AY$12,"",IF(T=AZ$11,EXP(-IRTree!AY72*h)*AY138,EXP(-IRTree!AY72*h)*((AZ71+AZ72)/2+AY138))))</f>
        <v/>
      </c>
      <c r="AZ71" s="3" t="str">
        <f>IF(T&lt;=AZ$11,"",IF($A71&gt;AZ$12,"",IF(T=BA$11,EXP(-IRTree!AZ72*h)*AZ138,EXP(-IRTree!AZ72*h)*((BA71+BA72)/2+AZ138))))</f>
        <v/>
      </c>
      <c r="BA71" s="3" t="str">
        <f>IF(T&lt;=BA$11,"",IF($A71&gt;BA$12,"",IF(T=BB$11,EXP(-IRTree!BA72*h)*BA138,EXP(-IRTree!BA72*h)*((BB71+BB72)/2+BA138))))</f>
        <v/>
      </c>
      <c r="BB71" s="3" t="str">
        <f>IF(T&lt;=BB$11,"",IF($A71&gt;BB$12,"",IF(T=BC$11,EXP(-IRTree!BB72*h)*BB138,EXP(-IRTree!BB72*h)*((BC71+BC72)/2+BB138))))</f>
        <v/>
      </c>
      <c r="BC71" s="3" t="str">
        <f>IF(T&lt;=BC$11,"",IF($A71&gt;BC$12,"",IF(T=BD$11,EXP(-IRTree!BC72*h)*BC138,EXP(-IRTree!BC72*h)*((BD71+BD72)/2+BC138))))</f>
        <v/>
      </c>
      <c r="BD71" s="3" t="str">
        <f>IF(T&lt;=BD$11,"",IF($A71&gt;BD$12,"",IF(T=BE$11,EXP(-IRTree!BD72*h)*BD138,EXP(-IRTree!BD72*h)*((BE71+BE72)/2+BD138))))</f>
        <v/>
      </c>
      <c r="BE71" s="3" t="str">
        <f>IF(T&lt;=BE$11,"",IF($A71&gt;BE$12,"",IF(T=BF$11,EXP(-IRTree!BE72*h)*BE138,EXP(-IRTree!BE72*h)*((BF71+BF72)/2+BE138))))</f>
        <v/>
      </c>
      <c r="BF71" s="3" t="str">
        <f>IF(T&lt;=BF$11,"",IF($A71&gt;BF$12,"",IF(T=BG$11,EXP(-IRTree!BF72*h)*BF138,EXP(-IRTree!BF72*h)*((BG71+BG72)/2+BF138))))</f>
        <v/>
      </c>
      <c r="BG71" s="3" t="str">
        <f>IF(T&lt;=BG$11,"",IF($A71&gt;BG$12,"",IF(T=BH$11,EXP(-IRTree!BG72*h)*BG138,EXP(-IRTree!BG72*h)*((BH71+BH72)/2+BG138))))</f>
        <v/>
      </c>
      <c r="BH71" s="3" t="str">
        <f>IF(T&lt;=BH$11,"",IF($A71&gt;BH$12,"",IF(T=BI$11,EXP(-IRTree!BH72*h)*BH138,EXP(-IRTree!BH72*h)*((BI71+BI72)/2+BH138))))</f>
        <v/>
      </c>
      <c r="BI71" s="3" t="str">
        <f>IF(T&lt;=BI$11,"",IF($A71&gt;BI$12,"",IF(T=BJ$11,EXP(-IRTree!BI72*h)*BI138,EXP(-IRTree!BI72*h)*((BJ71+BJ72)/2+BI138))))</f>
        <v/>
      </c>
      <c r="BJ71" s="3" t="str">
        <f>IF(T&lt;=BJ$11,"",IF($A71&gt;BJ$12,"",IF(T=BK$11,EXP(-IRTree!BJ72*h)*BJ138,EXP(-IRTree!BJ72*h)*((BK71+BK72)/2+BJ138))))</f>
        <v/>
      </c>
    </row>
    <row r="72" spans="1:62">
      <c r="A72" s="12">
        <f t="shared" si="2"/>
        <v>59</v>
      </c>
      <c r="B72" s="3" t="str">
        <f>IF(T&lt;=B$11,"",IF($A72&gt;B$12,"",IF(T=C$11,EXP(-IRTree!B73*h)*B139,EXP(-IRTree!B73*h)*((C72+C73)/2+B139))))</f>
        <v/>
      </c>
      <c r="C72" s="3" t="str">
        <f>IF(T&lt;=C$11,"",IF($A72&gt;C$12,"",IF(T=D$11,EXP(-IRTree!C73*h)*C139,EXP(-IRTree!C73*h)*((D72+D73)/2+C139))))</f>
        <v/>
      </c>
      <c r="D72" s="3" t="str">
        <f>IF(T&lt;=D$11,"",IF($A72&gt;D$12,"",IF(T=E$11,EXP(-IRTree!D73*h)*D139,EXP(-IRTree!D73*h)*((E72+E73)/2+D139))))</f>
        <v/>
      </c>
      <c r="E72" s="3" t="str">
        <f>IF(T&lt;=E$11,"",IF($A72&gt;E$12,"",IF(T=F$11,EXP(-IRTree!E73*h)*E139,EXP(-IRTree!E73*h)*((F72+F73)/2+E139))))</f>
        <v/>
      </c>
      <c r="F72" s="3" t="str">
        <f>IF(T&lt;=F$11,"",IF($A72&gt;F$12,"",IF(T=G$11,EXP(-IRTree!F73*h)*F139,EXP(-IRTree!F73*h)*((G72+G73)/2+F139))))</f>
        <v/>
      </c>
      <c r="G72" s="3" t="str">
        <f>IF(T&lt;=G$11,"",IF($A72&gt;G$12,"",IF(T=H$11,EXP(-IRTree!G73*h)*G139,EXP(-IRTree!G73*h)*((H72+H73)/2+G139))))</f>
        <v/>
      </c>
      <c r="H72" s="3" t="str">
        <f>IF(T&lt;=H$11,"",IF($A72&gt;H$12,"",IF(T=I$11,EXP(-IRTree!H73*h)*H139,EXP(-IRTree!H73*h)*((I72+I73)/2+H139))))</f>
        <v/>
      </c>
      <c r="I72" s="3" t="str">
        <f>IF(T&lt;=I$11,"",IF($A72&gt;I$12,"",IF(T=J$11,EXP(-IRTree!I73*h)*I139,EXP(-IRTree!I73*h)*((J72+J73)/2+I139))))</f>
        <v/>
      </c>
      <c r="J72" s="3" t="str">
        <f>IF(T&lt;=J$11,"",IF($A72&gt;J$12,"",IF(T=K$11,EXP(-IRTree!J73*h)*J139,EXP(-IRTree!J73*h)*((K72+K73)/2+J139))))</f>
        <v/>
      </c>
      <c r="K72" s="3" t="str">
        <f>IF(T&lt;=K$11,"",IF($A72&gt;K$12,"",IF(T=L$11,EXP(-IRTree!K73*h)*K139,EXP(-IRTree!K73*h)*((L72+L73)/2+K139))))</f>
        <v/>
      </c>
      <c r="L72" s="3" t="str">
        <f>IF(T&lt;=L$11,"",IF($A72&gt;L$12,"",IF(T=M$11,EXP(-IRTree!L73*h)*L139,EXP(-IRTree!L73*h)*((M72+M73)/2+L139))))</f>
        <v/>
      </c>
      <c r="M72" s="3" t="str">
        <f>IF(T&lt;=M$11,"",IF($A72&gt;M$12,"",IF(T=N$11,EXP(-IRTree!M73*h)*M139,EXP(-IRTree!M73*h)*((N72+N73)/2+M139))))</f>
        <v/>
      </c>
      <c r="N72" s="3" t="str">
        <f>IF(T&lt;=N$11,"",IF($A72&gt;N$12,"",IF(T=O$11,EXP(-IRTree!N73*h)*N139,EXP(-IRTree!N73*h)*((O72+O73)/2+N139))))</f>
        <v/>
      </c>
      <c r="O72" s="3" t="str">
        <f>IF(T&lt;=O$11,"",IF($A72&gt;O$12,"",IF(T=P$11,EXP(-IRTree!O73*h)*O139,EXP(-IRTree!O73*h)*((P72+P73)/2+O139))))</f>
        <v/>
      </c>
      <c r="P72" s="3" t="str">
        <f>IF(T&lt;=P$11,"",IF($A72&gt;P$12,"",IF(T=Q$11,EXP(-IRTree!P73*h)*P139,EXP(-IRTree!P73*h)*((Q72+Q73)/2+P139))))</f>
        <v/>
      </c>
      <c r="Q72" s="3" t="str">
        <f>IF(T&lt;=Q$11,"",IF($A72&gt;Q$12,"",IF(T=R$11,EXP(-IRTree!Q73*h)*Q139,EXP(-IRTree!Q73*h)*((R72+R73)/2+Q139))))</f>
        <v/>
      </c>
      <c r="R72" s="3" t="str">
        <f>IF(T&lt;=R$11,"",IF($A72&gt;R$12,"",IF(T=S$11,EXP(-IRTree!R73*h)*R139,EXP(-IRTree!R73*h)*((S72+S73)/2+R139))))</f>
        <v/>
      </c>
      <c r="S72" s="3" t="str">
        <f>IF(T&lt;=S$11,"",IF($A72&gt;S$12,"",IF(T=T$11,EXP(-IRTree!S73*h)*S139,EXP(-IRTree!S73*h)*((T72+T73)/2+S139))))</f>
        <v/>
      </c>
      <c r="T72" s="3" t="str">
        <f>IF(T&lt;=T$11,"",IF($A72&gt;T$12,"",IF(T=U$11,EXP(-IRTree!T73*h)*T139,EXP(-IRTree!T73*h)*((U72+U73)/2+T139))))</f>
        <v/>
      </c>
      <c r="U72" s="3" t="str">
        <f>IF(T&lt;=U$11,"",IF($A72&gt;U$12,"",IF(T=V$11,EXP(-IRTree!U73*h)*U139,EXP(-IRTree!U73*h)*((V72+V73)/2+U139))))</f>
        <v/>
      </c>
      <c r="V72" s="3" t="str">
        <f>IF(T&lt;=V$11,"",IF($A72&gt;V$12,"",IF(T=W$11,EXP(-IRTree!V73*h)*V139,EXP(-IRTree!V73*h)*((W72+W73)/2+V139))))</f>
        <v/>
      </c>
      <c r="W72" s="3" t="str">
        <f>IF(T&lt;=W$11,"",IF($A72&gt;W$12,"",IF(T=X$11,EXP(-IRTree!W73*h)*W139,EXP(-IRTree!W73*h)*((X72+X73)/2+W139))))</f>
        <v/>
      </c>
      <c r="X72" s="3" t="str">
        <f>IF(T&lt;=X$11,"",IF($A72&gt;X$12,"",IF(T=Y$11,EXP(-IRTree!X73*h)*X139,EXP(-IRTree!X73*h)*((Y72+Y73)/2+X139))))</f>
        <v/>
      </c>
      <c r="Y72" s="3" t="str">
        <f>IF(T&lt;=Y$11,"",IF($A72&gt;Y$12,"",IF(T=Z$11,EXP(-IRTree!Y73*h)*Y139,EXP(-IRTree!Y73*h)*((Z72+Z73)/2+Y139))))</f>
        <v/>
      </c>
      <c r="Z72" s="3" t="str">
        <f>IF(T&lt;=Z$11,"",IF($A72&gt;Z$12,"",IF(T=AA$11,EXP(-IRTree!Z73*h)*Z139,EXP(-IRTree!Z73*h)*((AA72+AA73)/2+Z139))))</f>
        <v/>
      </c>
      <c r="AA72" s="3" t="str">
        <f>IF(T&lt;=AA$11,"",IF($A72&gt;AA$12,"",IF(T=AB$11,EXP(-IRTree!AA73*h)*AA139,EXP(-IRTree!AA73*h)*((AB72+AB73)/2+AA139))))</f>
        <v/>
      </c>
      <c r="AB72" s="3" t="str">
        <f>IF(T&lt;=AB$11,"",IF($A72&gt;AB$12,"",IF(T=AC$11,EXP(-IRTree!AB73*h)*AB139,EXP(-IRTree!AB73*h)*((AC72+AC73)/2+AB139))))</f>
        <v/>
      </c>
      <c r="AC72" s="3" t="str">
        <f>IF(T&lt;=AC$11,"",IF($A72&gt;AC$12,"",IF(T=AD$11,EXP(-IRTree!AC73*h)*AC139,EXP(-IRTree!AC73*h)*((AD72+AD73)/2+AC139))))</f>
        <v/>
      </c>
      <c r="AD72" s="3" t="str">
        <f>IF(T&lt;=AD$11,"",IF($A72&gt;AD$12,"",IF(T=AE$11,EXP(-IRTree!AD73*h)*AD139,EXP(-IRTree!AD73*h)*((AE72+AE73)/2+AD139))))</f>
        <v/>
      </c>
      <c r="AE72" s="3" t="str">
        <f>IF(T&lt;=AE$11,"",IF($A72&gt;AE$12,"",IF(T=AF$11,EXP(-IRTree!AE73*h)*AE139,EXP(-IRTree!AE73*h)*((AF72+AF73)/2+AE139))))</f>
        <v/>
      </c>
      <c r="AF72" s="3" t="str">
        <f>IF(T&lt;=AF$11,"",IF($A72&gt;AF$12,"",IF(T=AG$11,EXP(-IRTree!AF73*h)*AF139,EXP(-IRTree!AF73*h)*((AG72+AG73)/2+AF139))))</f>
        <v/>
      </c>
      <c r="AG72" s="3" t="str">
        <f>IF(T&lt;=AG$11,"",IF($A72&gt;AG$12,"",IF(T=AH$11,EXP(-IRTree!AG73*h)*AG139,EXP(-IRTree!AG73*h)*((AH72+AH73)/2+AG139))))</f>
        <v/>
      </c>
      <c r="AH72" s="3" t="str">
        <f>IF(T&lt;=AH$11,"",IF($A72&gt;AH$12,"",IF(T=AI$11,EXP(-IRTree!AH73*h)*AH139,EXP(-IRTree!AH73*h)*((AI72+AI73)/2+AH139))))</f>
        <v/>
      </c>
      <c r="AI72" s="3" t="str">
        <f>IF(T&lt;=AI$11,"",IF($A72&gt;AI$12,"",IF(T=AJ$11,EXP(-IRTree!AI73*h)*AI139,EXP(-IRTree!AI73*h)*((AJ72+AJ73)/2+AI139))))</f>
        <v/>
      </c>
      <c r="AJ72" s="3" t="str">
        <f>IF(T&lt;=AJ$11,"",IF($A72&gt;AJ$12,"",IF(T=AK$11,EXP(-IRTree!AJ73*h)*AJ139,EXP(-IRTree!AJ73*h)*((AK72+AK73)/2+AJ139))))</f>
        <v/>
      </c>
      <c r="AK72" s="3" t="str">
        <f>IF(T&lt;=AK$11,"",IF($A72&gt;AK$12,"",IF(T=AL$11,EXP(-IRTree!AK73*h)*AK139,EXP(-IRTree!AK73*h)*((AL72+AL73)/2+AK139))))</f>
        <v/>
      </c>
      <c r="AL72" s="3" t="str">
        <f>IF(T&lt;=AL$11,"",IF($A72&gt;AL$12,"",IF(T=AM$11,EXP(-IRTree!AL73*h)*AL139,EXP(-IRTree!AL73*h)*((AM72+AM73)/2+AL139))))</f>
        <v/>
      </c>
      <c r="AM72" s="3" t="str">
        <f>IF(T&lt;=AM$11,"",IF($A72&gt;AM$12,"",IF(T=AN$11,EXP(-IRTree!AM73*h)*AM139,EXP(-IRTree!AM73*h)*((AN72+AN73)/2+AM139))))</f>
        <v/>
      </c>
      <c r="AN72" s="3" t="str">
        <f>IF(T&lt;=AN$11,"",IF($A72&gt;AN$12,"",IF(T=AO$11,EXP(-IRTree!AN73*h)*AN139,EXP(-IRTree!AN73*h)*((AO72+AO73)/2+AN139))))</f>
        <v/>
      </c>
      <c r="AO72" s="3" t="str">
        <f>IF(T&lt;=AO$11,"",IF($A72&gt;AO$12,"",IF(T=AP$11,EXP(-IRTree!AO73*h)*AO139,EXP(-IRTree!AO73*h)*((AP72+AP73)/2+AO139))))</f>
        <v/>
      </c>
      <c r="AP72" s="3" t="str">
        <f>IF(T&lt;=AP$11,"",IF($A72&gt;AP$12,"",IF(T=AQ$11,EXP(-IRTree!AP73*h)*AP139,EXP(-IRTree!AP73*h)*((AQ72+AQ73)/2+AP139))))</f>
        <v/>
      </c>
      <c r="AQ72" s="3" t="str">
        <f>IF(T&lt;=AQ$11,"",IF($A72&gt;AQ$12,"",IF(T=AR$11,EXP(-IRTree!AQ73*h)*AQ139,EXP(-IRTree!AQ73*h)*((AR72+AR73)/2+AQ139))))</f>
        <v/>
      </c>
      <c r="AR72" s="3" t="str">
        <f>IF(T&lt;=AR$11,"",IF($A72&gt;AR$12,"",IF(T=AS$11,EXP(-IRTree!AR73*h)*AR139,EXP(-IRTree!AR73*h)*((AS72+AS73)/2+AR139))))</f>
        <v/>
      </c>
      <c r="AS72" s="3" t="str">
        <f>IF(T&lt;=AS$11,"",IF($A72&gt;AS$12,"",IF(T=AT$11,EXP(-IRTree!AS73*h)*AS139,EXP(-IRTree!AS73*h)*((AT72+AT73)/2+AS139))))</f>
        <v/>
      </c>
      <c r="AT72" s="3" t="str">
        <f>IF(T&lt;=AT$11,"",IF($A72&gt;AT$12,"",IF(T=AU$11,EXP(-IRTree!AT73*h)*AT139,EXP(-IRTree!AT73*h)*((AU72+AU73)/2+AT139))))</f>
        <v/>
      </c>
      <c r="AU72" s="3" t="str">
        <f>IF(T&lt;=AU$11,"",IF($A72&gt;AU$12,"",IF(T=AV$11,EXP(-IRTree!AU73*h)*AU139,EXP(-IRTree!AU73*h)*((AV72+AV73)/2+AU139))))</f>
        <v/>
      </c>
      <c r="AV72" s="3" t="str">
        <f>IF(T&lt;=AV$11,"",IF($A72&gt;AV$12,"",IF(T=AW$11,EXP(-IRTree!AV73*h)*AV139,EXP(-IRTree!AV73*h)*((AW72+AW73)/2+AV139))))</f>
        <v/>
      </c>
      <c r="AW72" s="3" t="str">
        <f>IF(T&lt;=AW$11,"",IF($A72&gt;AW$12,"",IF(T=AX$11,EXP(-IRTree!AW73*h)*AW139,EXP(-IRTree!AW73*h)*((AX72+AX73)/2+AW139))))</f>
        <v/>
      </c>
      <c r="AX72" s="3" t="str">
        <f>IF(T&lt;=AX$11,"",IF($A72&gt;AX$12,"",IF(T=AY$11,EXP(-IRTree!AX73*h)*AX139,EXP(-IRTree!AX73*h)*((AY72+AY73)/2+AX139))))</f>
        <v/>
      </c>
      <c r="AY72" s="3" t="str">
        <f>IF(T&lt;=AY$11,"",IF($A72&gt;AY$12,"",IF(T=AZ$11,EXP(-IRTree!AY73*h)*AY139,EXP(-IRTree!AY73*h)*((AZ72+AZ73)/2+AY139))))</f>
        <v/>
      </c>
      <c r="AZ72" s="3" t="str">
        <f>IF(T&lt;=AZ$11,"",IF($A72&gt;AZ$12,"",IF(T=BA$11,EXP(-IRTree!AZ73*h)*AZ139,EXP(-IRTree!AZ73*h)*((BA72+BA73)/2+AZ139))))</f>
        <v/>
      </c>
      <c r="BA72" s="3" t="str">
        <f>IF(T&lt;=BA$11,"",IF($A72&gt;BA$12,"",IF(T=BB$11,EXP(-IRTree!BA73*h)*BA139,EXP(-IRTree!BA73*h)*((BB72+BB73)/2+BA139))))</f>
        <v/>
      </c>
      <c r="BB72" s="3" t="str">
        <f>IF(T&lt;=BB$11,"",IF($A72&gt;BB$12,"",IF(T=BC$11,EXP(-IRTree!BB73*h)*BB139,EXP(-IRTree!BB73*h)*((BC72+BC73)/2+BB139))))</f>
        <v/>
      </c>
      <c r="BC72" s="3" t="str">
        <f>IF(T&lt;=BC$11,"",IF($A72&gt;BC$12,"",IF(T=BD$11,EXP(-IRTree!BC73*h)*BC139,EXP(-IRTree!BC73*h)*((BD72+BD73)/2+BC139))))</f>
        <v/>
      </c>
      <c r="BD72" s="3" t="str">
        <f>IF(T&lt;=BD$11,"",IF($A72&gt;BD$12,"",IF(T=BE$11,EXP(-IRTree!BD73*h)*BD139,EXP(-IRTree!BD73*h)*((BE72+BE73)/2+BD139))))</f>
        <v/>
      </c>
      <c r="BE72" s="3" t="str">
        <f>IF(T&lt;=BE$11,"",IF($A72&gt;BE$12,"",IF(T=BF$11,EXP(-IRTree!BE73*h)*BE139,EXP(-IRTree!BE73*h)*((BF72+BF73)/2+BE139))))</f>
        <v/>
      </c>
      <c r="BF72" s="3" t="str">
        <f>IF(T&lt;=BF$11,"",IF($A72&gt;BF$12,"",IF(T=BG$11,EXP(-IRTree!BF73*h)*BF139,EXP(-IRTree!BF73*h)*((BG72+BG73)/2+BF139))))</f>
        <v/>
      </c>
      <c r="BG72" s="3" t="str">
        <f>IF(T&lt;=BG$11,"",IF($A72&gt;BG$12,"",IF(T=BH$11,EXP(-IRTree!BG73*h)*BG139,EXP(-IRTree!BG73*h)*((BH72+BH73)/2+BG139))))</f>
        <v/>
      </c>
      <c r="BH72" s="3" t="str">
        <f>IF(T&lt;=BH$11,"",IF($A72&gt;BH$12,"",IF(T=BI$11,EXP(-IRTree!BH73*h)*BH139,EXP(-IRTree!BH73*h)*((BI72+BI73)/2+BH139))))</f>
        <v/>
      </c>
      <c r="BI72" s="3" t="str">
        <f>IF(T&lt;=BI$11,"",IF($A72&gt;BI$12,"",IF(T=BJ$11,EXP(-IRTree!BI73*h)*BI139,EXP(-IRTree!BI73*h)*((BJ72+BJ73)/2+BI139))))</f>
        <v/>
      </c>
      <c r="BJ72" s="3" t="str">
        <f>IF(T&lt;=BJ$11,"",IF($A72&gt;BJ$12,"",IF(T=BK$11,EXP(-IRTree!BJ73*h)*BJ139,EXP(-IRTree!BJ73*h)*((BK72+BK73)/2+BJ139))))</f>
        <v/>
      </c>
    </row>
    <row r="73" spans="1:62">
      <c r="A73" s="12">
        <f t="shared" si="2"/>
        <v>60</v>
      </c>
      <c r="B73" s="3" t="str">
        <f>IF(T&lt;=B$11,"",IF($A73&gt;B$12,"",IF(T=C$11,EXP(-IRTree!B74*h)*B140,EXP(-IRTree!B74*h)*((C73+C74)/2+B140))))</f>
        <v/>
      </c>
      <c r="C73" s="3" t="str">
        <f>IF(T&lt;=C$11,"",IF($A73&gt;C$12,"",IF(T=D$11,EXP(-IRTree!C74*h)*C140,EXP(-IRTree!C74*h)*((D73+D74)/2+C140))))</f>
        <v/>
      </c>
      <c r="D73" s="3" t="str">
        <f>IF(T&lt;=D$11,"",IF($A73&gt;D$12,"",IF(T=E$11,EXP(-IRTree!D74*h)*D140,EXP(-IRTree!D74*h)*((E73+E74)/2+D140))))</f>
        <v/>
      </c>
      <c r="E73" s="3" t="str">
        <f>IF(T&lt;=E$11,"",IF($A73&gt;E$12,"",IF(T=F$11,EXP(-IRTree!E74*h)*E140,EXP(-IRTree!E74*h)*((F73+F74)/2+E140))))</f>
        <v/>
      </c>
      <c r="F73" s="3" t="str">
        <f>IF(T&lt;=F$11,"",IF($A73&gt;F$12,"",IF(T=G$11,EXP(-IRTree!F74*h)*F140,EXP(-IRTree!F74*h)*((G73+G74)/2+F140))))</f>
        <v/>
      </c>
      <c r="G73" s="3" t="str">
        <f>IF(T&lt;=G$11,"",IF($A73&gt;G$12,"",IF(T=H$11,EXP(-IRTree!G74*h)*G140,EXP(-IRTree!G74*h)*((H73+H74)/2+G140))))</f>
        <v/>
      </c>
      <c r="H73" s="3" t="str">
        <f>IF(T&lt;=H$11,"",IF($A73&gt;H$12,"",IF(T=I$11,EXP(-IRTree!H74*h)*H140,EXP(-IRTree!H74*h)*((I73+I74)/2+H140))))</f>
        <v/>
      </c>
      <c r="I73" s="3" t="str">
        <f>IF(T&lt;=I$11,"",IF($A73&gt;I$12,"",IF(T=J$11,EXP(-IRTree!I74*h)*I140,EXP(-IRTree!I74*h)*((J73+J74)/2+I140))))</f>
        <v/>
      </c>
      <c r="J73" s="3" t="str">
        <f>IF(T&lt;=J$11,"",IF($A73&gt;J$12,"",IF(T=K$11,EXP(-IRTree!J74*h)*J140,EXP(-IRTree!J74*h)*((K73+K74)/2+J140))))</f>
        <v/>
      </c>
      <c r="K73" s="3" t="str">
        <f>IF(T&lt;=K$11,"",IF($A73&gt;K$12,"",IF(T=L$11,EXP(-IRTree!K74*h)*K140,EXP(-IRTree!K74*h)*((L73+L74)/2+K140))))</f>
        <v/>
      </c>
      <c r="L73" s="3" t="str">
        <f>IF(T&lt;=L$11,"",IF($A73&gt;L$12,"",IF(T=M$11,EXP(-IRTree!L74*h)*L140,EXP(-IRTree!L74*h)*((M73+M74)/2+L140))))</f>
        <v/>
      </c>
      <c r="M73" s="3" t="str">
        <f>IF(T&lt;=M$11,"",IF($A73&gt;M$12,"",IF(T=N$11,EXP(-IRTree!M74*h)*M140,EXP(-IRTree!M74*h)*((N73+N74)/2+M140))))</f>
        <v/>
      </c>
      <c r="N73" s="3" t="str">
        <f>IF(T&lt;=N$11,"",IF($A73&gt;N$12,"",IF(T=O$11,EXP(-IRTree!N74*h)*N140,EXP(-IRTree!N74*h)*((O73+O74)/2+N140))))</f>
        <v/>
      </c>
      <c r="O73" s="3" t="str">
        <f>IF(T&lt;=O$11,"",IF($A73&gt;O$12,"",IF(T=P$11,EXP(-IRTree!O74*h)*O140,EXP(-IRTree!O74*h)*((P73+P74)/2+O140))))</f>
        <v/>
      </c>
      <c r="P73" s="3" t="str">
        <f>IF(T&lt;=P$11,"",IF($A73&gt;P$12,"",IF(T=Q$11,EXP(-IRTree!P74*h)*P140,EXP(-IRTree!P74*h)*((Q73+Q74)/2+P140))))</f>
        <v/>
      </c>
      <c r="Q73" s="3" t="str">
        <f>IF(T&lt;=Q$11,"",IF($A73&gt;Q$12,"",IF(T=R$11,EXP(-IRTree!Q74*h)*Q140,EXP(-IRTree!Q74*h)*((R73+R74)/2+Q140))))</f>
        <v/>
      </c>
      <c r="R73" s="3" t="str">
        <f>IF(T&lt;=R$11,"",IF($A73&gt;R$12,"",IF(T=S$11,EXP(-IRTree!R74*h)*R140,EXP(-IRTree!R74*h)*((S73+S74)/2+R140))))</f>
        <v/>
      </c>
      <c r="S73" s="3" t="str">
        <f>IF(T&lt;=S$11,"",IF($A73&gt;S$12,"",IF(T=T$11,EXP(-IRTree!S74*h)*S140,EXP(-IRTree!S74*h)*((T73+T74)/2+S140))))</f>
        <v/>
      </c>
      <c r="T73" s="3" t="str">
        <f>IF(T&lt;=T$11,"",IF($A73&gt;T$12,"",IF(T=U$11,EXP(-IRTree!T74*h)*T140,EXP(-IRTree!T74*h)*((U73+U74)/2+T140))))</f>
        <v/>
      </c>
      <c r="U73" s="3" t="str">
        <f>IF(T&lt;=U$11,"",IF($A73&gt;U$12,"",IF(T=V$11,EXP(-IRTree!U74*h)*U140,EXP(-IRTree!U74*h)*((V73+V74)/2+U140))))</f>
        <v/>
      </c>
      <c r="V73" s="3" t="str">
        <f>IF(T&lt;=V$11,"",IF($A73&gt;V$12,"",IF(T=W$11,EXP(-IRTree!V74*h)*V140,EXP(-IRTree!V74*h)*((W73+W74)/2+V140))))</f>
        <v/>
      </c>
      <c r="W73" s="3" t="str">
        <f>IF(T&lt;=W$11,"",IF($A73&gt;W$12,"",IF(T=X$11,EXP(-IRTree!W74*h)*W140,EXP(-IRTree!W74*h)*((X73+X74)/2+W140))))</f>
        <v/>
      </c>
      <c r="X73" s="3" t="str">
        <f>IF(T&lt;=X$11,"",IF($A73&gt;X$12,"",IF(T=Y$11,EXP(-IRTree!X74*h)*X140,EXP(-IRTree!X74*h)*((Y73+Y74)/2+X140))))</f>
        <v/>
      </c>
      <c r="Y73" s="3" t="str">
        <f>IF(T&lt;=Y$11,"",IF($A73&gt;Y$12,"",IF(T=Z$11,EXP(-IRTree!Y74*h)*Y140,EXP(-IRTree!Y74*h)*((Z73+Z74)/2+Y140))))</f>
        <v/>
      </c>
      <c r="Z73" s="3" t="str">
        <f>IF(T&lt;=Z$11,"",IF($A73&gt;Z$12,"",IF(T=AA$11,EXP(-IRTree!Z74*h)*Z140,EXP(-IRTree!Z74*h)*((AA73+AA74)/2+Z140))))</f>
        <v/>
      </c>
      <c r="AA73" s="3" t="str">
        <f>IF(T&lt;=AA$11,"",IF($A73&gt;AA$12,"",IF(T=AB$11,EXP(-IRTree!AA74*h)*AA140,EXP(-IRTree!AA74*h)*((AB73+AB74)/2+AA140))))</f>
        <v/>
      </c>
      <c r="AB73" s="3" t="str">
        <f>IF(T&lt;=AB$11,"",IF($A73&gt;AB$12,"",IF(T=AC$11,EXP(-IRTree!AB74*h)*AB140,EXP(-IRTree!AB74*h)*((AC73+AC74)/2+AB140))))</f>
        <v/>
      </c>
      <c r="AC73" s="3" t="str">
        <f>IF(T&lt;=AC$11,"",IF($A73&gt;AC$12,"",IF(T=AD$11,EXP(-IRTree!AC74*h)*AC140,EXP(-IRTree!AC74*h)*((AD73+AD74)/2+AC140))))</f>
        <v/>
      </c>
      <c r="AD73" s="3" t="str">
        <f>IF(T&lt;=AD$11,"",IF($A73&gt;AD$12,"",IF(T=AE$11,EXP(-IRTree!AD74*h)*AD140,EXP(-IRTree!AD74*h)*((AE73+AE74)/2+AD140))))</f>
        <v/>
      </c>
      <c r="AE73" s="3" t="str">
        <f>IF(T&lt;=AE$11,"",IF($A73&gt;AE$12,"",IF(T=AF$11,EXP(-IRTree!AE74*h)*AE140,EXP(-IRTree!AE74*h)*((AF73+AF74)/2+AE140))))</f>
        <v/>
      </c>
      <c r="AF73" s="3" t="str">
        <f>IF(T&lt;=AF$11,"",IF($A73&gt;AF$12,"",IF(T=AG$11,EXP(-IRTree!AF74*h)*AF140,EXP(-IRTree!AF74*h)*((AG73+AG74)/2+AF140))))</f>
        <v/>
      </c>
      <c r="AG73" s="3" t="str">
        <f>IF(T&lt;=AG$11,"",IF($A73&gt;AG$12,"",IF(T=AH$11,EXP(-IRTree!AG74*h)*AG140,EXP(-IRTree!AG74*h)*((AH73+AH74)/2+AG140))))</f>
        <v/>
      </c>
      <c r="AH73" s="3" t="str">
        <f>IF(T&lt;=AH$11,"",IF($A73&gt;AH$12,"",IF(T=AI$11,EXP(-IRTree!AH74*h)*AH140,EXP(-IRTree!AH74*h)*((AI73+AI74)/2+AH140))))</f>
        <v/>
      </c>
      <c r="AI73" s="3" t="str">
        <f>IF(T&lt;=AI$11,"",IF($A73&gt;AI$12,"",IF(T=AJ$11,EXP(-IRTree!AI74*h)*AI140,EXP(-IRTree!AI74*h)*((AJ73+AJ74)/2+AI140))))</f>
        <v/>
      </c>
      <c r="AJ73" s="3" t="str">
        <f>IF(T&lt;=AJ$11,"",IF($A73&gt;AJ$12,"",IF(T=AK$11,EXP(-IRTree!AJ74*h)*AJ140,EXP(-IRTree!AJ74*h)*((AK73+AK74)/2+AJ140))))</f>
        <v/>
      </c>
      <c r="AK73" s="3" t="str">
        <f>IF(T&lt;=AK$11,"",IF($A73&gt;AK$12,"",IF(T=AL$11,EXP(-IRTree!AK74*h)*AK140,EXP(-IRTree!AK74*h)*((AL73+AL74)/2+AK140))))</f>
        <v/>
      </c>
      <c r="AL73" s="3" t="str">
        <f>IF(T&lt;=AL$11,"",IF($A73&gt;AL$12,"",IF(T=AM$11,EXP(-IRTree!AL74*h)*AL140,EXP(-IRTree!AL74*h)*((AM73+AM74)/2+AL140))))</f>
        <v/>
      </c>
      <c r="AM73" s="3" t="str">
        <f>IF(T&lt;=AM$11,"",IF($A73&gt;AM$12,"",IF(T=AN$11,EXP(-IRTree!AM74*h)*AM140,EXP(-IRTree!AM74*h)*((AN73+AN74)/2+AM140))))</f>
        <v/>
      </c>
      <c r="AN73" s="3" t="str">
        <f>IF(T&lt;=AN$11,"",IF($A73&gt;AN$12,"",IF(T=AO$11,EXP(-IRTree!AN74*h)*AN140,EXP(-IRTree!AN74*h)*((AO73+AO74)/2+AN140))))</f>
        <v/>
      </c>
      <c r="AO73" s="3" t="str">
        <f>IF(T&lt;=AO$11,"",IF($A73&gt;AO$12,"",IF(T=AP$11,EXP(-IRTree!AO74*h)*AO140,EXP(-IRTree!AO74*h)*((AP73+AP74)/2+AO140))))</f>
        <v/>
      </c>
      <c r="AP73" s="3" t="str">
        <f>IF(T&lt;=AP$11,"",IF($A73&gt;AP$12,"",IF(T=AQ$11,EXP(-IRTree!AP74*h)*AP140,EXP(-IRTree!AP74*h)*((AQ73+AQ74)/2+AP140))))</f>
        <v/>
      </c>
      <c r="AQ73" s="3" t="str">
        <f>IF(T&lt;=AQ$11,"",IF($A73&gt;AQ$12,"",IF(T=AR$11,EXP(-IRTree!AQ74*h)*AQ140,EXP(-IRTree!AQ74*h)*((AR73+AR74)/2+AQ140))))</f>
        <v/>
      </c>
      <c r="AR73" s="3" t="str">
        <f>IF(T&lt;=AR$11,"",IF($A73&gt;AR$12,"",IF(T=AS$11,EXP(-IRTree!AR74*h)*AR140,EXP(-IRTree!AR74*h)*((AS73+AS74)/2+AR140))))</f>
        <v/>
      </c>
      <c r="AS73" s="3" t="str">
        <f>IF(T&lt;=AS$11,"",IF($A73&gt;AS$12,"",IF(T=AT$11,EXP(-IRTree!AS74*h)*AS140,EXP(-IRTree!AS74*h)*((AT73+AT74)/2+AS140))))</f>
        <v/>
      </c>
      <c r="AT73" s="3" t="str">
        <f>IF(T&lt;=AT$11,"",IF($A73&gt;AT$12,"",IF(T=AU$11,EXP(-IRTree!AT74*h)*AT140,EXP(-IRTree!AT74*h)*((AU73+AU74)/2+AT140))))</f>
        <v/>
      </c>
      <c r="AU73" s="3" t="str">
        <f>IF(T&lt;=AU$11,"",IF($A73&gt;AU$12,"",IF(T=AV$11,EXP(-IRTree!AU74*h)*AU140,EXP(-IRTree!AU74*h)*((AV73+AV74)/2+AU140))))</f>
        <v/>
      </c>
      <c r="AV73" s="3" t="str">
        <f>IF(T&lt;=AV$11,"",IF($A73&gt;AV$12,"",IF(T=AW$11,EXP(-IRTree!AV74*h)*AV140,EXP(-IRTree!AV74*h)*((AW73+AW74)/2+AV140))))</f>
        <v/>
      </c>
      <c r="AW73" s="3" t="str">
        <f>IF(T&lt;=AW$11,"",IF($A73&gt;AW$12,"",IF(T=AX$11,EXP(-IRTree!AW74*h)*AW140,EXP(-IRTree!AW74*h)*((AX73+AX74)/2+AW140))))</f>
        <v/>
      </c>
      <c r="AX73" s="3" t="str">
        <f>IF(T&lt;=AX$11,"",IF($A73&gt;AX$12,"",IF(T=AY$11,EXP(-IRTree!AX74*h)*AX140,EXP(-IRTree!AX74*h)*((AY73+AY74)/2+AX140))))</f>
        <v/>
      </c>
      <c r="AY73" s="3" t="str">
        <f>IF(T&lt;=AY$11,"",IF($A73&gt;AY$12,"",IF(T=AZ$11,EXP(-IRTree!AY74*h)*AY140,EXP(-IRTree!AY74*h)*((AZ73+AZ74)/2+AY140))))</f>
        <v/>
      </c>
      <c r="AZ73" s="3" t="str">
        <f>IF(T&lt;=AZ$11,"",IF($A73&gt;AZ$12,"",IF(T=BA$11,EXP(-IRTree!AZ74*h)*AZ140,EXP(-IRTree!AZ74*h)*((BA73+BA74)/2+AZ140))))</f>
        <v/>
      </c>
      <c r="BA73" s="3" t="str">
        <f>IF(T&lt;=BA$11,"",IF($A73&gt;BA$12,"",IF(T=BB$11,EXP(-IRTree!BA74*h)*BA140,EXP(-IRTree!BA74*h)*((BB73+BB74)/2+BA140))))</f>
        <v/>
      </c>
      <c r="BB73" s="3" t="str">
        <f>IF(T&lt;=BB$11,"",IF($A73&gt;BB$12,"",IF(T=BC$11,EXP(-IRTree!BB74*h)*BB140,EXP(-IRTree!BB74*h)*((BC73+BC74)/2+BB140))))</f>
        <v/>
      </c>
      <c r="BC73" s="3" t="str">
        <f>IF(T&lt;=BC$11,"",IF($A73&gt;BC$12,"",IF(T=BD$11,EXP(-IRTree!BC74*h)*BC140,EXP(-IRTree!BC74*h)*((BD73+BD74)/2+BC140))))</f>
        <v/>
      </c>
      <c r="BD73" s="3" t="str">
        <f>IF(T&lt;=BD$11,"",IF($A73&gt;BD$12,"",IF(T=BE$11,EXP(-IRTree!BD74*h)*BD140,EXP(-IRTree!BD74*h)*((BE73+BE74)/2+BD140))))</f>
        <v/>
      </c>
      <c r="BE73" s="3" t="str">
        <f>IF(T&lt;=BE$11,"",IF($A73&gt;BE$12,"",IF(T=BF$11,EXP(-IRTree!BE74*h)*BE140,EXP(-IRTree!BE74*h)*((BF73+BF74)/2+BE140))))</f>
        <v/>
      </c>
      <c r="BF73" s="3" t="str">
        <f>IF(T&lt;=BF$11,"",IF($A73&gt;BF$12,"",IF(T=BG$11,EXP(-IRTree!BF74*h)*BF140,EXP(-IRTree!BF74*h)*((BG73+BG74)/2+BF140))))</f>
        <v/>
      </c>
      <c r="BG73" s="3" t="str">
        <f>IF(T&lt;=BG$11,"",IF($A73&gt;BG$12,"",IF(T=BH$11,EXP(-IRTree!BG74*h)*BG140,EXP(-IRTree!BG74*h)*((BH73+BH74)/2+BG140))))</f>
        <v/>
      </c>
      <c r="BH73" s="3" t="str">
        <f>IF(T&lt;=BH$11,"",IF($A73&gt;BH$12,"",IF(T=BI$11,EXP(-IRTree!BH74*h)*BH140,EXP(-IRTree!BH74*h)*((BI73+BI74)/2+BH140))))</f>
        <v/>
      </c>
      <c r="BI73" s="3" t="str">
        <f>IF(T&lt;=BI$11,"",IF($A73&gt;BI$12,"",IF(T=BJ$11,EXP(-IRTree!BI74*h)*BI140,EXP(-IRTree!BI74*h)*((BJ73+BJ74)/2+BI140))))</f>
        <v/>
      </c>
      <c r="BJ73" s="3" t="str">
        <f>IF(T&lt;=BJ$11,"",IF($A73&gt;BJ$12,"",IF(T=BK$11,EXP(-IRTree!BJ74*h)*BJ140,EXP(-IRTree!BJ74*h)*((BK73+BK74)/2+BJ140))))</f>
        <v/>
      </c>
    </row>
    <row r="74" spans="1:62">
      <c r="F74" s="19"/>
    </row>
    <row r="76" spans="1:62">
      <c r="G76" t="s">
        <v>20</v>
      </c>
    </row>
    <row r="78" spans="1:62" s="14" customFormat="1">
      <c r="A78" s="14" t="s">
        <v>2</v>
      </c>
      <c r="B78" s="18">
        <f t="shared" ref="B78:BJ78" si="3">B79*h</f>
        <v>0</v>
      </c>
      <c r="C78" s="18">
        <f t="shared" si="3"/>
        <v>0.25</v>
      </c>
      <c r="D78" s="18">
        <f t="shared" si="3"/>
        <v>0.5</v>
      </c>
      <c r="E78" s="18">
        <f t="shared" si="3"/>
        <v>0.75</v>
      </c>
      <c r="F78" s="18">
        <f t="shared" si="3"/>
        <v>1</v>
      </c>
      <c r="G78" s="18">
        <f t="shared" si="3"/>
        <v>1.25</v>
      </c>
      <c r="H78" s="18">
        <f t="shared" si="3"/>
        <v>1.5</v>
      </c>
      <c r="I78" s="18">
        <f t="shared" si="3"/>
        <v>1.75</v>
      </c>
      <c r="J78" s="18">
        <f t="shared" si="3"/>
        <v>2</v>
      </c>
      <c r="K78" s="18">
        <f t="shared" si="3"/>
        <v>2.25</v>
      </c>
      <c r="L78" s="18">
        <f t="shared" si="3"/>
        <v>2.5</v>
      </c>
      <c r="M78" s="18">
        <f t="shared" si="3"/>
        <v>2.75</v>
      </c>
      <c r="N78" s="18">
        <f t="shared" si="3"/>
        <v>3</v>
      </c>
      <c r="O78" s="18">
        <f t="shared" si="3"/>
        <v>3.25</v>
      </c>
      <c r="P78" s="18">
        <f t="shared" si="3"/>
        <v>3.5</v>
      </c>
      <c r="Q78" s="18">
        <f t="shared" si="3"/>
        <v>3.75</v>
      </c>
      <c r="R78" s="18">
        <f t="shared" si="3"/>
        <v>4</v>
      </c>
      <c r="S78" s="18">
        <f t="shared" si="3"/>
        <v>4.25</v>
      </c>
      <c r="T78" s="18">
        <f t="shared" si="3"/>
        <v>4.5</v>
      </c>
      <c r="U78" s="18">
        <f t="shared" si="3"/>
        <v>4.75</v>
      </c>
      <c r="V78" s="18">
        <f t="shared" si="3"/>
        <v>5</v>
      </c>
      <c r="W78" s="18">
        <f t="shared" si="3"/>
        <v>5.25</v>
      </c>
      <c r="X78" s="18">
        <f t="shared" si="3"/>
        <v>5.5</v>
      </c>
      <c r="Y78" s="18">
        <f t="shared" si="3"/>
        <v>5.75</v>
      </c>
      <c r="Z78" s="18">
        <f t="shared" si="3"/>
        <v>6</v>
      </c>
      <c r="AA78" s="18">
        <f t="shared" si="3"/>
        <v>6.25</v>
      </c>
      <c r="AB78" s="18">
        <f t="shared" si="3"/>
        <v>6.5</v>
      </c>
      <c r="AC78" s="18">
        <f t="shared" si="3"/>
        <v>6.75</v>
      </c>
      <c r="AD78" s="18">
        <f t="shared" si="3"/>
        <v>7</v>
      </c>
      <c r="AE78" s="18">
        <f t="shared" si="3"/>
        <v>7.25</v>
      </c>
      <c r="AF78" s="18">
        <f t="shared" si="3"/>
        <v>7.5</v>
      </c>
      <c r="AG78" s="18">
        <f t="shared" si="3"/>
        <v>7.75</v>
      </c>
      <c r="AH78" s="18">
        <f t="shared" si="3"/>
        <v>8</v>
      </c>
      <c r="AI78" s="18">
        <f t="shared" si="3"/>
        <v>8.25</v>
      </c>
      <c r="AJ78" s="18">
        <f t="shared" si="3"/>
        <v>8.5</v>
      </c>
      <c r="AK78" s="18">
        <f t="shared" si="3"/>
        <v>8.75</v>
      </c>
      <c r="AL78" s="18">
        <f t="shared" si="3"/>
        <v>9</v>
      </c>
      <c r="AM78" s="18">
        <f t="shared" si="3"/>
        <v>9.25</v>
      </c>
      <c r="AN78" s="18">
        <f t="shared" si="3"/>
        <v>9.5</v>
      </c>
      <c r="AO78" s="18">
        <f t="shared" si="3"/>
        <v>9.75</v>
      </c>
      <c r="AP78" s="18">
        <f t="shared" si="3"/>
        <v>10</v>
      </c>
      <c r="AQ78" s="18">
        <f t="shared" si="3"/>
        <v>10.25</v>
      </c>
      <c r="AR78" s="18">
        <f t="shared" si="3"/>
        <v>10.5</v>
      </c>
      <c r="AS78" s="18">
        <f t="shared" si="3"/>
        <v>10.75</v>
      </c>
      <c r="AT78" s="18">
        <f t="shared" si="3"/>
        <v>11</v>
      </c>
      <c r="AU78" s="18">
        <f t="shared" si="3"/>
        <v>11.25</v>
      </c>
      <c r="AV78" s="18">
        <f t="shared" si="3"/>
        <v>11.5</v>
      </c>
      <c r="AW78" s="18">
        <f t="shared" si="3"/>
        <v>11.75</v>
      </c>
      <c r="AX78" s="18">
        <f t="shared" si="3"/>
        <v>12</v>
      </c>
      <c r="AY78" s="18">
        <f t="shared" si="3"/>
        <v>12.25</v>
      </c>
      <c r="AZ78" s="18">
        <f t="shared" si="3"/>
        <v>12.5</v>
      </c>
      <c r="BA78" s="18">
        <f t="shared" si="3"/>
        <v>12.75</v>
      </c>
      <c r="BB78" s="18">
        <f t="shared" si="3"/>
        <v>13</v>
      </c>
      <c r="BC78" s="18">
        <f t="shared" si="3"/>
        <v>13.25</v>
      </c>
      <c r="BD78" s="18">
        <f t="shared" si="3"/>
        <v>13.5</v>
      </c>
      <c r="BE78" s="18">
        <f t="shared" si="3"/>
        <v>13.75</v>
      </c>
      <c r="BF78" s="18">
        <f t="shared" si="3"/>
        <v>14</v>
      </c>
      <c r="BG78" s="18">
        <f t="shared" si="3"/>
        <v>14.25</v>
      </c>
      <c r="BH78" s="18">
        <f t="shared" si="3"/>
        <v>14.5</v>
      </c>
      <c r="BI78" s="18">
        <f t="shared" si="3"/>
        <v>14.75</v>
      </c>
      <c r="BJ78" s="18">
        <f t="shared" si="3"/>
        <v>15</v>
      </c>
    </row>
    <row r="79" spans="1:62">
      <c r="A79" s="4" t="s">
        <v>1</v>
      </c>
      <c r="B79" s="5">
        <v>0</v>
      </c>
      <c r="C79" s="5">
        <f>B79+1</f>
        <v>1</v>
      </c>
      <c r="D79" s="5">
        <f t="shared" ref="D79:BJ79" si="4">C79+1</f>
        <v>2</v>
      </c>
      <c r="E79" s="5">
        <f t="shared" si="4"/>
        <v>3</v>
      </c>
      <c r="F79" s="5">
        <f t="shared" si="4"/>
        <v>4</v>
      </c>
      <c r="G79" s="5">
        <f t="shared" si="4"/>
        <v>5</v>
      </c>
      <c r="H79" s="5">
        <f t="shared" si="4"/>
        <v>6</v>
      </c>
      <c r="I79" s="5">
        <f t="shared" si="4"/>
        <v>7</v>
      </c>
      <c r="J79" s="5">
        <f t="shared" si="4"/>
        <v>8</v>
      </c>
      <c r="K79" s="5">
        <f t="shared" si="4"/>
        <v>9</v>
      </c>
      <c r="L79" s="5">
        <f t="shared" si="4"/>
        <v>10</v>
      </c>
      <c r="M79" s="5">
        <f t="shared" si="4"/>
        <v>11</v>
      </c>
      <c r="N79" s="5">
        <f t="shared" si="4"/>
        <v>12</v>
      </c>
      <c r="O79" s="5">
        <f t="shared" si="4"/>
        <v>13</v>
      </c>
      <c r="P79" s="5">
        <f t="shared" si="4"/>
        <v>14</v>
      </c>
      <c r="Q79" s="5">
        <f t="shared" si="4"/>
        <v>15</v>
      </c>
      <c r="R79" s="5">
        <f t="shared" si="4"/>
        <v>16</v>
      </c>
      <c r="S79" s="5">
        <f t="shared" si="4"/>
        <v>17</v>
      </c>
      <c r="T79" s="5">
        <f t="shared" si="4"/>
        <v>18</v>
      </c>
      <c r="U79" s="5">
        <f t="shared" si="4"/>
        <v>19</v>
      </c>
      <c r="V79" s="5">
        <f t="shared" si="4"/>
        <v>20</v>
      </c>
      <c r="W79" s="5">
        <f t="shared" si="4"/>
        <v>21</v>
      </c>
      <c r="X79" s="5">
        <f t="shared" si="4"/>
        <v>22</v>
      </c>
      <c r="Y79" s="5">
        <f t="shared" si="4"/>
        <v>23</v>
      </c>
      <c r="Z79" s="5">
        <f t="shared" si="4"/>
        <v>24</v>
      </c>
      <c r="AA79" s="5">
        <f t="shared" si="4"/>
        <v>25</v>
      </c>
      <c r="AB79" s="5">
        <f t="shared" si="4"/>
        <v>26</v>
      </c>
      <c r="AC79" s="5">
        <f t="shared" si="4"/>
        <v>27</v>
      </c>
      <c r="AD79" s="5">
        <f t="shared" si="4"/>
        <v>28</v>
      </c>
      <c r="AE79" s="5">
        <f t="shared" si="4"/>
        <v>29</v>
      </c>
      <c r="AF79" s="5">
        <f t="shared" si="4"/>
        <v>30</v>
      </c>
      <c r="AG79" s="5">
        <f t="shared" si="4"/>
        <v>31</v>
      </c>
      <c r="AH79" s="5">
        <f t="shared" si="4"/>
        <v>32</v>
      </c>
      <c r="AI79" s="5">
        <f t="shared" si="4"/>
        <v>33</v>
      </c>
      <c r="AJ79" s="5">
        <f t="shared" si="4"/>
        <v>34</v>
      </c>
      <c r="AK79" s="5">
        <f t="shared" si="4"/>
        <v>35</v>
      </c>
      <c r="AL79" s="5">
        <f t="shared" si="4"/>
        <v>36</v>
      </c>
      <c r="AM79" s="5">
        <f t="shared" si="4"/>
        <v>37</v>
      </c>
      <c r="AN79" s="5">
        <f t="shared" si="4"/>
        <v>38</v>
      </c>
      <c r="AO79" s="5">
        <f t="shared" si="4"/>
        <v>39</v>
      </c>
      <c r="AP79" s="5">
        <f t="shared" si="4"/>
        <v>40</v>
      </c>
      <c r="AQ79" s="5">
        <f t="shared" si="4"/>
        <v>41</v>
      </c>
      <c r="AR79" s="5">
        <f t="shared" si="4"/>
        <v>42</v>
      </c>
      <c r="AS79" s="5">
        <f t="shared" si="4"/>
        <v>43</v>
      </c>
      <c r="AT79" s="5">
        <f t="shared" si="4"/>
        <v>44</v>
      </c>
      <c r="AU79" s="5">
        <f t="shared" si="4"/>
        <v>45</v>
      </c>
      <c r="AV79" s="5">
        <f t="shared" si="4"/>
        <v>46</v>
      </c>
      <c r="AW79" s="5">
        <f t="shared" si="4"/>
        <v>47</v>
      </c>
      <c r="AX79" s="5">
        <f t="shared" si="4"/>
        <v>48</v>
      </c>
      <c r="AY79" s="5">
        <f t="shared" si="4"/>
        <v>49</v>
      </c>
      <c r="AZ79" s="5">
        <f t="shared" si="4"/>
        <v>50</v>
      </c>
      <c r="BA79" s="5">
        <f t="shared" si="4"/>
        <v>51</v>
      </c>
      <c r="BB79" s="5">
        <f t="shared" si="4"/>
        <v>52</v>
      </c>
      <c r="BC79" s="5">
        <f t="shared" si="4"/>
        <v>53</v>
      </c>
      <c r="BD79" s="5">
        <f t="shared" si="4"/>
        <v>54</v>
      </c>
      <c r="BE79" s="5">
        <f t="shared" si="4"/>
        <v>55</v>
      </c>
      <c r="BF79" s="5">
        <f t="shared" si="4"/>
        <v>56</v>
      </c>
      <c r="BG79" s="5">
        <f t="shared" si="4"/>
        <v>57</v>
      </c>
      <c r="BH79" s="5">
        <f t="shared" si="4"/>
        <v>58</v>
      </c>
      <c r="BI79" s="5">
        <f t="shared" si="4"/>
        <v>59</v>
      </c>
      <c r="BJ79" s="5">
        <f t="shared" si="4"/>
        <v>60</v>
      </c>
    </row>
    <row r="80" spans="1:62">
      <c r="A80" s="21">
        <v>0</v>
      </c>
      <c r="B80">
        <f>IF($A80&gt;B$79,"",IF(T&lt;=B$11,"",100*h*MAX((EXP(IRTree!B14*h)-1)/h -$D$6,0)))</f>
        <v>0</v>
      </c>
      <c r="C80">
        <f>IF($A80&gt;C$79,"",IF(T&lt;=C$11,"",100*h*MAX((EXP(IRTree!C14*h)-1)/h -$D$6,0)))</f>
        <v>0</v>
      </c>
      <c r="D80">
        <f>IF($A80&gt;D$79,"",IF(T&lt;=D$11,"",100*h*MAX((EXP(IRTree!D14*h)-1)/h -$D$6,0)))</f>
        <v>0</v>
      </c>
      <c r="E80">
        <f>IF($A80&gt;E$79,"",IF(T&lt;=E$11,"",100*h*MAX((EXP(IRTree!E14*h)-1)/h -$D$6,0)))</f>
        <v>0</v>
      </c>
      <c r="F80">
        <f>IF($A80&gt;F$79,"",IF(T&lt;=F$11,"",100*h*MAX((EXP(IRTree!F14*h)-1)/h -$D$6,0)))</f>
        <v>0.2254843877221144</v>
      </c>
      <c r="G80">
        <f>IF($A80&gt;G$79,"",IF(T&lt;=G$11,"",100*h*MAX((EXP(IRTree!G14*h)-1)/h -$D$6,0)))</f>
        <v>0.52434424101035026</v>
      </c>
      <c r="H80">
        <f>IF($A80&gt;H$79,"",IF(T&lt;=H$11,"",100*h*MAX((EXP(IRTree!H14*h)-1)/h -$D$6,0)))</f>
        <v>0.88568932689125446</v>
      </c>
      <c r="I80">
        <f>IF($A80&gt;I$79,"",IF(T&lt;=I$11,"",100*h*MAX((EXP(IRTree!I14*h)-1)/h -$D$6,0)))</f>
        <v>1.5534223037358472</v>
      </c>
      <c r="J80">
        <f>IF($A80&gt;J$79,"",IF(T&lt;=J$11,"",100*h*MAX((EXP(IRTree!J14*h)-1)/h -$D$6,0)))</f>
        <v>1.9219375790075772</v>
      </c>
      <c r="K80">
        <f>IF($A80&gt;K$79,"",IF(T&lt;=K$11,"",100*h*MAX((EXP(IRTree!K14*h)-1)/h -$D$6,0)))</f>
        <v>2.6016256494659502</v>
      </c>
      <c r="L80">
        <f>IF($A80&gt;L$79,"",IF(T&lt;=L$11,"",100*h*MAX((EXP(IRTree!L14*h)-1)/h -$D$6,0)))</f>
        <v>3.0462847032417035</v>
      </c>
      <c r="M80">
        <f>IF($A80&gt;M$79,"",IF(T&lt;=M$11,"",100*h*MAX((EXP(IRTree!M14*h)-1)/h -$D$6,0)))</f>
        <v>3.538486274473946</v>
      </c>
      <c r="N80">
        <f>IF($A80&gt;N$79,"",IF(T&lt;=N$11,"",100*h*MAX((EXP(IRTree!N14*h)-1)/h -$D$6,0)))</f>
        <v>3.8807806746010649</v>
      </c>
      <c r="O80">
        <f>IF($A80&gt;O$79,"",IF(T&lt;=O$11,"",100*h*MAX((EXP(IRTree!O14*h)-1)/h -$D$6,0)))</f>
        <v>5.2930660689988596</v>
      </c>
      <c r="P80">
        <f>IF($A80&gt;P$79,"",IF(T&lt;=P$11,"",100*h*MAX((EXP(IRTree!P14*h)-1)/h -$D$6,0)))</f>
        <v>5.8006475219871412</v>
      </c>
      <c r="Q80">
        <f>IF($A80&gt;Q$79,"",IF(T&lt;=Q$11,"",100*h*MAX((EXP(IRTree!Q14*h)-1)/h -$D$6,0)))</f>
        <v>7.4665876589929248</v>
      </c>
      <c r="R80">
        <f>IF($A80&gt;R$79,"",IF(T&lt;=R$11,"",100*h*MAX((EXP(IRTree!R14*h)-1)/h -$D$6,0)))</f>
        <v>7.9567932677006858</v>
      </c>
      <c r="S80">
        <f>IF($A80&gt;S$79,"",IF(T&lt;=S$11,"",100*h*MAX((EXP(IRTree!S14*h)-1)/h -$D$6,0)))</f>
        <v>8.9034309806710752</v>
      </c>
      <c r="T80">
        <f>IF($A80&gt;T$79,"",IF(T&lt;=T$11,"",100*h*MAX((EXP(IRTree!T14*h)-1)/h -$D$6,0)))</f>
        <v>9.6321838004201208</v>
      </c>
      <c r="U80">
        <f>IF($A80&gt;U$79,"",IF(T&lt;=U$11,"",100*h*MAX((EXP(IRTree!U14*h)-1)/h -$D$6,0)))</f>
        <v>11.234118758392771</v>
      </c>
      <c r="V80">
        <f>IF($A80&gt;V$79,"",IF(T&lt;=V$11,"",100*h*MAX((EXP(IRTree!V14*h)-1)/h -$D$6,0)))</f>
        <v>12.81398412446601</v>
      </c>
      <c r="W80">
        <f>IF($A80&gt;W$79,"",IF(T&lt;=W$11,"",100*h*MAX((EXP(IRTree!W14*h)-1)/h -$D$6,0)))</f>
        <v>15.280513340707275</v>
      </c>
      <c r="X80">
        <f>IF($A80&gt;X$79,"",IF(T&lt;=X$11,"",100*h*MAX((EXP(IRTree!X14*h)-1)/h -$D$6,0)))</f>
        <v>16.015353199609798</v>
      </c>
      <c r="Y80">
        <f>IF($A80&gt;Y$79,"",IF(T&lt;=Y$11,"",100*h*MAX((EXP(IRTree!Y14*h)-1)/h -$D$6,0)))</f>
        <v>18.885875467790452</v>
      </c>
      <c r="Z80">
        <f>IF($A80&gt;Z$79,"",IF(T&lt;=Z$11,"",100*h*MAX((EXP(IRTree!Z14*h)-1)/h -$D$6,0)))</f>
        <v>20.908234571990796</v>
      </c>
      <c r="AA80">
        <f>IF($A80&gt;AA$79,"",IF(T&lt;=AA$11,"",100*h*MAX((EXP(IRTree!AA14*h)-1)/h -$D$6,0)))</f>
        <v>22.830057942566157</v>
      </c>
      <c r="AB80">
        <f>IF($A80&gt;AB$79,"",IF(T&lt;=AB$11,"",100*h*MAX((EXP(IRTree!AB14*h)-1)/h -$D$6,0)))</f>
        <v>26.441803217453081</v>
      </c>
      <c r="AC80">
        <f>IF($A80&gt;AC$79,"",IF(T&lt;=AC$11,"",100*h*MAX((EXP(IRTree!AC14*h)-1)/h -$D$6,0)))</f>
        <v>29.160395022817013</v>
      </c>
      <c r="AD80">
        <f>IF($A80&gt;AD$79,"",IF(T&lt;=AD$11,"",100*h*MAX((EXP(IRTree!AD14*h)-1)/h -$D$6,0)))</f>
        <v>31.83086978875</v>
      </c>
      <c r="AE80">
        <f>IF($A80&gt;AE$79,"",IF(T&lt;=AE$11,"",100*h*MAX((EXP(IRTree!AE14*h)-1)/h -$D$6,0)))</f>
        <v>35.581725188576115</v>
      </c>
      <c r="AF80">
        <f>IF($A80&gt;AF$79,"",IF(T&lt;=AF$11,"",100*h*MAX((EXP(IRTree!AF14*h)-1)/h -$D$6,0)))</f>
        <v>40.009201303874413</v>
      </c>
      <c r="AG80">
        <f>IF($A80&gt;AG$79,"",IF(T&lt;=AG$11,"",100*h*MAX((EXP(IRTree!AG14*h)-1)/h -$D$6,0)))</f>
        <v>43.322265075403081</v>
      </c>
      <c r="AH80">
        <f>IF($A80&gt;AH$79,"",IF(T&lt;=AH$11,"",100*h*MAX((EXP(IRTree!AH14*h)-1)/h -$D$6,0)))</f>
        <v>48.016451614448599</v>
      </c>
      <c r="AI80">
        <f>IF($A80&gt;AI$79,"",IF(T&lt;=AI$11,"",100*h*MAX((EXP(IRTree!AI14*h)-1)/h -$D$6,0)))</f>
        <v>48.116373144238153</v>
      </c>
      <c r="AJ80">
        <f>IF($A80&gt;AJ$79,"",IF(T&lt;=AJ$11,"",100*h*MAX((EXP(IRTree!AJ14*h)-1)/h -$D$6,0)))</f>
        <v>49.219851625733007</v>
      </c>
      <c r="AK80">
        <f>IF($A80&gt;AK$79,"",IF(T&lt;=AK$11,"",100*h*MAX((EXP(IRTree!AK14*h)-1)/h -$D$6,0)))</f>
        <v>48.051686055301253</v>
      </c>
      <c r="AL80">
        <f>IF($A80&gt;AL$79,"",IF(T&lt;=AL$11,"",100*h*MAX((EXP(IRTree!AL14*h)-1)/h -$D$6,0)))</f>
        <v>51.105236499786685</v>
      </c>
      <c r="AM80">
        <f>IF($A80&gt;AM$79,"",IF(T&lt;=AM$11,"",100*h*MAX((EXP(IRTree!AM14*h)-1)/h -$D$6,0)))</f>
        <v>47.748597649514416</v>
      </c>
      <c r="AN80">
        <f>IF($A80&gt;AN$79,"",IF(T&lt;=AN$11,"",100*h*MAX((EXP(IRTree!AN14*h)-1)/h -$D$6,0)))</f>
        <v>44.252918260357994</v>
      </c>
      <c r="AO80">
        <f>IF($A80&gt;AO$79,"",IF(T&lt;=AO$11,"",100*h*MAX((EXP(IRTree!AO14*h)-1)/h -$D$6,0)))</f>
        <v>40.993970252008367</v>
      </c>
      <c r="AP80" t="str">
        <f>IF($A80&gt;AP$79,"",IF(T&lt;=AP$11,"",100*h*MAX((EXP(IRTree!AP14*h)-1)/h -$D$6,0)))</f>
        <v/>
      </c>
      <c r="AQ80" t="str">
        <f>IF($A80&gt;AQ$79,"",IF(T&lt;=AQ$11,"",100*h*MAX((EXP(IRTree!AQ14*h)-1)/h -$D$6,0)))</f>
        <v/>
      </c>
      <c r="AR80" t="str">
        <f>IF($A80&gt;AR$79,"",IF(T&lt;=AR$11,"",100*h*MAX((EXP(IRTree!AR14*h)-1)/h -$D$6,0)))</f>
        <v/>
      </c>
      <c r="AS80" t="str">
        <f>IF($A80&gt;AS$79,"",IF(T&lt;=AS$11,"",100*h*MAX((EXP(IRTree!AS14*h)-1)/h -$D$6,0)))</f>
        <v/>
      </c>
      <c r="AT80" t="str">
        <f>IF($A80&gt;AT$79,"",IF(T&lt;=AT$11,"",100*h*MAX((EXP(IRTree!AT14*h)-1)/h -$D$6,0)))</f>
        <v/>
      </c>
      <c r="AU80" t="str">
        <f>IF($A80&gt;AU$79,"",IF(T&lt;=AU$11,"",100*h*MAX((EXP(IRTree!AU14*h)-1)/h -$D$6,0)))</f>
        <v/>
      </c>
      <c r="AV80" t="str">
        <f>IF($A80&gt;AV$79,"",IF(T&lt;=AV$11,"",100*h*MAX((EXP(IRTree!AV14*h)-1)/h -$D$6,0)))</f>
        <v/>
      </c>
      <c r="AW80" t="str">
        <f>IF($A80&gt;AW$79,"",IF(T&lt;=AW$11,"",100*h*MAX((EXP(IRTree!AW14*h)-1)/h -$D$6,0)))</f>
        <v/>
      </c>
      <c r="AX80" t="str">
        <f>IF($A80&gt;AX$79,"",IF(T&lt;=AX$11,"",100*h*MAX((EXP(IRTree!AX14*h)-1)/h -$D$6,0)))</f>
        <v/>
      </c>
      <c r="AY80" t="str">
        <f>IF($A80&gt;AY$79,"",IF(T&lt;=AY$11,"",100*h*MAX((EXP(IRTree!AY14*h)-1)/h -$D$6,0)))</f>
        <v/>
      </c>
      <c r="AZ80" t="str">
        <f>IF($A80&gt;AZ$79,"",IF(T&lt;=AZ$11,"",100*h*MAX((EXP(IRTree!AZ14*h)-1)/h -$D$6,0)))</f>
        <v/>
      </c>
      <c r="BA80" t="str">
        <f>IF($A80&gt;BA$79,"",IF(T&lt;=BA$11,"",100*h*MAX((EXP(IRTree!BA14*h)-1)/h -$D$6,0)))</f>
        <v/>
      </c>
      <c r="BB80" t="str">
        <f>IF($A80&gt;BB$79,"",IF(T&lt;=BB$11,"",100*h*MAX((EXP(IRTree!BB14*h)-1)/h -$D$6,0)))</f>
        <v/>
      </c>
      <c r="BC80" t="str">
        <f>IF($A80&gt;BC$79,"",IF(T&lt;=BC$11,"",100*h*MAX((EXP(IRTree!BC14*h)-1)/h -$D$6,0)))</f>
        <v/>
      </c>
      <c r="BD80" t="str">
        <f>IF($A80&gt;BD$79,"",IF(T&lt;=BD$11,"",100*h*MAX((EXP(IRTree!BD14*h)-1)/h -$D$6,0)))</f>
        <v/>
      </c>
      <c r="BE80" t="str">
        <f>IF($A80&gt;BE$79,"",IF(T&lt;=BE$11,"",100*h*MAX((EXP(IRTree!BE14*h)-1)/h -$D$6,0)))</f>
        <v/>
      </c>
      <c r="BF80" t="str">
        <f>IF($A80&gt;BF$79,"",IF(T&lt;=BF$11,"",100*h*MAX((EXP(IRTree!BF14*h)-1)/h -$D$6,0)))</f>
        <v/>
      </c>
      <c r="BG80" t="str">
        <f>IF($A80&gt;BG$79,"",IF(T&lt;=BG$11,"",100*h*MAX((EXP(IRTree!BG14*h)-1)/h -$D$6,0)))</f>
        <v/>
      </c>
      <c r="BH80" t="str">
        <f>IF($A80&gt;BH$79,"",IF(T&lt;=BH$11,"",100*h*MAX((EXP(IRTree!BH14*h)-1)/h -$D$6,0)))</f>
        <v/>
      </c>
      <c r="BI80" t="str">
        <f>IF($A80&gt;BI$79,"",IF(T&lt;=BI$11,"",100*h*MAX((EXP(IRTree!BI14*h)-1)/h -$D$6,0)))</f>
        <v/>
      </c>
      <c r="BJ80" t="str">
        <f>IF($A80&gt;BJ$79,"",IF(T&lt;=BJ$11,"",100*h*MAX((EXP(IRTree!BJ14*h)-1)/h -$D$6,0)))</f>
        <v/>
      </c>
    </row>
    <row r="81" spans="1:62">
      <c r="A81" s="22">
        <f>A80+1</f>
        <v>1</v>
      </c>
      <c r="B81" t="str">
        <f>IF($A81&gt;B$79,"",IF(T&lt;=B$11,"",100*h*MAX((EXP(IRTree!B15*h)-1)/h -$D$6,0)))</f>
        <v/>
      </c>
      <c r="C81">
        <f>IF($A81&gt;C$79,"",IF(T&lt;=C$11,"",100*h*MAX((EXP(IRTree!C15*h)-1)/h -$D$6,0)))</f>
        <v>0</v>
      </c>
      <c r="D81">
        <f>IF($A81&gt;D$79,"",IF(T&lt;=D$11,"",100*h*MAX((EXP(IRTree!D15*h)-1)/h -$D$6,0)))</f>
        <v>0</v>
      </c>
      <c r="E81">
        <f>IF($A81&gt;E$79,"",IF(T&lt;=E$11,"",100*h*MAX((EXP(IRTree!E15*h)-1)/h -$D$6,0)))</f>
        <v>0</v>
      </c>
      <c r="F81">
        <f>IF($A81&gt;F$79,"",IF(T&lt;=F$11,"",100*h*MAX((EXP(IRTree!F15*h)-1)/h -$D$6,0)))</f>
        <v>0</v>
      </c>
      <c r="G81">
        <f>IF($A81&gt;G$79,"",IF(T&lt;=G$11,"",100*h*MAX((EXP(IRTree!G15*h)-1)/h -$D$6,0)))</f>
        <v>8.8191112028730173E-2</v>
      </c>
      <c r="H81">
        <f>IF($A81&gt;H$79,"",IF(T&lt;=H$11,"",100*h*MAX((EXP(IRTree!H15*h)-1)/h -$D$6,0)))</f>
        <v>0.34915674053312507</v>
      </c>
      <c r="I81">
        <f>IF($A81&gt;I$79,"",IF(T&lt;=I$11,"",100*h*MAX((EXP(IRTree!I15*h)-1)/h -$D$6,0)))</f>
        <v>0.77446578780857123</v>
      </c>
      <c r="J81">
        <f>IF($A81&gt;J$79,"",IF(T&lt;=J$11,"",100*h*MAX((EXP(IRTree!J15*h)-1)/h -$D$6,0)))</f>
        <v>1.0834402670758256</v>
      </c>
      <c r="K81">
        <f>IF($A81&gt;K$79,"",IF(T&lt;=K$11,"",100*h*MAX((EXP(IRTree!K15*h)-1)/h -$D$6,0)))</f>
        <v>1.5668600014010221</v>
      </c>
      <c r="L81">
        <f>IF($A81&gt;L$79,"",IF(T&lt;=L$11,"",100*h*MAX((EXP(IRTree!L15*h)-1)/h -$D$6,0)))</f>
        <v>1.9398931422715155</v>
      </c>
      <c r="M81">
        <f>IF($A81&gt;M$79,"",IF(T&lt;=M$11,"",100*h*MAX((EXP(IRTree!M15*h)-1)/h -$D$6,0)))</f>
        <v>2.3461560798583032</v>
      </c>
      <c r="N81">
        <f>IF($A81&gt;N$79,"",IF(T&lt;=N$11,"",100*h*MAX((EXP(IRTree!N15*h)-1)/h -$D$6,0)))</f>
        <v>2.6671181215216673</v>
      </c>
      <c r="O81">
        <f>IF($A81&gt;O$79,"",IF(T&lt;=O$11,"",100*h*MAX((EXP(IRTree!O15*h)-1)/h -$D$6,0)))</f>
        <v>3.6512438450888758</v>
      </c>
      <c r="P81">
        <f>IF($A81&gt;P$79,"",IF(T&lt;=P$11,"",100*h*MAX((EXP(IRTree!P15*h)-1)/h -$D$6,0)))</f>
        <v>4.1003442380821831</v>
      </c>
      <c r="Q81">
        <f>IF($A81&gt;Q$79,"",IF(T&lt;=Q$11,"",100*h*MAX((EXP(IRTree!Q15*h)-1)/h -$D$6,0)))</f>
        <v>5.2897957871691004</v>
      </c>
      <c r="R81">
        <f>IF($A81&gt;R$79,"",IF(T&lt;=R$11,"",100*h*MAX((EXP(IRTree!R15*h)-1)/h -$D$6,0)))</f>
        <v>5.7569809755282986</v>
      </c>
      <c r="S81">
        <f>IF($A81&gt;S$79,"",IF(T&lt;=S$11,"",100*h*MAX((EXP(IRTree!S15*h)-1)/h -$D$6,0)))</f>
        <v>6.5240697943266435</v>
      </c>
      <c r="T81">
        <f>IF($A81&gt;T$79,"",IF(T&lt;=T$11,"",100*h*MAX((EXP(IRTree!T15*h)-1)/h -$D$6,0)))</f>
        <v>7.1565466315208948</v>
      </c>
      <c r="U81">
        <f>IF($A81&gt;U$79,"",IF(T&lt;=U$11,"",100*h*MAX((EXP(IRTree!U15*h)-1)/h -$D$6,0)))</f>
        <v>8.3818339033718559</v>
      </c>
      <c r="V81">
        <f>IF($A81&gt;V$79,"",IF(T&lt;=V$11,"",100*h*MAX((EXP(IRTree!V15*h)-1)/h -$D$6,0)))</f>
        <v>9.6087659986244542</v>
      </c>
      <c r="W81">
        <f>IF($A81&gt;W$79,"",IF(T&lt;=W$11,"",100*h*MAX((EXP(IRTree!W15*h)-1)/h -$D$6,0)))</f>
        <v>11.451458043800363</v>
      </c>
      <c r="X81">
        <f>IF($A81&gt;X$79,"",IF(T&lt;=X$11,"",100*h*MAX((EXP(IRTree!X15*h)-1)/h -$D$6,0)))</f>
        <v>12.137808036246463</v>
      </c>
      <c r="Y81">
        <f>IF($A81&gt;Y$79,"",IF(T&lt;=Y$11,"",100*h*MAX((EXP(IRTree!Y15*h)-1)/h -$D$6,0)))</f>
        <v>14.295188706123291</v>
      </c>
      <c r="Z81">
        <f>IF($A81&gt;Z$79,"",IF(T&lt;=Z$11,"",100*h*MAX((EXP(IRTree!Z15*h)-1)/h -$D$6,0)))</f>
        <v>15.891253143742817</v>
      </c>
      <c r="AA81">
        <f>IF($A81&gt;AA$79,"",IF(T&lt;=AA$11,"",100*h*MAX((EXP(IRTree!AA15*h)-1)/h -$D$6,0)))</f>
        <v>17.433811200858379</v>
      </c>
      <c r="AB81">
        <f>IF($A81&gt;AB$79,"",IF(T&lt;=AB$11,"",100*h*MAX((EXP(IRTree!AB15*h)-1)/h -$D$6,0)))</f>
        <v>20.161011943085498</v>
      </c>
      <c r="AC81">
        <f>IF($A81&gt;AC$79,"",IF(T&lt;=AC$11,"",100*h*MAX((EXP(IRTree!AC15*h)-1)/h -$D$6,0)))</f>
        <v>22.29079159715323</v>
      </c>
      <c r="AD81">
        <f>IF($A81&gt;AD$79,"",IF(T&lt;=AD$11,"",100*h*MAX((EXP(IRTree!AD15*h)-1)/h -$D$6,0)))</f>
        <v>24.405552521922331</v>
      </c>
      <c r="AE81">
        <f>IF($A81&gt;AE$79,"",IF(T&lt;=AE$11,"",100*h*MAX((EXP(IRTree!AE15*h)-1)/h -$D$6,0)))</f>
        <v>27.289424034224645</v>
      </c>
      <c r="AF81">
        <f>IF($A81&gt;AF$79,"",IF(T&lt;=AF$11,"",100*h*MAX((EXP(IRTree!AF15*h)-1)/h -$D$6,0)))</f>
        <v>30.662252117927164</v>
      </c>
      <c r="AG81">
        <f>IF($A81&gt;AG$79,"",IF(T&lt;=AG$11,"",100*h*MAX((EXP(IRTree!AG15*h)-1)/h -$D$6,0)))</f>
        <v>33.282605544362639</v>
      </c>
      <c r="AH81">
        <f>IF($A81&gt;AH$79,"",IF(T&lt;=AH$11,"",100*h*MAX((EXP(IRTree!AH15*h)-1)/h -$D$6,0)))</f>
        <v>36.882404154517864</v>
      </c>
      <c r="AI81">
        <f>IF($A81&gt;AI$79,"",IF(T&lt;=AI$11,"",100*h*MAX((EXP(IRTree!AI15*h)-1)/h -$D$6,0)))</f>
        <v>37.290666391781883</v>
      </c>
      <c r="AJ81">
        <f>IF($A81&gt;AJ$79,"",IF(T&lt;=AJ$11,"",100*h*MAX((EXP(IRTree!AJ15*h)-1)/h -$D$6,0)))</f>
        <v>38.394509682880489</v>
      </c>
      <c r="AK81">
        <f>IF($A81&gt;AK$79,"",IF(T&lt;=AK$11,"",100*h*MAX((EXP(IRTree!AK15*h)-1)/h -$D$6,0)))</f>
        <v>37.867156332959489</v>
      </c>
      <c r="AL81">
        <f>IF($A81&gt;AL$79,"",IF(T&lt;=AL$11,"",100*h*MAX((EXP(IRTree!AL15*h)-1)/h -$D$6,0)))</f>
        <v>40.36626224111685</v>
      </c>
      <c r="AM81">
        <f>IF($A81&gt;AM$79,"",IF(T&lt;=AM$11,"",100*h*MAX((EXP(IRTree!AM15*h)-1)/h -$D$6,0)))</f>
        <v>38.204767460437452</v>
      </c>
      <c r="AN81">
        <f>IF($A81&gt;AN$79,"",IF(T&lt;=AN$11,"",100*h*MAX((EXP(IRTree!AN15*h)-1)/h -$D$6,0)))</f>
        <v>35.8576793341905</v>
      </c>
      <c r="AO81">
        <f>IF($A81&gt;AO$79,"",IF(T&lt;=AO$11,"",100*h*MAX((EXP(IRTree!AO15*h)-1)/h -$D$6,0)))</f>
        <v>33.612603110886582</v>
      </c>
      <c r="AP81" t="str">
        <f>IF($A81&gt;AP$79,"",IF(T&lt;=AP$11,"",100*h*MAX((EXP(IRTree!AP15*h)-1)/h -$D$6,0)))</f>
        <v/>
      </c>
      <c r="AQ81" t="str">
        <f>IF($A81&gt;AQ$79,"",IF(T&lt;=AQ$11,"",100*h*MAX((EXP(IRTree!AQ15*h)-1)/h -$D$6,0)))</f>
        <v/>
      </c>
      <c r="AR81" t="str">
        <f>IF($A81&gt;AR$79,"",IF(T&lt;=AR$11,"",100*h*MAX((EXP(IRTree!AR15*h)-1)/h -$D$6,0)))</f>
        <v/>
      </c>
      <c r="AS81" t="str">
        <f>IF($A81&gt;AS$79,"",IF(T&lt;=AS$11,"",100*h*MAX((EXP(IRTree!AS15*h)-1)/h -$D$6,0)))</f>
        <v/>
      </c>
      <c r="AT81" t="str">
        <f>IF($A81&gt;AT$79,"",IF(T&lt;=AT$11,"",100*h*MAX((EXP(IRTree!AT15*h)-1)/h -$D$6,0)))</f>
        <v/>
      </c>
      <c r="AU81" t="str">
        <f>IF($A81&gt;AU$79,"",IF(T&lt;=AU$11,"",100*h*MAX((EXP(IRTree!AU15*h)-1)/h -$D$6,0)))</f>
        <v/>
      </c>
      <c r="AV81" t="str">
        <f>IF($A81&gt;AV$79,"",IF(T&lt;=AV$11,"",100*h*MAX((EXP(IRTree!AV15*h)-1)/h -$D$6,0)))</f>
        <v/>
      </c>
      <c r="AW81" t="str">
        <f>IF($A81&gt;AW$79,"",IF(T&lt;=AW$11,"",100*h*MAX((EXP(IRTree!AW15*h)-1)/h -$D$6,0)))</f>
        <v/>
      </c>
      <c r="AX81" t="str">
        <f>IF($A81&gt;AX$79,"",IF(T&lt;=AX$11,"",100*h*MAX((EXP(IRTree!AX15*h)-1)/h -$D$6,0)))</f>
        <v/>
      </c>
      <c r="AY81" t="str">
        <f>IF($A81&gt;AY$79,"",IF(T&lt;=AY$11,"",100*h*MAX((EXP(IRTree!AY15*h)-1)/h -$D$6,0)))</f>
        <v/>
      </c>
      <c r="AZ81" t="str">
        <f>IF($A81&gt;AZ$79,"",IF(T&lt;=AZ$11,"",100*h*MAX((EXP(IRTree!AZ15*h)-1)/h -$D$6,0)))</f>
        <v/>
      </c>
      <c r="BA81" t="str">
        <f>IF($A81&gt;BA$79,"",IF(T&lt;=BA$11,"",100*h*MAX((EXP(IRTree!BA15*h)-1)/h -$D$6,0)))</f>
        <v/>
      </c>
      <c r="BB81" t="str">
        <f>IF($A81&gt;BB$79,"",IF(T&lt;=BB$11,"",100*h*MAX((EXP(IRTree!BB15*h)-1)/h -$D$6,0)))</f>
        <v/>
      </c>
      <c r="BC81" t="str">
        <f>IF($A81&gt;BC$79,"",IF(T&lt;=BC$11,"",100*h*MAX((EXP(IRTree!BC15*h)-1)/h -$D$6,0)))</f>
        <v/>
      </c>
      <c r="BD81" t="str">
        <f>IF($A81&gt;BD$79,"",IF(T&lt;=BD$11,"",100*h*MAX((EXP(IRTree!BD15*h)-1)/h -$D$6,0)))</f>
        <v/>
      </c>
      <c r="BE81" t="str">
        <f>IF($A81&gt;BE$79,"",IF(T&lt;=BE$11,"",100*h*MAX((EXP(IRTree!BE15*h)-1)/h -$D$6,0)))</f>
        <v/>
      </c>
      <c r="BF81" t="str">
        <f>IF($A81&gt;BF$79,"",IF(T&lt;=BF$11,"",100*h*MAX((EXP(IRTree!BF15*h)-1)/h -$D$6,0)))</f>
        <v/>
      </c>
      <c r="BG81" t="str">
        <f>IF($A81&gt;BG$79,"",IF(T&lt;=BG$11,"",100*h*MAX((EXP(IRTree!BG15*h)-1)/h -$D$6,0)))</f>
        <v/>
      </c>
      <c r="BH81" t="str">
        <f>IF($A81&gt;BH$79,"",IF(T&lt;=BH$11,"",100*h*MAX((EXP(IRTree!BH15*h)-1)/h -$D$6,0)))</f>
        <v/>
      </c>
      <c r="BI81" t="str">
        <f>IF($A81&gt;BI$79,"",IF(T&lt;=BI$11,"",100*h*MAX((EXP(IRTree!BI15*h)-1)/h -$D$6,0)))</f>
        <v/>
      </c>
      <c r="BJ81" t="str">
        <f>IF($A81&gt;BJ$79,"",IF(T&lt;=BJ$11,"",100*h*MAX((EXP(IRTree!BJ15*h)-1)/h -$D$6,0)))</f>
        <v/>
      </c>
    </row>
    <row r="82" spans="1:62">
      <c r="A82" s="22">
        <f t="shared" ref="A82:A140" si="5">A81+1</f>
        <v>2</v>
      </c>
      <c r="B82" t="str">
        <f>IF($A82&gt;B$79,"",IF(T&lt;=B$11,"",100*h*MAX((EXP(IRTree!B16*h)-1)/h -$D$6,0)))</f>
        <v/>
      </c>
      <c r="C82" t="str">
        <f>IF($A82&gt;C$79,"",IF(T&lt;=C$11,"",100*h*MAX((EXP(IRTree!C16*h)-1)/h -$D$6,0)))</f>
        <v/>
      </c>
      <c r="D82">
        <f>IF($A82&gt;D$79,"",IF(T&lt;=D$11,"",100*h*MAX((EXP(IRTree!D16*h)-1)/h -$D$6,0)))</f>
        <v>0</v>
      </c>
      <c r="E82">
        <f>IF($A82&gt;E$79,"",IF(T&lt;=E$11,"",100*h*MAX((EXP(IRTree!E16*h)-1)/h -$D$6,0)))</f>
        <v>0</v>
      </c>
      <c r="F82">
        <f>IF($A82&gt;F$79,"",IF(T&lt;=F$11,"",100*h*MAX((EXP(IRTree!F16*h)-1)/h -$D$6,0)))</f>
        <v>0</v>
      </c>
      <c r="G82">
        <f>IF($A82&gt;G$79,"",IF(T&lt;=G$11,"",100*h*MAX((EXP(IRTree!G16*h)-1)/h -$D$6,0)))</f>
        <v>0</v>
      </c>
      <c r="H82">
        <f>IF($A82&gt;H$79,"",IF(T&lt;=H$11,"",100*h*MAX((EXP(IRTree!H16*h)-1)/h -$D$6,0)))</f>
        <v>0</v>
      </c>
      <c r="I82">
        <f>IF($A82&gt;I$79,"",IF(T&lt;=I$11,"",100*h*MAX((EXP(IRTree!I16*h)-1)/h -$D$6,0)))</f>
        <v>0.22343354527094103</v>
      </c>
      <c r="J82">
        <f>IF($A82&gt;J$79,"",IF(T&lt;=J$11,"",100*h*MAX((EXP(IRTree!J16*h)-1)/h -$D$6,0)))</f>
        <v>0.47739216843069676</v>
      </c>
      <c r="K82">
        <f>IF($A82&gt;K$79,"",IF(T&lt;=K$11,"",100*h*MAX((EXP(IRTree!K16*h)-1)/h -$D$6,0)))</f>
        <v>0.82201732681439021</v>
      </c>
      <c r="L82">
        <f>IF($A82&gt;L$79,"",IF(T&lt;=L$11,"",100*h*MAX((EXP(IRTree!L16*h)-1)/h -$D$6,0)))</f>
        <v>1.1300495628198968</v>
      </c>
      <c r="M82">
        <f>IF($A82&gt;M$79,"",IF(T&lt;=M$11,"",100*h*MAX((EXP(IRTree!M16*h)-1)/h -$D$6,0)))</f>
        <v>1.4623586471062608</v>
      </c>
      <c r="N82">
        <f>IF($A82&gt;N$79,"",IF(T&lt;=N$11,"",100*h*MAX((EXP(IRTree!N16*h)-1)/h -$D$6,0)))</f>
        <v>1.7516651277193325</v>
      </c>
      <c r="O82">
        <f>IF($A82&gt;O$79,"",IF(T&lt;=O$11,"",100*h*MAX((EXP(IRTree!O16*h)-1)/h -$D$6,0)))</f>
        <v>2.4363628912519482</v>
      </c>
      <c r="P82">
        <f>IF($A82&gt;P$79,"",IF(T&lt;=P$11,"",100*h*MAX((EXP(IRTree!P16*h)-1)/h -$D$6,0)))</f>
        <v>2.825107006704259</v>
      </c>
      <c r="Q82">
        <f>IF($A82&gt;Q$79,"",IF(T&lt;=Q$11,"",100*h*MAX((EXP(IRTree!Q16*h)-1)/h -$D$6,0)))</f>
        <v>3.6766241315620625</v>
      </c>
      <c r="R82">
        <f>IF($A82&gt;R$79,"",IF(T&lt;=R$11,"",100*h*MAX((EXP(IRTree!R16*h)-1)/h -$D$6,0)))</f>
        <v>4.1026863248301693</v>
      </c>
      <c r="S82">
        <f>IF($A82&gt;S$79,"",IF(T&lt;=S$11,"",100*h*MAX((EXP(IRTree!S16*h)-1)/h -$D$6,0)))</f>
        <v>4.7241428381392847</v>
      </c>
      <c r="T82">
        <f>IF($A82&gt;T$79,"",IF(T&lt;=T$11,"",100*h*MAX((EXP(IRTree!T16*h)-1)/h -$D$6,0)))</f>
        <v>5.2669770038154828</v>
      </c>
      <c r="U82">
        <f>IF($A82&gt;U$79,"",IF(T&lt;=U$11,"",100*h*MAX((EXP(IRTree!U16*h)-1)/h -$D$6,0)))</f>
        <v>6.2091594150539953</v>
      </c>
      <c r="V82">
        <f>IF($A82&gt;V$79,"",IF(T&lt;=V$11,"",100*h*MAX((EXP(IRTree!V16*h)-1)/h -$D$6,0)))</f>
        <v>7.1672298638883314</v>
      </c>
      <c r="W82">
        <f>IF($A82&gt;W$79,"",IF(T&lt;=W$11,"",100*h*MAX((EXP(IRTree!W16*h)-1)/h -$D$6,0)))</f>
        <v>8.5530334510015305</v>
      </c>
      <c r="X82">
        <f>IF($A82&gt;X$79,"",IF(T&lt;=X$11,"",100*h*MAX((EXP(IRTree!X16*h)-1)/h -$D$6,0)))</f>
        <v>9.1757614616035887</v>
      </c>
      <c r="Y82">
        <f>IF($A82&gt;Y$79,"",IF(T&lt;=Y$11,"",100*h*MAX((EXP(IRTree!Y16*h)-1)/h -$D$6,0)))</f>
        <v>10.809648117205546</v>
      </c>
      <c r="Z82">
        <f>IF($A82&gt;Z$79,"",IF(T&lt;=Z$11,"",100*h*MAX((EXP(IRTree!Z16*h)-1)/h -$D$6,0)))</f>
        <v>12.077963437295454</v>
      </c>
      <c r="AA82">
        <f>IF($A82&gt;AA$79,"",IF(T&lt;=AA$11,"",100*h*MAX((EXP(IRTree!AA16*h)-1)/h -$D$6,0)))</f>
        <v>13.323393906523744</v>
      </c>
      <c r="AB82">
        <f>IF($A82&gt;AB$79,"",IF(T&lt;=AB$11,"",100*h*MAX((EXP(IRTree!AB16*h)-1)/h -$D$6,0)))</f>
        <v>15.40306743754693</v>
      </c>
      <c r="AC82">
        <f>IF($A82&gt;AC$79,"",IF(T&lt;=AC$11,"",100*h*MAX((EXP(IRTree!AC16*h)-1)/h -$D$6,0)))</f>
        <v>17.087190550323122</v>
      </c>
      <c r="AD82">
        <f>IF($A82&gt;AD$79,"",IF(T&lt;=AD$11,"",100*h*MAX((EXP(IRTree!AD16*h)-1)/h -$D$6,0)))</f>
        <v>18.777005903831594</v>
      </c>
      <c r="AE82">
        <f>IF($A82&gt;AE$79,"",IF(T&lt;=AE$11,"",100*h*MAX((EXP(IRTree!AE16*h)-1)/h -$D$6,0)))</f>
        <v>21.020184591724671</v>
      </c>
      <c r="AF82">
        <f>IF($A82&gt;AF$79,"",IF(T&lt;=AF$11,"",100*h*MAX((EXP(IRTree!AF16*h)-1)/h -$D$6,0)))</f>
        <v>23.622760822771344</v>
      </c>
      <c r="AG82">
        <f>IF($A82&gt;AG$79,"",IF(T&lt;=AG$11,"",100*h*MAX((EXP(IRTree!AG16*h)-1)/h -$D$6,0)))</f>
        <v>25.718047324185871</v>
      </c>
      <c r="AH82">
        <f>IF($A82&gt;AH$79,"",IF(T&lt;=AH$11,"",100*h*MAX((EXP(IRTree!AH16*h)-1)/h -$D$6,0)))</f>
        <v>28.517289042115518</v>
      </c>
      <c r="AI82">
        <f>IF($A82&gt;AI$79,"",IF(T&lt;=AI$11,"",100*h*MAX((EXP(IRTree!AI16*h)-1)/h -$D$6,0)))</f>
        <v>29.081246808507714</v>
      </c>
      <c r="AJ82">
        <f>IF($A82&gt;AJ$79,"",IF(T&lt;=AJ$11,"",100*h*MAX((EXP(IRTree!AJ16*h)-1)/h -$D$6,0)))</f>
        <v>30.133867026588394</v>
      </c>
      <c r="AK82">
        <f>IF($A82&gt;AK$79,"",IF(T&lt;=AK$11,"",100*h*MAX((EXP(IRTree!AK16*h)-1)/h -$D$6,0)))</f>
        <v>30.007143046469402</v>
      </c>
      <c r="AL82">
        <f>IF($A82&gt;AL$79,"",IF(T&lt;=AL$11,"",100*h*MAX((EXP(IRTree!AL16*h)-1)/h -$D$6,0)))</f>
        <v>32.070381312053193</v>
      </c>
      <c r="AM82">
        <f>IF($A82&gt;AM$79,"",IF(T&lt;=AM$11,"",100*h*MAX((EXP(IRTree!AM16*h)-1)/h -$D$6,0)))</f>
        <v>30.719117044100948</v>
      </c>
      <c r="AN82">
        <f>IF($A82&gt;AN$79,"",IF(T&lt;=AN$11,"",100*h*MAX((EXP(IRTree!AN16*h)-1)/h -$D$6,0)))</f>
        <v>29.173504101555498</v>
      </c>
      <c r="AO82">
        <f>IF($A82&gt;AO$79,"",IF(T&lt;=AO$11,"",100*h*MAX((EXP(IRTree!AO16*h)-1)/h -$D$6,0)))</f>
        <v>27.652566682603911</v>
      </c>
      <c r="AP82" t="str">
        <f>IF($A82&gt;AP$79,"",IF(T&lt;=AP$11,"",100*h*MAX((EXP(IRTree!AP16*h)-1)/h -$D$6,0)))</f>
        <v/>
      </c>
      <c r="AQ82" t="str">
        <f>IF($A82&gt;AQ$79,"",IF(T&lt;=AQ$11,"",100*h*MAX((EXP(IRTree!AQ16*h)-1)/h -$D$6,0)))</f>
        <v/>
      </c>
      <c r="AR82" t="str">
        <f>IF($A82&gt;AR$79,"",IF(T&lt;=AR$11,"",100*h*MAX((EXP(IRTree!AR16*h)-1)/h -$D$6,0)))</f>
        <v/>
      </c>
      <c r="AS82" t="str">
        <f>IF($A82&gt;AS$79,"",IF(T&lt;=AS$11,"",100*h*MAX((EXP(IRTree!AS16*h)-1)/h -$D$6,0)))</f>
        <v/>
      </c>
      <c r="AT82" t="str">
        <f>IF($A82&gt;AT$79,"",IF(T&lt;=AT$11,"",100*h*MAX((EXP(IRTree!AT16*h)-1)/h -$D$6,0)))</f>
        <v/>
      </c>
      <c r="AU82" t="str">
        <f>IF($A82&gt;AU$79,"",IF(T&lt;=AU$11,"",100*h*MAX((EXP(IRTree!AU16*h)-1)/h -$D$6,0)))</f>
        <v/>
      </c>
      <c r="AV82" t="str">
        <f>IF($A82&gt;AV$79,"",IF(T&lt;=AV$11,"",100*h*MAX((EXP(IRTree!AV16*h)-1)/h -$D$6,0)))</f>
        <v/>
      </c>
      <c r="AW82" t="str">
        <f>IF($A82&gt;AW$79,"",IF(T&lt;=AW$11,"",100*h*MAX((EXP(IRTree!AW16*h)-1)/h -$D$6,0)))</f>
        <v/>
      </c>
      <c r="AX82" t="str">
        <f>IF($A82&gt;AX$79,"",IF(T&lt;=AX$11,"",100*h*MAX((EXP(IRTree!AX16*h)-1)/h -$D$6,0)))</f>
        <v/>
      </c>
      <c r="AY82" t="str">
        <f>IF($A82&gt;AY$79,"",IF(T&lt;=AY$11,"",100*h*MAX((EXP(IRTree!AY16*h)-1)/h -$D$6,0)))</f>
        <v/>
      </c>
      <c r="AZ82" t="str">
        <f>IF($A82&gt;AZ$79,"",IF(T&lt;=AZ$11,"",100*h*MAX((EXP(IRTree!AZ16*h)-1)/h -$D$6,0)))</f>
        <v/>
      </c>
      <c r="BA82" t="str">
        <f>IF($A82&gt;BA$79,"",IF(T&lt;=BA$11,"",100*h*MAX((EXP(IRTree!BA16*h)-1)/h -$D$6,0)))</f>
        <v/>
      </c>
      <c r="BB82" t="str">
        <f>IF($A82&gt;BB$79,"",IF(T&lt;=BB$11,"",100*h*MAX((EXP(IRTree!BB16*h)-1)/h -$D$6,0)))</f>
        <v/>
      </c>
      <c r="BC82" t="str">
        <f>IF($A82&gt;BC$79,"",IF(T&lt;=BC$11,"",100*h*MAX((EXP(IRTree!BC16*h)-1)/h -$D$6,0)))</f>
        <v/>
      </c>
      <c r="BD82" t="str">
        <f>IF($A82&gt;BD$79,"",IF(T&lt;=BD$11,"",100*h*MAX((EXP(IRTree!BD16*h)-1)/h -$D$6,0)))</f>
        <v/>
      </c>
      <c r="BE82" t="str">
        <f>IF($A82&gt;BE$79,"",IF(T&lt;=BE$11,"",100*h*MAX((EXP(IRTree!BE16*h)-1)/h -$D$6,0)))</f>
        <v/>
      </c>
      <c r="BF82" t="str">
        <f>IF($A82&gt;BF$79,"",IF(T&lt;=BF$11,"",100*h*MAX((EXP(IRTree!BF16*h)-1)/h -$D$6,0)))</f>
        <v/>
      </c>
      <c r="BG82" t="str">
        <f>IF($A82&gt;BG$79,"",IF(T&lt;=BG$11,"",100*h*MAX((EXP(IRTree!BG16*h)-1)/h -$D$6,0)))</f>
        <v/>
      </c>
      <c r="BH82" t="str">
        <f>IF($A82&gt;BH$79,"",IF(T&lt;=BH$11,"",100*h*MAX((EXP(IRTree!BH16*h)-1)/h -$D$6,0)))</f>
        <v/>
      </c>
      <c r="BI82" t="str">
        <f>IF($A82&gt;BI$79,"",IF(T&lt;=BI$11,"",100*h*MAX((EXP(IRTree!BI16*h)-1)/h -$D$6,0)))</f>
        <v/>
      </c>
      <c r="BJ82" t="str">
        <f>IF($A82&gt;BJ$79,"",IF(T&lt;=BJ$11,"",100*h*MAX((EXP(IRTree!BJ16*h)-1)/h -$D$6,0)))</f>
        <v/>
      </c>
    </row>
    <row r="83" spans="1:62">
      <c r="A83" s="22">
        <f t="shared" si="5"/>
        <v>3</v>
      </c>
      <c r="B83" t="str">
        <f>IF($A83&gt;B$79,"",IF(T&lt;=B$11,"",100*h*MAX((EXP(IRTree!B17*h)-1)/h -$D$6,0)))</f>
        <v/>
      </c>
      <c r="C83" t="str">
        <f>IF($A83&gt;C$79,"",IF(T&lt;=C$11,"",100*h*MAX((EXP(IRTree!C17*h)-1)/h -$D$6,0)))</f>
        <v/>
      </c>
      <c r="D83" t="str">
        <f>IF($A83&gt;D$79,"",IF(T&lt;=D$11,"",100*h*MAX((EXP(IRTree!D17*h)-1)/h -$D$6,0)))</f>
        <v/>
      </c>
      <c r="E83">
        <f>IF($A83&gt;E$79,"",IF(T&lt;=E$11,"",100*h*MAX((EXP(IRTree!E17*h)-1)/h -$D$6,0)))</f>
        <v>0</v>
      </c>
      <c r="F83">
        <f>IF($A83&gt;F$79,"",IF(T&lt;=F$11,"",100*h*MAX((EXP(IRTree!F17*h)-1)/h -$D$6,0)))</f>
        <v>0</v>
      </c>
      <c r="G83">
        <f>IF($A83&gt;G$79,"",IF(T&lt;=G$11,"",100*h*MAX((EXP(IRTree!G17*h)-1)/h -$D$6,0)))</f>
        <v>0</v>
      </c>
      <c r="H83">
        <f>IF($A83&gt;H$79,"",IF(T&lt;=H$11,"",100*h*MAX((EXP(IRTree!H17*h)-1)/h -$D$6,0)))</f>
        <v>0</v>
      </c>
      <c r="I83">
        <f>IF($A83&gt;I$79,"",IF(T&lt;=I$11,"",100*h*MAX((EXP(IRTree!I17*h)-1)/h -$D$6,0)))</f>
        <v>0</v>
      </c>
      <c r="J83">
        <f>IF($A83&gt;J$79,"",IF(T&lt;=J$11,"",100*h*MAX((EXP(IRTree!J17*h)-1)/h -$D$6,0)))</f>
        <v>3.8511033761552162E-2</v>
      </c>
      <c r="K83">
        <f>IF($A83&gt;K$79,"",IF(T&lt;=K$11,"",100*h*MAX((EXP(IRTree!K17*h)-1)/h -$D$6,0)))</f>
        <v>0.28459356136009784</v>
      </c>
      <c r="L83">
        <f>IF($A83&gt;L$79,"",IF(T&lt;=L$11,"",100*h*MAX((EXP(IRTree!L17*h)-1)/h -$D$6,0)))</f>
        <v>0.53583003395109663</v>
      </c>
      <c r="M83">
        <f>IF($A83&gt;M$79,"",IF(T&lt;=M$11,"",100*h*MAX((EXP(IRTree!M17*h)-1)/h -$D$6,0)))</f>
        <v>0.80560468878300795</v>
      </c>
      <c r="N83">
        <f>IF($A83&gt;N$79,"",IF(T&lt;=N$11,"",100*h*MAX((EXP(IRTree!N17*h)-1)/h -$D$6,0)))</f>
        <v>1.0594629280822507</v>
      </c>
      <c r="O83">
        <f>IF($A83&gt;O$79,"",IF(T&lt;=O$11,"",100*h*MAX((EXP(IRTree!O17*h)-1)/h -$D$6,0)))</f>
        <v>1.5343375153470571</v>
      </c>
      <c r="P83">
        <f>IF($A83&gt;P$79,"",IF(T&lt;=P$11,"",100*h*MAX((EXP(IRTree!P17*h)-1)/h -$D$6,0)))</f>
        <v>1.8654343428790416</v>
      </c>
      <c r="Q83">
        <f>IF($A83&gt;Q$79,"",IF(T&lt;=Q$11,"",100*h*MAX((EXP(IRTree!Q17*h)-1)/h -$D$6,0)))</f>
        <v>2.4759076504307704</v>
      </c>
      <c r="R83">
        <f>IF($A83&gt;R$79,"",IF(T&lt;=R$11,"",100*h*MAX((EXP(IRTree!R17*h)-1)/h -$D$6,0)))</f>
        <v>2.8533718991286823</v>
      </c>
      <c r="S83">
        <f>IF($A83&gt;S$79,"",IF(T&lt;=S$11,"",100*h*MAX((EXP(IRTree!S17*h)-1)/h -$D$6,0)))</f>
        <v>3.3564954995078229</v>
      </c>
      <c r="T83">
        <f>IF($A83&gt;T$79,"",IF(T&lt;=T$11,"",100*h*MAX((EXP(IRTree!T17*h)-1)/h -$D$6,0)))</f>
        <v>3.8182990212681962</v>
      </c>
      <c r="U83">
        <f>IF($A83&gt;U$79,"",IF(T&lt;=U$11,"",100*h*MAX((EXP(IRTree!U17*h)-1)/h -$D$6,0)))</f>
        <v>4.5457839533880007</v>
      </c>
      <c r="V83">
        <f>IF($A83&gt;V$79,"",IF(T&lt;=V$11,"",100*h*MAX((EXP(IRTree!V17*h)-1)/h -$D$6,0)))</f>
        <v>5.2970463539751611</v>
      </c>
      <c r="W83">
        <f>IF($A83&gt;W$79,"",IF(T&lt;=W$11,"",100*h*MAX((EXP(IRTree!W17*h)-1)/h -$D$6,0)))</f>
        <v>6.3446145437152834</v>
      </c>
      <c r="X83">
        <f>IF($A83&gt;X$79,"",IF(T&lt;=X$11,"",100*h*MAX((EXP(IRTree!X17*h)-1)/h -$D$6,0)))</f>
        <v>6.8985186229300233</v>
      </c>
      <c r="Y83">
        <f>IF($A83&gt;Y$79,"",IF(T&lt;=Y$11,"",100*h*MAX((EXP(IRTree!Y17*h)-1)/h -$D$6,0)))</f>
        <v>8.1433970573448331</v>
      </c>
      <c r="Z83">
        <f>IF($A83&gt;Z$79,"",IF(T&lt;=Z$11,"",100*h*MAX((EXP(IRTree!Z17*h)-1)/h -$D$6,0)))</f>
        <v>9.1565029202780046</v>
      </c>
      <c r="AA83">
        <f>IF($A83&gt;AA$79,"",IF(T&lt;=AA$11,"",100*h*MAX((EXP(IRTree!AA17*h)-1)/h -$D$6,0)))</f>
        <v>10.166383072188353</v>
      </c>
      <c r="AB83">
        <f>IF($A83&gt;AB$79,"",IF(T&lt;=AB$11,"",100*h*MAX((EXP(IRTree!AB17*h)-1)/h -$D$6,0)))</f>
        <v>11.764703864243039</v>
      </c>
      <c r="AC83">
        <f>IF($A83&gt;AC$79,"",IF(T&lt;=AC$11,"",100*h*MAX((EXP(IRTree!AC17*h)-1)/h -$D$6,0)))</f>
        <v>13.106055430209567</v>
      </c>
      <c r="AD83">
        <f>IF($A83&gt;AD$79,"",IF(T&lt;=AD$11,"",100*h*MAX((EXP(IRTree!AD17*h)-1)/h -$D$6,0)))</f>
        <v>14.465663261769162</v>
      </c>
      <c r="AE83">
        <f>IF($A83&gt;AE$79,"",IF(T&lt;=AE$11,"",100*h*MAX((EXP(IRTree!AE17*h)-1)/h -$D$6,0)))</f>
        <v>16.226624057827195</v>
      </c>
      <c r="AF83">
        <f>IF($A83&gt;AF$79,"",IF(T&lt;=AF$11,"",100*h*MAX((EXP(IRTree!AF17*h)-1)/h -$D$6,0)))</f>
        <v>18.255492957747325</v>
      </c>
      <c r="AG83">
        <f>IF($A83&gt;AG$79,"",IF(T&lt;=AG$11,"",100*h*MAX((EXP(IRTree!AG17*h)-1)/h -$D$6,0)))</f>
        <v>19.945228478498883</v>
      </c>
      <c r="AH83">
        <f>IF($A83&gt;AH$79,"",IF(T&lt;=AH$11,"",100*h*MAX((EXP(IRTree!AH17*h)-1)/h -$D$6,0)))</f>
        <v>22.146258636628708</v>
      </c>
      <c r="AI83">
        <f>IF($A83&gt;AI$79,"",IF(T&lt;=AI$11,"",100*h*MAX((EXP(IRTree!AI17*h)-1)/h -$D$6,0)))</f>
        <v>22.775264814972378</v>
      </c>
      <c r="AJ83">
        <f>IF($A83&gt;AJ$79,"",IF(T&lt;=AJ$11,"",100*h*MAX((EXP(IRTree!AJ17*h)-1)/h -$D$6,0)))</f>
        <v>23.751238045671268</v>
      </c>
      <c r="AK83">
        <f>IF($A83&gt;AK$79,"",IF(T&lt;=AK$11,"",100*h*MAX((EXP(IRTree!AK17*h)-1)/h -$D$6,0)))</f>
        <v>23.87143737633312</v>
      </c>
      <c r="AL83">
        <f>IF($A83&gt;AL$79,"",IF(T&lt;=AL$11,"",100*h*MAX((EXP(IRTree!AL17*h)-1)/h -$D$6,0)))</f>
        <v>25.586703822066109</v>
      </c>
      <c r="AM83">
        <f>IF($A83&gt;AM$79,"",IF(T&lt;=AM$11,"",100*h*MAX((EXP(IRTree!AM17*h)-1)/h -$D$6,0)))</f>
        <v>24.788012652640894</v>
      </c>
      <c r="AN83">
        <f>IF($A83&gt;AN$79,"",IF(T&lt;=AN$11,"",100*h*MAX((EXP(IRTree!AN17*h)-1)/h -$D$6,0)))</f>
        <v>23.805062782846147</v>
      </c>
      <c r="AO83">
        <f>IF($A83&gt;AO$79,"",IF(T&lt;=AO$11,"",100*h*MAX((EXP(IRTree!AO17*h)-1)/h -$D$6,0)))</f>
        <v>22.804003755110152</v>
      </c>
      <c r="AP83" t="str">
        <f>IF($A83&gt;AP$79,"",IF(T&lt;=AP$11,"",100*h*MAX((EXP(IRTree!AP17*h)-1)/h -$D$6,0)))</f>
        <v/>
      </c>
      <c r="AQ83" t="str">
        <f>IF($A83&gt;AQ$79,"",IF(T&lt;=AQ$11,"",100*h*MAX((EXP(IRTree!AQ17*h)-1)/h -$D$6,0)))</f>
        <v/>
      </c>
      <c r="AR83" t="str">
        <f>IF($A83&gt;AR$79,"",IF(T&lt;=AR$11,"",100*h*MAX((EXP(IRTree!AR17*h)-1)/h -$D$6,0)))</f>
        <v/>
      </c>
      <c r="AS83" t="str">
        <f>IF($A83&gt;AS$79,"",IF(T&lt;=AS$11,"",100*h*MAX((EXP(IRTree!AS17*h)-1)/h -$D$6,0)))</f>
        <v/>
      </c>
      <c r="AT83" t="str">
        <f>IF($A83&gt;AT$79,"",IF(T&lt;=AT$11,"",100*h*MAX((EXP(IRTree!AT17*h)-1)/h -$D$6,0)))</f>
        <v/>
      </c>
      <c r="AU83" t="str">
        <f>IF($A83&gt;AU$79,"",IF(T&lt;=AU$11,"",100*h*MAX((EXP(IRTree!AU17*h)-1)/h -$D$6,0)))</f>
        <v/>
      </c>
      <c r="AV83" t="str">
        <f>IF($A83&gt;AV$79,"",IF(T&lt;=AV$11,"",100*h*MAX((EXP(IRTree!AV17*h)-1)/h -$D$6,0)))</f>
        <v/>
      </c>
      <c r="AW83" t="str">
        <f>IF($A83&gt;AW$79,"",IF(T&lt;=AW$11,"",100*h*MAX((EXP(IRTree!AW17*h)-1)/h -$D$6,0)))</f>
        <v/>
      </c>
      <c r="AX83" t="str">
        <f>IF($A83&gt;AX$79,"",IF(T&lt;=AX$11,"",100*h*MAX((EXP(IRTree!AX17*h)-1)/h -$D$6,0)))</f>
        <v/>
      </c>
      <c r="AY83" t="str">
        <f>IF($A83&gt;AY$79,"",IF(T&lt;=AY$11,"",100*h*MAX((EXP(IRTree!AY17*h)-1)/h -$D$6,0)))</f>
        <v/>
      </c>
      <c r="AZ83" t="str">
        <f>IF($A83&gt;AZ$79,"",IF(T&lt;=AZ$11,"",100*h*MAX((EXP(IRTree!AZ17*h)-1)/h -$D$6,0)))</f>
        <v/>
      </c>
      <c r="BA83" t="str">
        <f>IF($A83&gt;BA$79,"",IF(T&lt;=BA$11,"",100*h*MAX((EXP(IRTree!BA17*h)-1)/h -$D$6,0)))</f>
        <v/>
      </c>
      <c r="BB83" t="str">
        <f>IF($A83&gt;BB$79,"",IF(T&lt;=BB$11,"",100*h*MAX((EXP(IRTree!BB17*h)-1)/h -$D$6,0)))</f>
        <v/>
      </c>
      <c r="BC83" t="str">
        <f>IF($A83&gt;BC$79,"",IF(T&lt;=BC$11,"",100*h*MAX((EXP(IRTree!BC17*h)-1)/h -$D$6,0)))</f>
        <v/>
      </c>
      <c r="BD83" t="str">
        <f>IF($A83&gt;BD$79,"",IF(T&lt;=BD$11,"",100*h*MAX((EXP(IRTree!BD17*h)-1)/h -$D$6,0)))</f>
        <v/>
      </c>
      <c r="BE83" t="str">
        <f>IF($A83&gt;BE$79,"",IF(T&lt;=BE$11,"",100*h*MAX((EXP(IRTree!BE17*h)-1)/h -$D$6,0)))</f>
        <v/>
      </c>
      <c r="BF83" t="str">
        <f>IF($A83&gt;BF$79,"",IF(T&lt;=BF$11,"",100*h*MAX((EXP(IRTree!BF17*h)-1)/h -$D$6,0)))</f>
        <v/>
      </c>
      <c r="BG83" t="str">
        <f>IF($A83&gt;BG$79,"",IF(T&lt;=BG$11,"",100*h*MAX((EXP(IRTree!BG17*h)-1)/h -$D$6,0)))</f>
        <v/>
      </c>
      <c r="BH83" t="str">
        <f>IF($A83&gt;BH$79,"",IF(T&lt;=BH$11,"",100*h*MAX((EXP(IRTree!BH17*h)-1)/h -$D$6,0)))</f>
        <v/>
      </c>
      <c r="BI83" t="str">
        <f>IF($A83&gt;BI$79,"",IF(T&lt;=BI$11,"",100*h*MAX((EXP(IRTree!BI17*h)-1)/h -$D$6,0)))</f>
        <v/>
      </c>
      <c r="BJ83" t="str">
        <f>IF($A83&gt;BJ$79,"",IF(T&lt;=BJ$11,"",100*h*MAX((EXP(IRTree!BJ17*h)-1)/h -$D$6,0)))</f>
        <v/>
      </c>
    </row>
    <row r="84" spans="1:62">
      <c r="A84" s="22">
        <f t="shared" si="5"/>
        <v>4</v>
      </c>
      <c r="B84" t="str">
        <f>IF($A84&gt;B$79,"",IF(T&lt;=B$11,"",100*h*MAX((EXP(IRTree!B18*h)-1)/h -$D$6,0)))</f>
        <v/>
      </c>
      <c r="C84" t="str">
        <f>IF($A84&gt;C$79,"",IF(T&lt;=C$11,"",100*h*MAX((EXP(IRTree!C18*h)-1)/h -$D$6,0)))</f>
        <v/>
      </c>
      <c r="D84" t="str">
        <f>IF($A84&gt;D$79,"",IF(T&lt;=D$11,"",100*h*MAX((EXP(IRTree!D18*h)-1)/h -$D$6,0)))</f>
        <v/>
      </c>
      <c r="E84" t="str">
        <f>IF($A84&gt;E$79,"",IF(T&lt;=E$11,"",100*h*MAX((EXP(IRTree!E18*h)-1)/h -$D$6,0)))</f>
        <v/>
      </c>
      <c r="F84">
        <f>IF($A84&gt;F$79,"",IF(T&lt;=F$11,"",100*h*MAX((EXP(IRTree!F18*h)-1)/h -$D$6,0)))</f>
        <v>0</v>
      </c>
      <c r="G84">
        <f>IF($A84&gt;G$79,"",IF(T&lt;=G$11,"",100*h*MAX((EXP(IRTree!G18*h)-1)/h -$D$6,0)))</f>
        <v>0</v>
      </c>
      <c r="H84">
        <f>IF($A84&gt;H$79,"",IF(T&lt;=H$11,"",100*h*MAX((EXP(IRTree!H18*h)-1)/h -$D$6,0)))</f>
        <v>0</v>
      </c>
      <c r="I84">
        <f>IF($A84&gt;I$79,"",IF(T&lt;=I$11,"",100*h*MAX((EXP(IRTree!I18*h)-1)/h -$D$6,0)))</f>
        <v>0</v>
      </c>
      <c r="J84">
        <f>IF($A84&gt;J$79,"",IF(T&lt;=J$11,"",100*h*MAX((EXP(IRTree!J18*h)-1)/h -$D$6,0)))</f>
        <v>0</v>
      </c>
      <c r="K84">
        <f>IF($A84&gt;K$79,"",IF(T&lt;=K$11,"",100*h*MAX((EXP(IRTree!K18*h)-1)/h -$D$6,0)))</f>
        <v>0</v>
      </c>
      <c r="L84">
        <f>IF($A84&gt;L$79,"",IF(T&lt;=L$11,"",100*h*MAX((EXP(IRTree!L18*h)-1)/h -$D$6,0)))</f>
        <v>9.9041801654004863E-2</v>
      </c>
      <c r="M84">
        <f>IF($A84&gt;M$79,"",IF(T&lt;=M$11,"",100*h*MAX((EXP(IRTree!M18*h)-1)/h -$D$6,0)))</f>
        <v>0.31664677282847253</v>
      </c>
      <c r="N84">
        <f>IF($A84&gt;N$79,"",IF(T&lt;=N$11,"",100*h*MAX((EXP(IRTree!N18*h)-1)/h -$D$6,0)))</f>
        <v>0.53509428865729602</v>
      </c>
      <c r="O84">
        <f>IF($A84&gt;O$79,"",IF(T&lt;=O$11,"",100*h*MAX((EXP(IRTree!O18*h)-1)/h -$D$6,0)))</f>
        <v>0.86289033487234135</v>
      </c>
      <c r="P84">
        <f>IF($A84&gt;P$79,"",IF(T&lt;=P$11,"",100*h*MAX((EXP(IRTree!P18*h)-1)/h -$D$6,0)))</f>
        <v>1.1413795507161548</v>
      </c>
      <c r="Q84">
        <f>IF($A84&gt;Q$79,"",IF(T&lt;=Q$11,"",100*h*MAX((EXP(IRTree!Q18*h)-1)/h -$D$6,0)))</f>
        <v>1.579241983869268</v>
      </c>
      <c r="R84">
        <f>IF($A84&gt;R$79,"",IF(T&lt;=R$11,"",100*h*MAX((EXP(IRTree!R18*h)-1)/h -$D$6,0)))</f>
        <v>1.9068452391929065</v>
      </c>
      <c r="S84">
        <f>IF($A84&gt;S$79,"",IF(T&lt;=S$11,"",100*h*MAX((EXP(IRTree!S18*h)-1)/h -$D$6,0)))</f>
        <v>2.3137517161877237</v>
      </c>
      <c r="T84">
        <f>IF($A84&gt;T$79,"",IF(T&lt;=T$11,"",100*h*MAX((EXP(IRTree!T18*h)-1)/h -$D$6,0)))</f>
        <v>2.7037838513291619</v>
      </c>
      <c r="U84">
        <f>IF($A84&gt;U$79,"",IF(T&lt;=U$11,"",100*h*MAX((EXP(IRTree!U18*h)-1)/h -$D$6,0)))</f>
        <v>3.2672996025268692</v>
      </c>
      <c r="V84">
        <f>IF($A84&gt;V$79,"",IF(T&lt;=V$11,"",100*h*MAX((EXP(IRTree!V18*h)-1)/h -$D$6,0)))</f>
        <v>3.8582733722537461</v>
      </c>
      <c r="W84">
        <f>IF($A84&gt;W$79,"",IF(T&lt;=W$11,"",100*h*MAX((EXP(IRTree!W18*h)-1)/h -$D$6,0)))</f>
        <v>4.653308501055915</v>
      </c>
      <c r="X84">
        <f>IF($A84&gt;X$79,"",IF(T&lt;=X$11,"",100*h*MAX((EXP(IRTree!X18*h)-1)/h -$D$6,0)))</f>
        <v>5.1389072542841374</v>
      </c>
      <c r="Y84">
        <f>IF($A84&gt;Y$79,"",IF(T&lt;=Y$11,"",100*h*MAX((EXP(IRTree!Y18*h)-1)/h -$D$6,0)))</f>
        <v>6.0918698062744925</v>
      </c>
      <c r="Z84">
        <f>IF($A84&gt;Z$79,"",IF(T&lt;=Z$11,"",100*h*MAX((EXP(IRTree!Z18*h)-1)/h -$D$6,0)))</f>
        <v>6.9042529768731997</v>
      </c>
      <c r="AA84">
        <f>IF($A84&gt;AA$79,"",IF(T&lt;=AA$11,"",100*h*MAX((EXP(IRTree!AA18*h)-1)/h -$D$6,0)))</f>
        <v>7.7256731342733431</v>
      </c>
      <c r="AB84">
        <f>IF($A84&gt;AB$79,"",IF(T&lt;=AB$11,"",100*h*MAX((EXP(IRTree!AB18*h)-1)/h -$D$6,0)))</f>
        <v>8.961678069870068</v>
      </c>
      <c r="AC84">
        <f>IF($A84&gt;AC$79,"",IF(T&lt;=AC$11,"",100*h*MAX((EXP(IRTree!AC18*h)-1)/h -$D$6,0)))</f>
        <v>10.035954721483504</v>
      </c>
      <c r="AD84">
        <f>IF($A84&gt;AD$79,"",IF(T&lt;=AD$11,"",100*h*MAX((EXP(IRTree!AD18*h)-1)/h -$D$6,0)))</f>
        <v>11.135636984275884</v>
      </c>
      <c r="AE84">
        <f>IF($A84&gt;AE$79,"",IF(T&lt;=AE$11,"",100*h*MAX((EXP(IRTree!AE18*h)-1)/h -$D$6,0)))</f>
        <v>12.528151996924313</v>
      </c>
      <c r="AF84">
        <f>IF($A84&gt;AF$79,"",IF(T&lt;=AF$11,"",100*h*MAX((EXP(IRTree!AF18*h)-1)/h -$D$6,0)))</f>
        <v>14.122715443640427</v>
      </c>
      <c r="AG84">
        <f>IF($A84&gt;AG$79,"",IF(T&lt;=AG$11,"",100*h*MAX((EXP(IRTree!AG18*h)-1)/h -$D$6,0)))</f>
        <v>15.494356885570875</v>
      </c>
      <c r="AH84">
        <f>IF($A84&gt;AH$79,"",IF(T&lt;=AH$11,"",100*h*MAX((EXP(IRTree!AH18*h)-1)/h -$D$6,0)))</f>
        <v>17.240395813237125</v>
      </c>
      <c r="AI84">
        <f>IF($A84&gt;AI$79,"",IF(T&lt;=AI$11,"",100*h*MAX((EXP(IRTree!AI18*h)-1)/h -$D$6,0)))</f>
        <v>17.880576155221402</v>
      </c>
      <c r="AJ84">
        <f>IF($A84&gt;AJ$79,"",IF(T&lt;=AJ$11,"",100*h*MAX((EXP(IRTree!AJ18*h)-1)/h -$D$6,0)))</f>
        <v>18.769221446394386</v>
      </c>
      <c r="AK84">
        <f>IF($A84&gt;AK$79,"",IF(T&lt;=AK$11,"",100*h*MAX((EXP(IRTree!AK18*h)-1)/h -$D$6,0)))</f>
        <v>19.036547320458869</v>
      </c>
      <c r="AL84">
        <f>IF($A84&gt;AL$79,"",IF(T&lt;=AL$11,"",100*h*MAX((EXP(IRTree!AL18*h)-1)/h -$D$6,0)))</f>
        <v>20.470387865577571</v>
      </c>
      <c r="AM84">
        <f>IF($A84&gt;AM$79,"",IF(T&lt;=AM$11,"",100*h*MAX((EXP(IRTree!AM18*h)-1)/h -$D$6,0)))</f>
        <v>20.048787711124966</v>
      </c>
      <c r="AN84">
        <f>IF($A84&gt;AN$79,"",IF(T&lt;=AN$11,"",100*h*MAX((EXP(IRTree!AN18*h)-1)/h -$D$6,0)))</f>
        <v>19.461644172117413</v>
      </c>
      <c r="AO84">
        <f>IF($A84&gt;AO$79,"",IF(T&lt;=AO$11,"",100*h*MAX((EXP(IRTree!AO18*h)-1)/h -$D$6,0)))</f>
        <v>18.834509176309151</v>
      </c>
      <c r="AP84" t="str">
        <f>IF($A84&gt;AP$79,"",IF(T&lt;=AP$11,"",100*h*MAX((EXP(IRTree!AP18*h)-1)/h -$D$6,0)))</f>
        <v/>
      </c>
      <c r="AQ84" t="str">
        <f>IF($A84&gt;AQ$79,"",IF(T&lt;=AQ$11,"",100*h*MAX((EXP(IRTree!AQ18*h)-1)/h -$D$6,0)))</f>
        <v/>
      </c>
      <c r="AR84" t="str">
        <f>IF($A84&gt;AR$79,"",IF(T&lt;=AR$11,"",100*h*MAX((EXP(IRTree!AR18*h)-1)/h -$D$6,0)))</f>
        <v/>
      </c>
      <c r="AS84" t="str">
        <f>IF($A84&gt;AS$79,"",IF(T&lt;=AS$11,"",100*h*MAX((EXP(IRTree!AS18*h)-1)/h -$D$6,0)))</f>
        <v/>
      </c>
      <c r="AT84" t="str">
        <f>IF($A84&gt;AT$79,"",IF(T&lt;=AT$11,"",100*h*MAX((EXP(IRTree!AT18*h)-1)/h -$D$6,0)))</f>
        <v/>
      </c>
      <c r="AU84" t="str">
        <f>IF($A84&gt;AU$79,"",IF(T&lt;=AU$11,"",100*h*MAX((EXP(IRTree!AU18*h)-1)/h -$D$6,0)))</f>
        <v/>
      </c>
      <c r="AV84" t="str">
        <f>IF($A84&gt;AV$79,"",IF(T&lt;=AV$11,"",100*h*MAX((EXP(IRTree!AV18*h)-1)/h -$D$6,0)))</f>
        <v/>
      </c>
      <c r="AW84" t="str">
        <f>IF($A84&gt;AW$79,"",IF(T&lt;=AW$11,"",100*h*MAX((EXP(IRTree!AW18*h)-1)/h -$D$6,0)))</f>
        <v/>
      </c>
      <c r="AX84" t="str">
        <f>IF($A84&gt;AX$79,"",IF(T&lt;=AX$11,"",100*h*MAX((EXP(IRTree!AX18*h)-1)/h -$D$6,0)))</f>
        <v/>
      </c>
      <c r="AY84" t="str">
        <f>IF($A84&gt;AY$79,"",IF(T&lt;=AY$11,"",100*h*MAX((EXP(IRTree!AY18*h)-1)/h -$D$6,0)))</f>
        <v/>
      </c>
      <c r="AZ84" t="str">
        <f>IF($A84&gt;AZ$79,"",IF(T&lt;=AZ$11,"",100*h*MAX((EXP(IRTree!AZ18*h)-1)/h -$D$6,0)))</f>
        <v/>
      </c>
      <c r="BA84" t="str">
        <f>IF($A84&gt;BA$79,"",IF(T&lt;=BA$11,"",100*h*MAX((EXP(IRTree!BA18*h)-1)/h -$D$6,0)))</f>
        <v/>
      </c>
      <c r="BB84" t="str">
        <f>IF($A84&gt;BB$79,"",IF(T&lt;=BB$11,"",100*h*MAX((EXP(IRTree!BB18*h)-1)/h -$D$6,0)))</f>
        <v/>
      </c>
      <c r="BC84" t="str">
        <f>IF($A84&gt;BC$79,"",IF(T&lt;=BC$11,"",100*h*MAX((EXP(IRTree!BC18*h)-1)/h -$D$6,0)))</f>
        <v/>
      </c>
      <c r="BD84" t="str">
        <f>IF($A84&gt;BD$79,"",IF(T&lt;=BD$11,"",100*h*MAX((EXP(IRTree!BD18*h)-1)/h -$D$6,0)))</f>
        <v/>
      </c>
      <c r="BE84" t="str">
        <f>IF($A84&gt;BE$79,"",IF(T&lt;=BE$11,"",100*h*MAX((EXP(IRTree!BE18*h)-1)/h -$D$6,0)))</f>
        <v/>
      </c>
      <c r="BF84" t="str">
        <f>IF($A84&gt;BF$79,"",IF(T&lt;=BF$11,"",100*h*MAX((EXP(IRTree!BF18*h)-1)/h -$D$6,0)))</f>
        <v/>
      </c>
      <c r="BG84" t="str">
        <f>IF($A84&gt;BG$79,"",IF(T&lt;=BG$11,"",100*h*MAX((EXP(IRTree!BG18*h)-1)/h -$D$6,0)))</f>
        <v/>
      </c>
      <c r="BH84" t="str">
        <f>IF($A84&gt;BH$79,"",IF(T&lt;=BH$11,"",100*h*MAX((EXP(IRTree!BH18*h)-1)/h -$D$6,0)))</f>
        <v/>
      </c>
      <c r="BI84" t="str">
        <f>IF($A84&gt;BI$79,"",IF(T&lt;=BI$11,"",100*h*MAX((EXP(IRTree!BI18*h)-1)/h -$D$6,0)))</f>
        <v/>
      </c>
      <c r="BJ84" t="str">
        <f>IF($A84&gt;BJ$79,"",IF(T&lt;=BJ$11,"",100*h*MAX((EXP(IRTree!BJ18*h)-1)/h -$D$6,0)))</f>
        <v/>
      </c>
    </row>
    <row r="85" spans="1:62">
      <c r="A85" s="22">
        <f t="shared" si="5"/>
        <v>5</v>
      </c>
      <c r="B85" t="str">
        <f>IF($A85&gt;B$79,"",IF(T&lt;=B$11,"",100*h*MAX((EXP(IRTree!B19*h)-1)/h -$D$6,0)))</f>
        <v/>
      </c>
      <c r="C85" t="str">
        <f>IF($A85&gt;C$79,"",IF(T&lt;=C$11,"",100*h*MAX((EXP(IRTree!C19*h)-1)/h -$D$6,0)))</f>
        <v/>
      </c>
      <c r="D85" t="str">
        <f>IF($A85&gt;D$79,"",IF(T&lt;=D$11,"",100*h*MAX((EXP(IRTree!D19*h)-1)/h -$D$6,0)))</f>
        <v/>
      </c>
      <c r="E85" t="str">
        <f>IF($A85&gt;E$79,"",IF(T&lt;=E$11,"",100*h*MAX((EXP(IRTree!E19*h)-1)/h -$D$6,0)))</f>
        <v/>
      </c>
      <c r="F85" t="str">
        <f>IF($A85&gt;F$79,"",IF(T&lt;=F$11,"",100*h*MAX((EXP(IRTree!F19*h)-1)/h -$D$6,0)))</f>
        <v/>
      </c>
      <c r="G85">
        <f>IF($A85&gt;G$79,"",IF(T&lt;=G$11,"",100*h*MAX((EXP(IRTree!G19*h)-1)/h -$D$6,0)))</f>
        <v>0</v>
      </c>
      <c r="H85">
        <f>IF($A85&gt;H$79,"",IF(T&lt;=H$11,"",100*h*MAX((EXP(IRTree!H19*h)-1)/h -$D$6,0)))</f>
        <v>0</v>
      </c>
      <c r="I85">
        <f>IF($A85&gt;I$79,"",IF(T&lt;=I$11,"",100*h*MAX((EXP(IRTree!I19*h)-1)/h -$D$6,0)))</f>
        <v>0</v>
      </c>
      <c r="J85">
        <f>IF($A85&gt;J$79,"",IF(T&lt;=J$11,"",100*h*MAX((EXP(IRTree!J19*h)-1)/h -$D$6,0)))</f>
        <v>0</v>
      </c>
      <c r="K85">
        <f>IF($A85&gt;K$79,"",IF(T&lt;=K$11,"",100*h*MAX((EXP(IRTree!K19*h)-1)/h -$D$6,0)))</f>
        <v>0</v>
      </c>
      <c r="L85">
        <f>IF($A85&gt;L$79,"",IF(T&lt;=L$11,"",100*h*MAX((EXP(IRTree!L19*h)-1)/h -$D$6,0)))</f>
        <v>0</v>
      </c>
      <c r="M85">
        <f>IF($A85&gt;M$79,"",IF(T&lt;=M$11,"",100*h*MAX((EXP(IRTree!M19*h)-1)/h -$D$6,0)))</f>
        <v>0</v>
      </c>
      <c r="N85">
        <f>IF($A85&gt;N$79,"",IF(T&lt;=N$11,"",100*h*MAX((EXP(IRTree!N19*h)-1)/h -$D$6,0)))</f>
        <v>0.13730303071818969</v>
      </c>
      <c r="O85">
        <f>IF($A85&gt;O$79,"",IF(T&lt;=O$11,"",100*h*MAX((EXP(IRTree!O19*h)-1)/h -$D$6,0)))</f>
        <v>0.36212296211585815</v>
      </c>
      <c r="P85">
        <f>IF($A85&gt;P$79,"",IF(T&lt;=P$11,"",100*h*MAX((EXP(IRTree!P19*h)-1)/h -$D$6,0)))</f>
        <v>0.59402505931973137</v>
      </c>
      <c r="Q85">
        <f>IF($A85&gt;Q$79,"",IF(T&lt;=Q$11,"",100*h*MAX((EXP(IRTree!Q19*h)-1)/h -$D$6,0)))</f>
        <v>0.90796873457687588</v>
      </c>
      <c r="R85">
        <f>IF($A85&gt;R$79,"",IF(T&lt;=R$11,"",100*h*MAX((EXP(IRTree!R19*h)-1)/h -$D$6,0)))</f>
        <v>1.1879469688436293</v>
      </c>
      <c r="S85">
        <f>IF($A85&gt;S$79,"",IF(T&lt;=S$11,"",100*h*MAX((EXP(IRTree!S19*h)-1)/h -$D$6,0)))</f>
        <v>1.5166280628993343</v>
      </c>
      <c r="T85">
        <f>IF($A85&gt;T$79,"",IF(T&lt;=T$11,"",100*h*MAX((EXP(IRTree!T19*h)-1)/h -$D$6,0)))</f>
        <v>1.8440339379923461</v>
      </c>
      <c r="U85">
        <f>IF($A85&gt;U$79,"",IF(T&lt;=U$11,"",100*h*MAX((EXP(IRTree!U19*h)-1)/h -$D$6,0)))</f>
        <v>2.2816270192548234</v>
      </c>
      <c r="V85">
        <f>IF($A85&gt;V$79,"",IF(T&lt;=V$11,"",100*h*MAX((EXP(IRTree!V19*h)-1)/h -$D$6,0)))</f>
        <v>2.7476303411804577</v>
      </c>
      <c r="W85">
        <f>IF($A85&gt;W$79,"",IF(T&lt;=W$11,"",100*h*MAX((EXP(IRTree!W19*h)-1)/h -$D$6,0)))</f>
        <v>3.3528548705482337</v>
      </c>
      <c r="X85">
        <f>IF($A85&gt;X$79,"",IF(T&lt;=X$11,"",100*h*MAX((EXP(IRTree!X19*h)-1)/h -$D$6,0)))</f>
        <v>3.7738593836457563</v>
      </c>
      <c r="Y85">
        <f>IF($A85&gt;Y$79,"",IF(T&lt;=Y$11,"",100*h*MAX((EXP(IRTree!Y19*h)-1)/h -$D$6,0)))</f>
        <v>4.5060484276915069</v>
      </c>
      <c r="Z85">
        <f>IF($A85&gt;Z$79,"",IF(T&lt;=Z$11,"",100*h*MAX((EXP(IRTree!Z19*h)-1)/h -$D$6,0)))</f>
        <v>5.1593295323277122</v>
      </c>
      <c r="AA85">
        <f>IF($A85&gt;AA$79,"",IF(T&lt;=AA$11,"",100*h*MAX((EXP(IRTree!AA19*h)-1)/h -$D$6,0)))</f>
        <v>5.8289015453095683</v>
      </c>
      <c r="AB85">
        <f>IF($A85&gt;AB$79,"",IF(T&lt;=AB$11,"",100*h*MAX((EXP(IRTree!AB19*h)-1)/h -$D$6,0)))</f>
        <v>6.7894218476311119</v>
      </c>
      <c r="AC85">
        <f>IF($A85&gt;AC$79,"",IF(T&lt;=AC$11,"",100*h*MAX((EXP(IRTree!AC19*h)-1)/h -$D$6,0)))</f>
        <v>7.6534405825902718</v>
      </c>
      <c r="AD85">
        <f>IF($A85&gt;AD$79,"",IF(T&lt;=AD$11,"",100*h*MAX((EXP(IRTree!AD19*h)-1)/h -$D$6,0)))</f>
        <v>8.5464062747226244</v>
      </c>
      <c r="AE85">
        <f>IF($A85&gt;AE$79,"",IF(T&lt;=AE$11,"",100*h*MAX((EXP(IRTree!AE19*h)-1)/h -$D$6,0)))</f>
        <v>9.6539211311354745</v>
      </c>
      <c r="AF85">
        <f>IF($A85&gt;AF$79,"",IF(T&lt;=AF$11,"",100*h*MAX((EXP(IRTree!AF19*h)-1)/h -$D$6,0)))</f>
        <v>10.915294977834563</v>
      </c>
      <c r="AG85">
        <f>IF($A85&gt;AG$79,"",IF(T&lt;=AG$11,"",100*h*MAX((EXP(IRTree!AG19*h)-1)/h -$D$6,0)))</f>
        <v>12.034313404501692</v>
      </c>
      <c r="AH85">
        <f>IF($A85&gt;AH$79,"",IF(T&lt;=AH$11,"",100*h*MAX((EXP(IRTree!AH19*h)-1)/h -$D$6,0)))</f>
        <v>13.429191066894836</v>
      </c>
      <c r="AI85">
        <f>IF($A85&gt;AI$79,"",IF(T&lt;=AI$11,"",100*h*MAX((EXP(IRTree!AI19*h)-1)/h -$D$6,0)))</f>
        <v>14.049013302840358</v>
      </c>
      <c r="AJ85">
        <f>IF($A85&gt;AJ$79,"",IF(T&lt;=AJ$11,"",100*h*MAX((EXP(IRTree!AJ19*h)-1)/h -$D$6,0)))</f>
        <v>14.848017154932508</v>
      </c>
      <c r="AK85">
        <f>IF($A85&gt;AK$79,"",IF(T&lt;=AK$11,"",100*h*MAX((EXP(IRTree!AK19*h)-1)/h -$D$6,0)))</f>
        <v>15.197114028056873</v>
      </c>
      <c r="AL85">
        <f>IF($A85&gt;AL$79,"",IF(T&lt;=AL$11,"",100*h*MAX((EXP(IRTree!AL19*h)-1)/h -$D$6,0)))</f>
        <v>16.400876646115552</v>
      </c>
      <c r="AM85">
        <f>IF($A85&gt;AM$79,"",IF(T&lt;=AM$11,"",100*h*MAX((EXP(IRTree!AM19*h)-1)/h -$D$6,0)))</f>
        <v>16.235199698684273</v>
      </c>
      <c r="AN85">
        <f>IF($A85&gt;AN$79,"",IF(T&lt;=AN$11,"",100*h*MAX((EXP(IRTree!AN19*h)-1)/h -$D$6,0)))</f>
        <v>15.925811270391293</v>
      </c>
      <c r="AO85">
        <f>IF($A85&gt;AO$79,"",IF(T&lt;=AO$11,"",100*h*MAX((EXP(IRTree!AO19*h)-1)/h -$D$6,0)))</f>
        <v>15.567152247809796</v>
      </c>
      <c r="AP85" t="str">
        <f>IF($A85&gt;AP$79,"",IF(T&lt;=AP$11,"",100*h*MAX((EXP(IRTree!AP19*h)-1)/h -$D$6,0)))</f>
        <v/>
      </c>
      <c r="AQ85" t="str">
        <f>IF($A85&gt;AQ$79,"",IF(T&lt;=AQ$11,"",100*h*MAX((EXP(IRTree!AQ19*h)-1)/h -$D$6,0)))</f>
        <v/>
      </c>
      <c r="AR85" t="str">
        <f>IF($A85&gt;AR$79,"",IF(T&lt;=AR$11,"",100*h*MAX((EXP(IRTree!AR19*h)-1)/h -$D$6,0)))</f>
        <v/>
      </c>
      <c r="AS85" t="str">
        <f>IF($A85&gt;AS$79,"",IF(T&lt;=AS$11,"",100*h*MAX((EXP(IRTree!AS19*h)-1)/h -$D$6,0)))</f>
        <v/>
      </c>
      <c r="AT85" t="str">
        <f>IF($A85&gt;AT$79,"",IF(T&lt;=AT$11,"",100*h*MAX((EXP(IRTree!AT19*h)-1)/h -$D$6,0)))</f>
        <v/>
      </c>
      <c r="AU85" t="str">
        <f>IF($A85&gt;AU$79,"",IF(T&lt;=AU$11,"",100*h*MAX((EXP(IRTree!AU19*h)-1)/h -$D$6,0)))</f>
        <v/>
      </c>
      <c r="AV85" t="str">
        <f>IF($A85&gt;AV$79,"",IF(T&lt;=AV$11,"",100*h*MAX((EXP(IRTree!AV19*h)-1)/h -$D$6,0)))</f>
        <v/>
      </c>
      <c r="AW85" t="str">
        <f>IF($A85&gt;AW$79,"",IF(T&lt;=AW$11,"",100*h*MAX((EXP(IRTree!AW19*h)-1)/h -$D$6,0)))</f>
        <v/>
      </c>
      <c r="AX85" t="str">
        <f>IF($A85&gt;AX$79,"",IF(T&lt;=AX$11,"",100*h*MAX((EXP(IRTree!AX19*h)-1)/h -$D$6,0)))</f>
        <v/>
      </c>
      <c r="AY85" t="str">
        <f>IF($A85&gt;AY$79,"",IF(T&lt;=AY$11,"",100*h*MAX((EXP(IRTree!AY19*h)-1)/h -$D$6,0)))</f>
        <v/>
      </c>
      <c r="AZ85" t="str">
        <f>IF($A85&gt;AZ$79,"",IF(T&lt;=AZ$11,"",100*h*MAX((EXP(IRTree!AZ19*h)-1)/h -$D$6,0)))</f>
        <v/>
      </c>
      <c r="BA85" t="str">
        <f>IF($A85&gt;BA$79,"",IF(T&lt;=BA$11,"",100*h*MAX((EXP(IRTree!BA19*h)-1)/h -$D$6,0)))</f>
        <v/>
      </c>
      <c r="BB85" t="str">
        <f>IF($A85&gt;BB$79,"",IF(T&lt;=BB$11,"",100*h*MAX((EXP(IRTree!BB19*h)-1)/h -$D$6,0)))</f>
        <v/>
      </c>
      <c r="BC85" t="str">
        <f>IF($A85&gt;BC$79,"",IF(T&lt;=BC$11,"",100*h*MAX((EXP(IRTree!BC19*h)-1)/h -$D$6,0)))</f>
        <v/>
      </c>
      <c r="BD85" t="str">
        <f>IF($A85&gt;BD$79,"",IF(T&lt;=BD$11,"",100*h*MAX((EXP(IRTree!BD19*h)-1)/h -$D$6,0)))</f>
        <v/>
      </c>
      <c r="BE85" t="str">
        <f>IF($A85&gt;BE$79,"",IF(T&lt;=BE$11,"",100*h*MAX((EXP(IRTree!BE19*h)-1)/h -$D$6,0)))</f>
        <v/>
      </c>
      <c r="BF85" t="str">
        <f>IF($A85&gt;BF$79,"",IF(T&lt;=BF$11,"",100*h*MAX((EXP(IRTree!BF19*h)-1)/h -$D$6,0)))</f>
        <v/>
      </c>
      <c r="BG85" t="str">
        <f>IF($A85&gt;BG$79,"",IF(T&lt;=BG$11,"",100*h*MAX((EXP(IRTree!BG19*h)-1)/h -$D$6,0)))</f>
        <v/>
      </c>
      <c r="BH85" t="str">
        <f>IF($A85&gt;BH$79,"",IF(T&lt;=BH$11,"",100*h*MAX((EXP(IRTree!BH19*h)-1)/h -$D$6,0)))</f>
        <v/>
      </c>
      <c r="BI85" t="str">
        <f>IF($A85&gt;BI$79,"",IF(T&lt;=BI$11,"",100*h*MAX((EXP(IRTree!BI19*h)-1)/h -$D$6,0)))</f>
        <v/>
      </c>
      <c r="BJ85" t="str">
        <f>IF($A85&gt;BJ$79,"",IF(T&lt;=BJ$11,"",100*h*MAX((EXP(IRTree!BJ19*h)-1)/h -$D$6,0)))</f>
        <v/>
      </c>
    </row>
    <row r="86" spans="1:62">
      <c r="A86" s="22">
        <f t="shared" si="5"/>
        <v>6</v>
      </c>
      <c r="B86" t="str">
        <f>IF($A86&gt;B$79,"",IF(T&lt;=B$11,"",100*h*MAX((EXP(IRTree!B20*h)-1)/h -$D$6,0)))</f>
        <v/>
      </c>
      <c r="C86" t="str">
        <f>IF($A86&gt;C$79,"",IF(T&lt;=C$11,"",100*h*MAX((EXP(IRTree!C20*h)-1)/h -$D$6,0)))</f>
        <v/>
      </c>
      <c r="D86" t="str">
        <f>IF($A86&gt;D$79,"",IF(T&lt;=D$11,"",100*h*MAX((EXP(IRTree!D20*h)-1)/h -$D$6,0)))</f>
        <v/>
      </c>
      <c r="E86" t="str">
        <f>IF($A86&gt;E$79,"",IF(T&lt;=E$11,"",100*h*MAX((EXP(IRTree!E20*h)-1)/h -$D$6,0)))</f>
        <v/>
      </c>
      <c r="F86" t="str">
        <f>IF($A86&gt;F$79,"",IF(T&lt;=F$11,"",100*h*MAX((EXP(IRTree!F20*h)-1)/h -$D$6,0)))</f>
        <v/>
      </c>
      <c r="G86" t="str">
        <f>IF($A86&gt;G$79,"",IF(T&lt;=G$11,"",100*h*MAX((EXP(IRTree!G20*h)-1)/h -$D$6,0)))</f>
        <v/>
      </c>
      <c r="H86">
        <f>IF($A86&gt;H$79,"",IF(T&lt;=H$11,"",100*h*MAX((EXP(IRTree!H20*h)-1)/h -$D$6,0)))</f>
        <v>0</v>
      </c>
      <c r="I86">
        <f>IF($A86&gt;I$79,"",IF(T&lt;=I$11,"",100*h*MAX((EXP(IRTree!I20*h)-1)/h -$D$6,0)))</f>
        <v>0</v>
      </c>
      <c r="J86">
        <f>IF($A86&gt;J$79,"",IF(T&lt;=J$11,"",100*h*MAX((EXP(IRTree!J20*h)-1)/h -$D$6,0)))</f>
        <v>0</v>
      </c>
      <c r="K86">
        <f>IF($A86&gt;K$79,"",IF(T&lt;=K$11,"",100*h*MAX((EXP(IRTree!K20*h)-1)/h -$D$6,0)))</f>
        <v>0</v>
      </c>
      <c r="L86">
        <f>IF($A86&gt;L$79,"",IF(T&lt;=L$11,"",100*h*MAX((EXP(IRTree!L20*h)-1)/h -$D$6,0)))</f>
        <v>0</v>
      </c>
      <c r="M86">
        <f>IF($A86&gt;M$79,"",IF(T&lt;=M$11,"",100*h*MAX((EXP(IRTree!M20*h)-1)/h -$D$6,0)))</f>
        <v>0</v>
      </c>
      <c r="N86">
        <f>IF($A86&gt;N$79,"",IF(T&lt;=N$11,"",100*h*MAX((EXP(IRTree!N20*h)-1)/h -$D$6,0)))</f>
        <v>0</v>
      </c>
      <c r="O86">
        <f>IF($A86&gt;O$79,"",IF(T&lt;=O$11,"",100*h*MAX((EXP(IRTree!O20*h)-1)/h -$D$6,0)))</f>
        <v>0</v>
      </c>
      <c r="P86">
        <f>IF($A86&gt;P$79,"",IF(T&lt;=P$11,"",100*h*MAX((EXP(IRTree!P20*h)-1)/h -$D$6,0)))</f>
        <v>0.17963278015366654</v>
      </c>
      <c r="Q86">
        <f>IF($A86&gt;Q$79,"",IF(T&lt;=Q$11,"",100*h*MAX((EXP(IRTree!Q20*h)-1)/h -$D$6,0)))</f>
        <v>0.40448921047797159</v>
      </c>
      <c r="R86">
        <f>IF($A86&gt;R$79,"",IF(T&lt;=R$11,"",100*h*MAX((EXP(IRTree!R20*h)-1)/h -$D$6,0)))</f>
        <v>0.64090091787491565</v>
      </c>
      <c r="S86">
        <f>IF($A86&gt;S$79,"",IF(T&lt;=S$11,"",100*h*MAX((EXP(IRTree!S20*h)-1)/h -$D$6,0)))</f>
        <v>0.90602849509477479</v>
      </c>
      <c r="T86">
        <f>IF($A86&gt;T$79,"",IF(T&lt;=T$11,"",100*h*MAX((EXP(IRTree!T20*h)-1)/h -$D$6,0)))</f>
        <v>1.1794176911188845</v>
      </c>
      <c r="U86">
        <f>IF($A86&gt;U$79,"",IF(T&lt;=U$11,"",100*h*MAX((EXP(IRTree!U20*h)-1)/h -$D$6,0)))</f>
        <v>1.5198847764540344</v>
      </c>
      <c r="V86">
        <f>IF($A86&gt;V$79,"",IF(T&lt;=V$11,"",100*h*MAX((EXP(IRTree!V20*h)-1)/h -$D$6,0)))</f>
        <v>1.8880065472571324</v>
      </c>
      <c r="W86">
        <f>IF($A86&gt;W$79,"",IF(T&lt;=W$11,"",100*h*MAX((EXP(IRTree!W20*h)-1)/h -$D$6,0)))</f>
        <v>2.3498155235621661</v>
      </c>
      <c r="X86">
        <f>IF($A86&gt;X$79,"",IF(T&lt;=X$11,"",100*h*MAX((EXP(IRTree!X20*h)-1)/h -$D$6,0)))</f>
        <v>2.7115872608727227</v>
      </c>
      <c r="Y86">
        <f>IF($A86&gt;Y$79,"",IF(T&lt;=Y$11,"",100*h*MAX((EXP(IRTree!Y20*h)-1)/h -$D$6,0)))</f>
        <v>3.2757684563378748</v>
      </c>
      <c r="Z86">
        <f>IF($A86&gt;Z$79,"",IF(T&lt;=Z$11,"",100*h*MAX((EXP(IRTree!Z20*h)-1)/h -$D$6,0)))</f>
        <v>3.8021813015763413</v>
      </c>
      <c r="AA86">
        <f>IF($A86&gt;AA$79,"",IF(T&lt;=AA$11,"",100*h*MAX((EXP(IRTree!AA20*h)-1)/h -$D$6,0)))</f>
        <v>4.3487567125345805</v>
      </c>
      <c r="AB86">
        <f>IF($A86&gt;AB$79,"",IF(T&lt;=AB$11,"",100*h*MAX((EXP(IRTree!AB20*h)-1)/h -$D$6,0)))</f>
        <v>5.0981006521123318</v>
      </c>
      <c r="AC86">
        <f>IF($A86&gt;AC$79,"",IF(T&lt;=AC$11,"",100*h*MAX((EXP(IRTree!AC20*h)-1)/h -$D$6,0)))</f>
        <v>5.7952312596552824</v>
      </c>
      <c r="AD86">
        <f>IF($A86&gt;AD$79,"",IF(T&lt;=AD$11,"",100*h*MAX((EXP(IRTree!AD20*h)-1)/h -$D$6,0)))</f>
        <v>6.5224614590137353</v>
      </c>
      <c r="AE86">
        <f>IF($A86&gt;AE$79,"",IF(T&lt;=AE$11,"",100*h*MAX((EXP(IRTree!AE20*h)-1)/h -$D$6,0)))</f>
        <v>7.4073089779232726</v>
      </c>
      <c r="AF86">
        <f>IF($A86&gt;AF$79,"",IF(T&lt;=AF$11,"",100*h*MAX((EXP(IRTree!AF20*h)-1)/h -$D$6,0)))</f>
        <v>8.4102645689345188</v>
      </c>
      <c r="AG86">
        <f>IF($A86&gt;AG$79,"",IF(T&lt;=AG$11,"",100*h*MAX((EXP(IRTree!AG20*h)-1)/h -$D$6,0)))</f>
        <v>9.3266448991538429</v>
      </c>
      <c r="AH86">
        <f>IF($A86&gt;AH$79,"",IF(T&lt;=AH$11,"",100*h*MAX((EXP(IRTree!AH20*h)-1)/h -$D$6,0)))</f>
        <v>10.447216897807317</v>
      </c>
      <c r="AI86">
        <f>IF($A86&gt;AI$79,"",IF(T&lt;=AI$11,"",100*h*MAX((EXP(IRTree!AI20*h)-1)/h -$D$6,0)))</f>
        <v>11.028972816315004</v>
      </c>
      <c r="AJ86">
        <f>IF($A86&gt;AJ$79,"",IF(T&lt;=AJ$11,"",100*h*MAX((EXP(IRTree!AJ20*h)-1)/h -$D$6,0)))</f>
        <v>11.74073688661081</v>
      </c>
      <c r="AK86">
        <f>IF($A86&gt;AK$79,"",IF(T&lt;=AK$11,"",100*h*MAX((EXP(IRTree!AK20*h)-1)/h -$D$6,0)))</f>
        <v>12.128715964219268</v>
      </c>
      <c r="AL86">
        <f>IF($A86&gt;AL$79,"",IF(T&lt;=AL$11,"",100*h*MAX((EXP(IRTree!AL20*h)-1)/h -$D$6,0)))</f>
        <v>13.142696995059428</v>
      </c>
      <c r="AM86">
        <f>IF($A86&gt;AM$79,"",IF(T&lt;=AM$11,"",100*h*MAX((EXP(IRTree!AM20*h)-1)/h -$D$6,0)))</f>
        <v>13.148418538324885</v>
      </c>
      <c r="AN86">
        <f>IF($A86&gt;AN$79,"",IF(T&lt;=AN$11,"",100*h*MAX((EXP(IRTree!AN20*h)-1)/h -$D$6,0)))</f>
        <v>13.032451152445018</v>
      </c>
      <c r="AO86">
        <f>IF($A86&gt;AO$79,"",IF(T&lt;=AO$11,"",100*h*MAX((EXP(IRTree!AO20*h)-1)/h -$D$6,0)))</f>
        <v>12.865422325601855</v>
      </c>
      <c r="AP86" t="str">
        <f>IF($A86&gt;AP$79,"",IF(T&lt;=AP$11,"",100*h*MAX((EXP(IRTree!AP20*h)-1)/h -$D$6,0)))</f>
        <v/>
      </c>
      <c r="AQ86" t="str">
        <f>IF($A86&gt;AQ$79,"",IF(T&lt;=AQ$11,"",100*h*MAX((EXP(IRTree!AQ20*h)-1)/h -$D$6,0)))</f>
        <v/>
      </c>
      <c r="AR86" t="str">
        <f>IF($A86&gt;AR$79,"",IF(T&lt;=AR$11,"",100*h*MAX((EXP(IRTree!AR20*h)-1)/h -$D$6,0)))</f>
        <v/>
      </c>
      <c r="AS86" t="str">
        <f>IF($A86&gt;AS$79,"",IF(T&lt;=AS$11,"",100*h*MAX((EXP(IRTree!AS20*h)-1)/h -$D$6,0)))</f>
        <v/>
      </c>
      <c r="AT86" t="str">
        <f>IF($A86&gt;AT$79,"",IF(T&lt;=AT$11,"",100*h*MAX((EXP(IRTree!AT20*h)-1)/h -$D$6,0)))</f>
        <v/>
      </c>
      <c r="AU86" t="str">
        <f>IF($A86&gt;AU$79,"",IF(T&lt;=AU$11,"",100*h*MAX((EXP(IRTree!AU20*h)-1)/h -$D$6,0)))</f>
        <v/>
      </c>
      <c r="AV86" t="str">
        <f>IF($A86&gt;AV$79,"",IF(T&lt;=AV$11,"",100*h*MAX((EXP(IRTree!AV20*h)-1)/h -$D$6,0)))</f>
        <v/>
      </c>
      <c r="AW86" t="str">
        <f>IF($A86&gt;AW$79,"",IF(T&lt;=AW$11,"",100*h*MAX((EXP(IRTree!AW20*h)-1)/h -$D$6,0)))</f>
        <v/>
      </c>
      <c r="AX86" t="str">
        <f>IF($A86&gt;AX$79,"",IF(T&lt;=AX$11,"",100*h*MAX((EXP(IRTree!AX20*h)-1)/h -$D$6,0)))</f>
        <v/>
      </c>
      <c r="AY86" t="str">
        <f>IF($A86&gt;AY$79,"",IF(T&lt;=AY$11,"",100*h*MAX((EXP(IRTree!AY20*h)-1)/h -$D$6,0)))</f>
        <v/>
      </c>
      <c r="AZ86" t="str">
        <f>IF($A86&gt;AZ$79,"",IF(T&lt;=AZ$11,"",100*h*MAX((EXP(IRTree!AZ20*h)-1)/h -$D$6,0)))</f>
        <v/>
      </c>
      <c r="BA86" t="str">
        <f>IF($A86&gt;BA$79,"",IF(T&lt;=BA$11,"",100*h*MAX((EXP(IRTree!BA20*h)-1)/h -$D$6,0)))</f>
        <v/>
      </c>
      <c r="BB86" t="str">
        <f>IF($A86&gt;BB$79,"",IF(T&lt;=BB$11,"",100*h*MAX((EXP(IRTree!BB20*h)-1)/h -$D$6,0)))</f>
        <v/>
      </c>
      <c r="BC86" t="str">
        <f>IF($A86&gt;BC$79,"",IF(T&lt;=BC$11,"",100*h*MAX((EXP(IRTree!BC20*h)-1)/h -$D$6,0)))</f>
        <v/>
      </c>
      <c r="BD86" t="str">
        <f>IF($A86&gt;BD$79,"",IF(T&lt;=BD$11,"",100*h*MAX((EXP(IRTree!BD20*h)-1)/h -$D$6,0)))</f>
        <v/>
      </c>
      <c r="BE86" t="str">
        <f>IF($A86&gt;BE$79,"",IF(T&lt;=BE$11,"",100*h*MAX((EXP(IRTree!BE20*h)-1)/h -$D$6,0)))</f>
        <v/>
      </c>
      <c r="BF86" t="str">
        <f>IF($A86&gt;BF$79,"",IF(T&lt;=BF$11,"",100*h*MAX((EXP(IRTree!BF20*h)-1)/h -$D$6,0)))</f>
        <v/>
      </c>
      <c r="BG86" t="str">
        <f>IF($A86&gt;BG$79,"",IF(T&lt;=BG$11,"",100*h*MAX((EXP(IRTree!BG20*h)-1)/h -$D$6,0)))</f>
        <v/>
      </c>
      <c r="BH86" t="str">
        <f>IF($A86&gt;BH$79,"",IF(T&lt;=BH$11,"",100*h*MAX((EXP(IRTree!BH20*h)-1)/h -$D$6,0)))</f>
        <v/>
      </c>
      <c r="BI86" t="str">
        <f>IF($A86&gt;BI$79,"",IF(T&lt;=BI$11,"",100*h*MAX((EXP(IRTree!BI20*h)-1)/h -$D$6,0)))</f>
        <v/>
      </c>
      <c r="BJ86" t="str">
        <f>IF($A86&gt;BJ$79,"",IF(T&lt;=BJ$11,"",100*h*MAX((EXP(IRTree!BJ20*h)-1)/h -$D$6,0)))</f>
        <v/>
      </c>
    </row>
    <row r="87" spans="1:62">
      <c r="A87" s="22">
        <f t="shared" si="5"/>
        <v>7</v>
      </c>
      <c r="B87" t="str">
        <f>IF($A87&gt;B$79,"",IF(T&lt;=B$11,"",100*h*MAX((EXP(IRTree!B21*h)-1)/h -$D$6,0)))</f>
        <v/>
      </c>
      <c r="C87" t="str">
        <f>IF($A87&gt;C$79,"",IF(T&lt;=C$11,"",100*h*MAX((EXP(IRTree!C21*h)-1)/h -$D$6,0)))</f>
        <v/>
      </c>
      <c r="D87" t="str">
        <f>IF($A87&gt;D$79,"",IF(T&lt;=D$11,"",100*h*MAX((EXP(IRTree!D21*h)-1)/h -$D$6,0)))</f>
        <v/>
      </c>
      <c r="E87" t="str">
        <f>IF($A87&gt;E$79,"",IF(T&lt;=E$11,"",100*h*MAX((EXP(IRTree!E21*h)-1)/h -$D$6,0)))</f>
        <v/>
      </c>
      <c r="F87" t="str">
        <f>IF($A87&gt;F$79,"",IF(T&lt;=F$11,"",100*h*MAX((EXP(IRTree!F21*h)-1)/h -$D$6,0)))</f>
        <v/>
      </c>
      <c r="G87" t="str">
        <f>IF($A87&gt;G$79,"",IF(T&lt;=G$11,"",100*h*MAX((EXP(IRTree!G21*h)-1)/h -$D$6,0)))</f>
        <v/>
      </c>
      <c r="H87" t="str">
        <f>IF($A87&gt;H$79,"",IF(T&lt;=H$11,"",100*h*MAX((EXP(IRTree!H21*h)-1)/h -$D$6,0)))</f>
        <v/>
      </c>
      <c r="I87">
        <f>IF($A87&gt;I$79,"",IF(T&lt;=I$11,"",100*h*MAX((EXP(IRTree!I21*h)-1)/h -$D$6,0)))</f>
        <v>0</v>
      </c>
      <c r="J87">
        <f>IF($A87&gt;J$79,"",IF(T&lt;=J$11,"",100*h*MAX((EXP(IRTree!J21*h)-1)/h -$D$6,0)))</f>
        <v>0</v>
      </c>
      <c r="K87">
        <f>IF($A87&gt;K$79,"",IF(T&lt;=K$11,"",100*h*MAX((EXP(IRTree!K21*h)-1)/h -$D$6,0)))</f>
        <v>0</v>
      </c>
      <c r="L87">
        <f>IF($A87&gt;L$79,"",IF(T&lt;=L$11,"",100*h*MAX((EXP(IRTree!L21*h)-1)/h -$D$6,0)))</f>
        <v>0</v>
      </c>
      <c r="M87">
        <f>IF($A87&gt;M$79,"",IF(T&lt;=M$11,"",100*h*MAX((EXP(IRTree!M21*h)-1)/h -$D$6,0)))</f>
        <v>0</v>
      </c>
      <c r="N87">
        <f>IF($A87&gt;N$79,"",IF(T&lt;=N$11,"",100*h*MAX((EXP(IRTree!N21*h)-1)/h -$D$6,0)))</f>
        <v>0</v>
      </c>
      <c r="O87">
        <f>IF($A87&gt;O$79,"",IF(T&lt;=O$11,"",100*h*MAX((EXP(IRTree!O21*h)-1)/h -$D$6,0)))</f>
        <v>0</v>
      </c>
      <c r="P87">
        <f>IF($A87&gt;P$79,"",IF(T&lt;=P$11,"",100*h*MAX((EXP(IRTree!P21*h)-1)/h -$D$6,0)))</f>
        <v>0</v>
      </c>
      <c r="Q87">
        <f>IF($A87&gt;Q$79,"",IF(T&lt;=Q$11,"",100*h*MAX((EXP(IRTree!Q21*h)-1)/h -$D$6,0)))</f>
        <v>2.6327073322991203E-2</v>
      </c>
      <c r="R87">
        <f>IF($A87&gt;R$79,"",IF(T&lt;=R$11,"",100*h*MAX((EXP(IRTree!R21*h)-1)/h -$D$6,0)))</f>
        <v>0.22402235490383646</v>
      </c>
      <c r="S87">
        <f>IF($A87&gt;S$79,"",IF(T&lt;=S$11,"",100*h*MAX((EXP(IRTree!S21*h)-1)/h -$D$6,0)))</f>
        <v>0.43757331702913382</v>
      </c>
      <c r="T87">
        <f>IF($A87&gt;T$79,"",IF(T&lt;=T$11,"",100*h*MAX((EXP(IRTree!T21*h)-1)/h -$D$6,0)))</f>
        <v>0.66480503395444734</v>
      </c>
      <c r="U87">
        <f>IF($A87&gt;U$79,"",IF(T&lt;=U$11,"",100*h*MAX((EXP(IRTree!U21*h)-1)/h -$D$6,0)))</f>
        <v>0.93010157934020987</v>
      </c>
      <c r="V87">
        <f>IF($A87&gt;V$79,"",IF(T&lt;=V$11,"",100*h*MAX((EXP(IRTree!V21*h)-1)/h -$D$6,0)))</f>
        <v>1.2212885657994341</v>
      </c>
      <c r="W87">
        <f>IF($A87&gt;W$79,"",IF(T&lt;=W$11,"",100*h*MAX((EXP(IRTree!W21*h)-1)/h -$D$6,0)))</f>
        <v>1.574293627156615</v>
      </c>
      <c r="X87">
        <f>IF($A87&gt;X$79,"",IF(T&lt;=X$11,"",100*h*MAX((EXP(IRTree!X21*h)-1)/h -$D$6,0)))</f>
        <v>1.8828980604160779</v>
      </c>
      <c r="Y87">
        <f>IF($A87&gt;Y$79,"",IF(T&lt;=Y$11,"",100*h*MAX((EXP(IRTree!Y21*h)-1)/h -$D$6,0)))</f>
        <v>2.3185965650513958</v>
      </c>
      <c r="Z87">
        <f>IF($A87&gt;Z$79,"",IF(T&lt;=Z$11,"",100*h*MAX((EXP(IRTree!Z21*h)-1)/h -$D$6,0)))</f>
        <v>2.743384519147702</v>
      </c>
      <c r="AA87">
        <f>IF($A87&gt;AA$79,"",IF(T&lt;=AA$11,"",100*h*MAX((EXP(IRTree!AA21*h)-1)/h -$D$6,0)))</f>
        <v>3.1899461303070704</v>
      </c>
      <c r="AB87">
        <f>IF($A87&gt;AB$79,"",IF(T&lt;=AB$11,"",100*h*MAX((EXP(IRTree!AB21*h)-1)/h -$D$6,0)))</f>
        <v>3.776346170990736</v>
      </c>
      <c r="AC87">
        <f>IF($A87&gt;AC$79,"",IF(T&lt;=AC$11,"",100*h*MAX((EXP(IRTree!AC21*h)-1)/h -$D$6,0)))</f>
        <v>4.3401602257845795</v>
      </c>
      <c r="AD87">
        <f>IF($A87&gt;AD$79,"",IF(T&lt;=AD$11,"",100*h*MAX((EXP(IRTree!AD21*h)-1)/h -$D$6,0)))</f>
        <v>4.9336728959346221</v>
      </c>
      <c r="AE87">
        <f>IF($A87&gt;AE$79,"",IF(T&lt;=AE$11,"",100*h*MAX((EXP(IRTree!AE21*h)-1)/h -$D$6,0)))</f>
        <v>5.6431424508785755</v>
      </c>
      <c r="AF87">
        <f>IF($A87&gt;AF$79,"",IF(T&lt;=AF$11,"",100*h*MAX((EXP(IRTree!AF21*h)-1)/h -$D$6,0)))</f>
        <v>6.443885106937004</v>
      </c>
      <c r="AG87">
        <f>IF($A87&gt;AG$79,"",IF(T&lt;=AG$11,"",100*h*MAX((EXP(IRTree!AG21*h)-1)/h -$D$6,0)))</f>
        <v>7.1964333650219103</v>
      </c>
      <c r="AH87">
        <f>IF($A87&gt;AH$79,"",IF(T&lt;=AH$11,"",100*h*MAX((EXP(IRTree!AH21*h)-1)/h -$D$6,0)))</f>
        <v>8.1006175796700841</v>
      </c>
      <c r="AI87">
        <f>IF($A87&gt;AI$79,"",IF(T&lt;=AI$11,"",100*h*MAX((EXP(IRTree!AI21*h)-1)/h -$D$6,0)))</f>
        <v>8.6352523865511142</v>
      </c>
      <c r="AJ87">
        <f>IF($A87&gt;AJ$79,"",IF(T&lt;=AJ$11,"",100*h*MAX((EXP(IRTree!AJ21*h)-1)/h -$D$6,0)))</f>
        <v>9.2647544978726923</v>
      </c>
      <c r="AK87">
        <f>IF($A87&gt;AK$79,"",IF(T&lt;=AK$11,"",100*h*MAX((EXP(IRTree!AK21*h)-1)/h -$D$6,0)))</f>
        <v>9.6636348013238802</v>
      </c>
      <c r="AL87">
        <f>IF($A87&gt;AL$79,"",IF(T&lt;=AL$11,"",100*h*MAX((EXP(IRTree!AL21*h)-1)/h -$D$6,0)))</f>
        <v>10.519931444243632</v>
      </c>
      <c r="AM87">
        <f>IF($A87&gt;AM$79,"",IF(T&lt;=AM$11,"",100*h*MAX((EXP(IRTree!AM21*h)-1)/h -$D$6,0)))</f>
        <v>10.63769234941871</v>
      </c>
      <c r="AN87">
        <f>IF($A87&gt;AN$79,"",IF(T&lt;=AN$11,"",100*h*MAX((EXP(IRTree!AN21*h)-1)/h -$D$6,0)))</f>
        <v>10.654483663784227</v>
      </c>
      <c r="AO87">
        <f>IF($A87&gt;AO$79,"",IF(T&lt;=AO$11,"",100*h*MAX((EXP(IRTree!AO21*h)-1)/h -$D$6,0)))</f>
        <v>10.622728225204799</v>
      </c>
      <c r="AP87" t="str">
        <f>IF($A87&gt;AP$79,"",IF(T&lt;=AP$11,"",100*h*MAX((EXP(IRTree!AP21*h)-1)/h -$D$6,0)))</f>
        <v/>
      </c>
      <c r="AQ87" t="str">
        <f>IF($A87&gt;AQ$79,"",IF(T&lt;=AQ$11,"",100*h*MAX((EXP(IRTree!AQ21*h)-1)/h -$D$6,0)))</f>
        <v/>
      </c>
      <c r="AR87" t="str">
        <f>IF($A87&gt;AR$79,"",IF(T&lt;=AR$11,"",100*h*MAX((EXP(IRTree!AR21*h)-1)/h -$D$6,0)))</f>
        <v/>
      </c>
      <c r="AS87" t="str">
        <f>IF($A87&gt;AS$79,"",IF(T&lt;=AS$11,"",100*h*MAX((EXP(IRTree!AS21*h)-1)/h -$D$6,0)))</f>
        <v/>
      </c>
      <c r="AT87" t="str">
        <f>IF($A87&gt;AT$79,"",IF(T&lt;=AT$11,"",100*h*MAX((EXP(IRTree!AT21*h)-1)/h -$D$6,0)))</f>
        <v/>
      </c>
      <c r="AU87" t="str">
        <f>IF($A87&gt;AU$79,"",IF(T&lt;=AU$11,"",100*h*MAX((EXP(IRTree!AU21*h)-1)/h -$D$6,0)))</f>
        <v/>
      </c>
      <c r="AV87" t="str">
        <f>IF($A87&gt;AV$79,"",IF(T&lt;=AV$11,"",100*h*MAX((EXP(IRTree!AV21*h)-1)/h -$D$6,0)))</f>
        <v/>
      </c>
      <c r="AW87" t="str">
        <f>IF($A87&gt;AW$79,"",IF(T&lt;=AW$11,"",100*h*MAX((EXP(IRTree!AW21*h)-1)/h -$D$6,0)))</f>
        <v/>
      </c>
      <c r="AX87" t="str">
        <f>IF($A87&gt;AX$79,"",IF(T&lt;=AX$11,"",100*h*MAX((EXP(IRTree!AX21*h)-1)/h -$D$6,0)))</f>
        <v/>
      </c>
      <c r="AY87" t="str">
        <f>IF($A87&gt;AY$79,"",IF(T&lt;=AY$11,"",100*h*MAX((EXP(IRTree!AY21*h)-1)/h -$D$6,0)))</f>
        <v/>
      </c>
      <c r="AZ87" t="str">
        <f>IF($A87&gt;AZ$79,"",IF(T&lt;=AZ$11,"",100*h*MAX((EXP(IRTree!AZ21*h)-1)/h -$D$6,0)))</f>
        <v/>
      </c>
      <c r="BA87" t="str">
        <f>IF($A87&gt;BA$79,"",IF(T&lt;=BA$11,"",100*h*MAX((EXP(IRTree!BA21*h)-1)/h -$D$6,0)))</f>
        <v/>
      </c>
      <c r="BB87" t="str">
        <f>IF($A87&gt;BB$79,"",IF(T&lt;=BB$11,"",100*h*MAX((EXP(IRTree!BB21*h)-1)/h -$D$6,0)))</f>
        <v/>
      </c>
      <c r="BC87" t="str">
        <f>IF($A87&gt;BC$79,"",IF(T&lt;=BC$11,"",100*h*MAX((EXP(IRTree!BC21*h)-1)/h -$D$6,0)))</f>
        <v/>
      </c>
      <c r="BD87" t="str">
        <f>IF($A87&gt;BD$79,"",IF(T&lt;=BD$11,"",100*h*MAX((EXP(IRTree!BD21*h)-1)/h -$D$6,0)))</f>
        <v/>
      </c>
      <c r="BE87" t="str">
        <f>IF($A87&gt;BE$79,"",IF(T&lt;=BE$11,"",100*h*MAX((EXP(IRTree!BE21*h)-1)/h -$D$6,0)))</f>
        <v/>
      </c>
      <c r="BF87" t="str">
        <f>IF($A87&gt;BF$79,"",IF(T&lt;=BF$11,"",100*h*MAX((EXP(IRTree!BF21*h)-1)/h -$D$6,0)))</f>
        <v/>
      </c>
      <c r="BG87" t="str">
        <f>IF($A87&gt;BG$79,"",IF(T&lt;=BG$11,"",100*h*MAX((EXP(IRTree!BG21*h)-1)/h -$D$6,0)))</f>
        <v/>
      </c>
      <c r="BH87" t="str">
        <f>IF($A87&gt;BH$79,"",IF(T&lt;=BH$11,"",100*h*MAX((EXP(IRTree!BH21*h)-1)/h -$D$6,0)))</f>
        <v/>
      </c>
      <c r="BI87" t="str">
        <f>IF($A87&gt;BI$79,"",IF(T&lt;=BI$11,"",100*h*MAX((EXP(IRTree!BI21*h)-1)/h -$D$6,0)))</f>
        <v/>
      </c>
      <c r="BJ87" t="str">
        <f>IF($A87&gt;BJ$79,"",IF(T&lt;=BJ$11,"",100*h*MAX((EXP(IRTree!BJ21*h)-1)/h -$D$6,0)))</f>
        <v/>
      </c>
    </row>
    <row r="88" spans="1:62">
      <c r="A88" s="22">
        <f t="shared" si="5"/>
        <v>8</v>
      </c>
      <c r="B88" t="str">
        <f>IF($A88&gt;B$79,"",IF(T&lt;=B$11,"",100*h*MAX((EXP(IRTree!B22*h)-1)/h -$D$6,0)))</f>
        <v/>
      </c>
      <c r="C88" t="str">
        <f>IF($A88&gt;C$79,"",IF(T&lt;=C$11,"",100*h*MAX((EXP(IRTree!C22*h)-1)/h -$D$6,0)))</f>
        <v/>
      </c>
      <c r="D88" t="str">
        <f>IF($A88&gt;D$79,"",IF(T&lt;=D$11,"",100*h*MAX((EXP(IRTree!D22*h)-1)/h -$D$6,0)))</f>
        <v/>
      </c>
      <c r="E88" t="str">
        <f>IF($A88&gt;E$79,"",IF(T&lt;=E$11,"",100*h*MAX((EXP(IRTree!E22*h)-1)/h -$D$6,0)))</f>
        <v/>
      </c>
      <c r="F88" t="str">
        <f>IF($A88&gt;F$79,"",IF(T&lt;=F$11,"",100*h*MAX((EXP(IRTree!F22*h)-1)/h -$D$6,0)))</f>
        <v/>
      </c>
      <c r="G88" t="str">
        <f>IF($A88&gt;G$79,"",IF(T&lt;=G$11,"",100*h*MAX((EXP(IRTree!G22*h)-1)/h -$D$6,0)))</f>
        <v/>
      </c>
      <c r="H88" t="str">
        <f>IF($A88&gt;H$79,"",IF(T&lt;=H$11,"",100*h*MAX((EXP(IRTree!H22*h)-1)/h -$D$6,0)))</f>
        <v/>
      </c>
      <c r="I88" t="str">
        <f>IF($A88&gt;I$79,"",IF(T&lt;=I$11,"",100*h*MAX((EXP(IRTree!I22*h)-1)/h -$D$6,0)))</f>
        <v/>
      </c>
      <c r="J88">
        <f>IF($A88&gt;J$79,"",IF(T&lt;=J$11,"",100*h*MAX((EXP(IRTree!J22*h)-1)/h -$D$6,0)))</f>
        <v>0</v>
      </c>
      <c r="K88">
        <f>IF($A88&gt;K$79,"",IF(T&lt;=K$11,"",100*h*MAX((EXP(IRTree!K22*h)-1)/h -$D$6,0)))</f>
        <v>0</v>
      </c>
      <c r="L88">
        <f>IF($A88&gt;L$79,"",IF(T&lt;=L$11,"",100*h*MAX((EXP(IRTree!L22*h)-1)/h -$D$6,0)))</f>
        <v>0</v>
      </c>
      <c r="M88">
        <f>IF($A88&gt;M$79,"",IF(T&lt;=M$11,"",100*h*MAX((EXP(IRTree!M22*h)-1)/h -$D$6,0)))</f>
        <v>0</v>
      </c>
      <c r="N88">
        <f>IF($A88&gt;N$79,"",IF(T&lt;=N$11,"",100*h*MAX((EXP(IRTree!N22*h)-1)/h -$D$6,0)))</f>
        <v>0</v>
      </c>
      <c r="O88">
        <f>IF($A88&gt;O$79,"",IF(T&lt;=O$11,"",100*h*MAX((EXP(IRTree!O22*h)-1)/h -$D$6,0)))</f>
        <v>0</v>
      </c>
      <c r="P88">
        <f>IF($A88&gt;P$79,"",IF(T&lt;=P$11,"",100*h*MAX((EXP(IRTree!P22*h)-1)/h -$D$6,0)))</f>
        <v>0</v>
      </c>
      <c r="Q88">
        <f>IF($A88&gt;Q$79,"",IF(T&lt;=Q$11,"",100*h*MAX((EXP(IRTree!Q22*h)-1)/h -$D$6,0)))</f>
        <v>0</v>
      </c>
      <c r="R88">
        <f>IF($A88&gt;R$79,"",IF(T&lt;=R$11,"",100*h*MAX((EXP(IRTree!R22*h)-1)/h -$D$6,0)))</f>
        <v>0</v>
      </c>
      <c r="S88">
        <f>IF($A88&gt;S$79,"",IF(T&lt;=S$11,"",100*h*MAX((EXP(IRTree!S22*h)-1)/h -$D$6,0)))</f>
        <v>7.7737317526311606E-2</v>
      </c>
      <c r="T88">
        <f>IF($A88&gt;T$79,"",IF(T&lt;=T$11,"",100*h*MAX((EXP(IRTree!T22*h)-1)/h -$D$6,0)))</f>
        <v>0.26583212036545656</v>
      </c>
      <c r="U88">
        <f>IF($A88&gt;U$79,"",IF(T&lt;=U$11,"",100*h*MAX((EXP(IRTree!U22*h)-1)/h -$D$6,0)))</f>
        <v>0.47279525460103922</v>
      </c>
      <c r="V88">
        <f>IF($A88&gt;V$79,"",IF(T&lt;=V$11,"",100*h*MAX((EXP(IRTree!V22*h)-1)/h -$D$6,0)))</f>
        <v>0.70334919424676712</v>
      </c>
      <c r="W88">
        <f>IF($A88&gt;W$79,"",IF(T&lt;=W$11,"",100*h*MAX((EXP(IRTree!W22*h)-1)/h -$D$6,0)))</f>
        <v>0.97354712077099648</v>
      </c>
      <c r="X88">
        <f>IF($A88&gt;X$79,"",IF(T&lt;=X$11,"",100*h*MAX((EXP(IRTree!X22*h)-1)/h -$D$6,0)))</f>
        <v>1.2351766308148446</v>
      </c>
      <c r="Y88">
        <f>IF($A88&gt;Y$79,"",IF(T&lt;=Y$11,"",100*h*MAX((EXP(IRTree!Y22*h)-1)/h -$D$6,0)))</f>
        <v>1.572237533643301</v>
      </c>
      <c r="Z88">
        <f>IF($A88&gt;Z$79,"",IF(T&lt;=Z$11,"",100*h*MAX((EXP(IRTree!Z22*h)-1)/h -$D$6,0)))</f>
        <v>1.9153452497659713</v>
      </c>
      <c r="AA88">
        <f>IF($A88&gt;AA$79,"",IF(T&lt;=AA$11,"",100*h*MAX((EXP(IRTree!AA22*h)-1)/h -$D$6,0)))</f>
        <v>2.280356456157246</v>
      </c>
      <c r="AB88">
        <f>IF($A88&gt;AB$79,"",IF(T&lt;=AB$11,"",100*h*MAX((EXP(IRTree!AB22*h)-1)/h -$D$6,0)))</f>
        <v>2.7403665638914672</v>
      </c>
      <c r="AC88">
        <f>IF($A88&gt;AC$79,"",IF(T&lt;=AC$11,"",100*h*MAX((EXP(IRTree!AC22*h)-1)/h -$D$6,0)))</f>
        <v>3.1971511087356581</v>
      </c>
      <c r="AD88">
        <f>IF($A88&gt;AD$79,"",IF(T&lt;=AD$11,"",100*h*MAX((EXP(IRTree!AD22*h)-1)/h -$D$6,0)))</f>
        <v>3.6822567742321239</v>
      </c>
      <c r="AE88">
        <f>IF($A88&gt;AE$79,"",IF(T&lt;=AE$11,"",100*h*MAX((EXP(IRTree!AE22*h)-1)/h -$D$6,0)))</f>
        <v>4.2526950392068619</v>
      </c>
      <c r="AF88">
        <f>IF($A88&gt;AF$79,"",IF(T&lt;=AF$11,"",100*h*MAX((EXP(IRTree!AF22*h)-1)/h -$D$6,0)))</f>
        <v>4.8940638428881256</v>
      </c>
      <c r="AG88">
        <f>IF($A88&gt;AG$79,"",IF(T&lt;=AG$11,"",100*h*MAX((EXP(IRTree!AG22*h)-1)/h -$D$6,0)))</f>
        <v>5.5133337886598088</v>
      </c>
      <c r="AH88">
        <f>IF($A88&gt;AH$79,"",IF(T&lt;=AH$11,"",100*h*MAX((EXP(IRTree!AH22*h)-1)/h -$D$6,0)))</f>
        <v>6.2454501028095866</v>
      </c>
      <c r="AI88">
        <f>IF($A88&gt;AI$79,"",IF(T&lt;=AI$11,"",100*h*MAX((EXP(IRTree!AI22*h)-1)/h -$D$6,0)))</f>
        <v>6.7293452102012274</v>
      </c>
      <c r="AJ88">
        <f>IF($A88&gt;AJ$79,"",IF(T&lt;=AJ$11,"",100*h*MAX((EXP(IRTree!AJ22*h)-1)/h -$D$6,0)))</f>
        <v>7.2828644203295445</v>
      </c>
      <c r="AK88">
        <f>IF($A88&gt;AK$79,"",IF(T&lt;=AK$11,"",100*h*MAX((EXP(IRTree!AK22*h)-1)/h -$D$6,0)))</f>
        <v>7.6746878343316016</v>
      </c>
      <c r="AL88">
        <f>IF($A88&gt;AL$79,"",IF(T&lt;=AL$11,"",100*h*MAX((EXP(IRTree!AL22*h)-1)/h -$D$6,0)))</f>
        <v>8.3991989524684971</v>
      </c>
      <c r="AM88">
        <f>IF($A88&gt;AM$79,"",IF(T&lt;=AM$11,"",100*h*MAX((EXP(IRTree!AM22*h)-1)/h -$D$6,0)))</f>
        <v>8.5871872004083603</v>
      </c>
      <c r="AN88">
        <f>IF($A88&gt;AN$79,"",IF(T&lt;=AN$11,"",100*h*MAX((EXP(IRTree!AN22*h)-1)/h -$D$6,0)))</f>
        <v>8.6929266180660623</v>
      </c>
      <c r="AO88">
        <f>IF($A88&gt;AO$79,"",IF(T&lt;=AO$11,"",100*h*MAX((EXP(IRTree!AO22*h)-1)/h -$D$6,0)))</f>
        <v>8.7549494614650403</v>
      </c>
      <c r="AP88" t="str">
        <f>IF($A88&gt;AP$79,"",IF(T&lt;=AP$11,"",100*h*MAX((EXP(IRTree!AP22*h)-1)/h -$D$6,0)))</f>
        <v/>
      </c>
      <c r="AQ88" t="str">
        <f>IF($A88&gt;AQ$79,"",IF(T&lt;=AQ$11,"",100*h*MAX((EXP(IRTree!AQ22*h)-1)/h -$D$6,0)))</f>
        <v/>
      </c>
      <c r="AR88" t="str">
        <f>IF($A88&gt;AR$79,"",IF(T&lt;=AR$11,"",100*h*MAX((EXP(IRTree!AR22*h)-1)/h -$D$6,0)))</f>
        <v/>
      </c>
      <c r="AS88" t="str">
        <f>IF($A88&gt;AS$79,"",IF(T&lt;=AS$11,"",100*h*MAX((EXP(IRTree!AS22*h)-1)/h -$D$6,0)))</f>
        <v/>
      </c>
      <c r="AT88" t="str">
        <f>IF($A88&gt;AT$79,"",IF(T&lt;=AT$11,"",100*h*MAX((EXP(IRTree!AT22*h)-1)/h -$D$6,0)))</f>
        <v/>
      </c>
      <c r="AU88" t="str">
        <f>IF($A88&gt;AU$79,"",IF(T&lt;=AU$11,"",100*h*MAX((EXP(IRTree!AU22*h)-1)/h -$D$6,0)))</f>
        <v/>
      </c>
      <c r="AV88" t="str">
        <f>IF($A88&gt;AV$79,"",IF(T&lt;=AV$11,"",100*h*MAX((EXP(IRTree!AV22*h)-1)/h -$D$6,0)))</f>
        <v/>
      </c>
      <c r="AW88" t="str">
        <f>IF($A88&gt;AW$79,"",IF(T&lt;=AW$11,"",100*h*MAX((EXP(IRTree!AW22*h)-1)/h -$D$6,0)))</f>
        <v/>
      </c>
      <c r="AX88" t="str">
        <f>IF($A88&gt;AX$79,"",IF(T&lt;=AX$11,"",100*h*MAX((EXP(IRTree!AX22*h)-1)/h -$D$6,0)))</f>
        <v/>
      </c>
      <c r="AY88" t="str">
        <f>IF($A88&gt;AY$79,"",IF(T&lt;=AY$11,"",100*h*MAX((EXP(IRTree!AY22*h)-1)/h -$D$6,0)))</f>
        <v/>
      </c>
      <c r="AZ88" t="str">
        <f>IF($A88&gt;AZ$79,"",IF(T&lt;=AZ$11,"",100*h*MAX((EXP(IRTree!AZ22*h)-1)/h -$D$6,0)))</f>
        <v/>
      </c>
      <c r="BA88" t="str">
        <f>IF($A88&gt;BA$79,"",IF(T&lt;=BA$11,"",100*h*MAX((EXP(IRTree!BA22*h)-1)/h -$D$6,0)))</f>
        <v/>
      </c>
      <c r="BB88" t="str">
        <f>IF($A88&gt;BB$79,"",IF(T&lt;=BB$11,"",100*h*MAX((EXP(IRTree!BB22*h)-1)/h -$D$6,0)))</f>
        <v/>
      </c>
      <c r="BC88" t="str">
        <f>IF($A88&gt;BC$79,"",IF(T&lt;=BC$11,"",100*h*MAX((EXP(IRTree!BC22*h)-1)/h -$D$6,0)))</f>
        <v/>
      </c>
      <c r="BD88" t="str">
        <f>IF($A88&gt;BD$79,"",IF(T&lt;=BD$11,"",100*h*MAX((EXP(IRTree!BD22*h)-1)/h -$D$6,0)))</f>
        <v/>
      </c>
      <c r="BE88" t="str">
        <f>IF($A88&gt;BE$79,"",IF(T&lt;=BE$11,"",100*h*MAX((EXP(IRTree!BE22*h)-1)/h -$D$6,0)))</f>
        <v/>
      </c>
      <c r="BF88" t="str">
        <f>IF($A88&gt;BF$79,"",IF(T&lt;=BF$11,"",100*h*MAX((EXP(IRTree!BF22*h)-1)/h -$D$6,0)))</f>
        <v/>
      </c>
      <c r="BG88" t="str">
        <f>IF($A88&gt;BG$79,"",IF(T&lt;=BG$11,"",100*h*MAX((EXP(IRTree!BG22*h)-1)/h -$D$6,0)))</f>
        <v/>
      </c>
      <c r="BH88" t="str">
        <f>IF($A88&gt;BH$79,"",IF(T&lt;=BH$11,"",100*h*MAX((EXP(IRTree!BH22*h)-1)/h -$D$6,0)))</f>
        <v/>
      </c>
      <c r="BI88" t="str">
        <f>IF($A88&gt;BI$79,"",IF(T&lt;=BI$11,"",100*h*MAX((EXP(IRTree!BI22*h)-1)/h -$D$6,0)))</f>
        <v/>
      </c>
      <c r="BJ88" t="str">
        <f>IF($A88&gt;BJ$79,"",IF(T&lt;=BJ$11,"",100*h*MAX((EXP(IRTree!BJ22*h)-1)/h -$D$6,0)))</f>
        <v/>
      </c>
    </row>
    <row r="89" spans="1:62">
      <c r="A89" s="22">
        <f t="shared" si="5"/>
        <v>9</v>
      </c>
      <c r="B89" t="str">
        <f>IF($A89&gt;B$79,"",IF(T&lt;=B$11,"",100*h*MAX((EXP(IRTree!B23*h)-1)/h -$D$6,0)))</f>
        <v/>
      </c>
      <c r="C89" t="str">
        <f>IF($A89&gt;C$79,"",IF(T&lt;=C$11,"",100*h*MAX((EXP(IRTree!C23*h)-1)/h -$D$6,0)))</f>
        <v/>
      </c>
      <c r="D89" t="str">
        <f>IF($A89&gt;D$79,"",IF(T&lt;=D$11,"",100*h*MAX((EXP(IRTree!D23*h)-1)/h -$D$6,0)))</f>
        <v/>
      </c>
      <c r="E89" t="str">
        <f>IF($A89&gt;E$79,"",IF(T&lt;=E$11,"",100*h*MAX((EXP(IRTree!E23*h)-1)/h -$D$6,0)))</f>
        <v/>
      </c>
      <c r="F89" t="str">
        <f>IF($A89&gt;F$79,"",IF(T&lt;=F$11,"",100*h*MAX((EXP(IRTree!F23*h)-1)/h -$D$6,0)))</f>
        <v/>
      </c>
      <c r="G89" t="str">
        <f>IF($A89&gt;G$79,"",IF(T&lt;=G$11,"",100*h*MAX((EXP(IRTree!G23*h)-1)/h -$D$6,0)))</f>
        <v/>
      </c>
      <c r="H89" t="str">
        <f>IF($A89&gt;H$79,"",IF(T&lt;=H$11,"",100*h*MAX((EXP(IRTree!H23*h)-1)/h -$D$6,0)))</f>
        <v/>
      </c>
      <c r="I89" t="str">
        <f>IF($A89&gt;I$79,"",IF(T&lt;=I$11,"",100*h*MAX((EXP(IRTree!I23*h)-1)/h -$D$6,0)))</f>
        <v/>
      </c>
      <c r="J89" t="str">
        <f>IF($A89&gt;J$79,"",IF(T&lt;=J$11,"",100*h*MAX((EXP(IRTree!J23*h)-1)/h -$D$6,0)))</f>
        <v/>
      </c>
      <c r="K89">
        <f>IF($A89&gt;K$79,"",IF(T&lt;=K$11,"",100*h*MAX((EXP(IRTree!K23*h)-1)/h -$D$6,0)))</f>
        <v>0</v>
      </c>
      <c r="L89">
        <f>IF($A89&gt;L$79,"",IF(T&lt;=L$11,"",100*h*MAX((EXP(IRTree!L23*h)-1)/h -$D$6,0)))</f>
        <v>0</v>
      </c>
      <c r="M89">
        <f>IF($A89&gt;M$79,"",IF(T&lt;=M$11,"",100*h*MAX((EXP(IRTree!M23*h)-1)/h -$D$6,0)))</f>
        <v>0</v>
      </c>
      <c r="N89">
        <f>IF($A89&gt;N$79,"",IF(T&lt;=N$11,"",100*h*MAX((EXP(IRTree!N23*h)-1)/h -$D$6,0)))</f>
        <v>0</v>
      </c>
      <c r="O89">
        <f>IF($A89&gt;O$79,"",IF(T&lt;=O$11,"",100*h*MAX((EXP(IRTree!O23*h)-1)/h -$D$6,0)))</f>
        <v>0</v>
      </c>
      <c r="P89">
        <f>IF($A89&gt;P$79,"",IF(T&lt;=P$11,"",100*h*MAX((EXP(IRTree!P23*h)-1)/h -$D$6,0)))</f>
        <v>0</v>
      </c>
      <c r="Q89">
        <f>IF($A89&gt;Q$79,"",IF(T&lt;=Q$11,"",100*h*MAX((EXP(IRTree!Q23*h)-1)/h -$D$6,0)))</f>
        <v>0</v>
      </c>
      <c r="R89">
        <f>IF($A89&gt;R$79,"",IF(T&lt;=R$11,"",100*h*MAX((EXP(IRTree!R23*h)-1)/h -$D$6,0)))</f>
        <v>0</v>
      </c>
      <c r="S89">
        <f>IF($A89&gt;S$79,"",IF(T&lt;=S$11,"",100*h*MAX((EXP(IRTree!S23*h)-1)/h -$D$6,0)))</f>
        <v>0</v>
      </c>
      <c r="T89">
        <f>IF($A89&gt;T$79,"",IF(T&lt;=T$11,"",100*h*MAX((EXP(IRTree!T23*h)-1)/h -$D$6,0)))</f>
        <v>0</v>
      </c>
      <c r="U89">
        <f>IF($A89&gt;U$79,"",IF(T&lt;=U$11,"",100*h*MAX((EXP(IRTree!U23*h)-1)/h -$D$6,0)))</f>
        <v>0.11780751701388567</v>
      </c>
      <c r="V89">
        <f>IF($A89&gt;V$79,"",IF(T&lt;=V$11,"",100*h*MAX((EXP(IRTree!V23*h)-1)/h -$D$6,0)))</f>
        <v>0.30047916822357279</v>
      </c>
      <c r="W89">
        <f>IF($A89&gt;W$79,"",IF(T&lt;=W$11,"",100*h*MAX((EXP(IRTree!W23*h)-1)/h -$D$6,0)))</f>
        <v>0.50750118929276478</v>
      </c>
      <c r="X89">
        <f>IF($A89&gt;X$79,"",IF(T&lt;=X$11,"",100*h*MAX((EXP(IRTree!X23*h)-1)/h -$D$6,0)))</f>
        <v>0.72813148124754679</v>
      </c>
      <c r="Y89">
        <f>IF($A89&gt;Y$79,"",IF(T&lt;=Y$11,"",100*h*MAX((EXP(IRTree!Y23*h)-1)/h -$D$6,0)))</f>
        <v>0.9892360358344463</v>
      </c>
      <c r="Z89">
        <f>IF($A89&gt;Z$79,"",IF(T&lt;=Z$11,"",100*h*MAX((EXP(IRTree!Z23*h)-1)/h -$D$6,0)))</f>
        <v>1.2665312827710726</v>
      </c>
      <c r="AA89">
        <f>IF($A89&gt;AA$79,"",IF(T&lt;=AA$11,"",100*h*MAX((EXP(IRTree!AA23*h)-1)/h -$D$6,0)))</f>
        <v>1.5649214009159036</v>
      </c>
      <c r="AB89">
        <f>IF($A89&gt;AB$79,"",IF(T&lt;=AB$11,"",100*h*MAX((EXP(IRTree!AB23*h)-1)/h -$D$6,0)))</f>
        <v>1.9264822078710782</v>
      </c>
      <c r="AC89">
        <f>IF($A89&gt;AC$79,"",IF(T&lt;=AC$11,"",100*h*MAX((EXP(IRTree!AC23*h)-1)/h -$D$6,0)))</f>
        <v>2.2970126810637432</v>
      </c>
      <c r="AD89">
        <f>IF($A89&gt;AD$79,"",IF(T&lt;=AD$11,"",100*h*MAX((EXP(IRTree!AD23*h)-1)/h -$D$6,0)))</f>
        <v>2.6939102079874995</v>
      </c>
      <c r="AE89">
        <f>IF($A89&gt;AE$79,"",IF(T&lt;=AE$11,"",100*h*MAX((EXP(IRTree!AE23*h)-1)/h -$D$6,0)))</f>
        <v>3.1535575709156167</v>
      </c>
      <c r="AF89">
        <f>IF($A89&gt;AF$79,"",IF(T&lt;=AF$11,"",100*h*MAX((EXP(IRTree!AF23*h)-1)/h -$D$6,0)))</f>
        <v>3.6685854400580538</v>
      </c>
      <c r="AG89">
        <f>IF($A89&gt;AG$79,"",IF(T&lt;=AG$11,"",100*h*MAX((EXP(IRTree!AG23*h)-1)/h -$D$6,0)))</f>
        <v>4.1789148145627353</v>
      </c>
      <c r="AH89">
        <f>IF($A89&gt;AH$79,"",IF(T&lt;=AH$11,"",100*h*MAX((EXP(IRTree!AH23*h)-1)/h -$D$6,0)))</f>
        <v>4.7733199226510159</v>
      </c>
      <c r="AI89">
        <f>IF($A89&gt;AI$79,"",IF(T&lt;=AI$11,"",100*h*MAX((EXP(IRTree!AI23*h)-1)/h -$D$6,0)))</f>
        <v>5.2062486345658199</v>
      </c>
      <c r="AJ89">
        <f>IF($A89&gt;AJ$79,"",IF(T&lt;=AJ$11,"",100*h*MAX((EXP(IRTree!AJ23*h)-1)/h -$D$6,0)))</f>
        <v>5.690596435670332</v>
      </c>
      <c r="AK89">
        <f>IF($A89&gt;AK$79,"",IF(T&lt;=AK$11,"",100*h*MAX((EXP(IRTree!AK23*h)-1)/h -$D$6,0)))</f>
        <v>6.0642038838406975</v>
      </c>
      <c r="AL89">
        <f>IF($A89&gt;AL$79,"",IF(T&lt;=AL$11,"",100*h*MAX((EXP(IRTree!AL23*h)-1)/h -$D$6,0)))</f>
        <v>6.6780596900128231</v>
      </c>
      <c r="AM89">
        <f>IF($A89&gt;AM$79,"",IF(T&lt;=AM$11,"",100*h*MAX((EXP(IRTree!AM23*h)-1)/h -$D$6,0)))</f>
        <v>6.9068522915655306</v>
      </c>
      <c r="AN89">
        <f>IF($A89&gt;AN$79,"",IF(T&lt;=AN$11,"",100*h*MAX((EXP(IRTree!AN23*h)-1)/h -$D$6,0)))</f>
        <v>7.0698671320137363</v>
      </c>
      <c r="AO89">
        <f>IF($A89&gt;AO$79,"",IF(T&lt;=AO$11,"",100*h*MAX((EXP(IRTree!AO23*h)-1)/h -$D$6,0)))</f>
        <v>7.1950685517061919</v>
      </c>
      <c r="AP89" t="str">
        <f>IF($A89&gt;AP$79,"",IF(T&lt;=AP$11,"",100*h*MAX((EXP(IRTree!AP23*h)-1)/h -$D$6,0)))</f>
        <v/>
      </c>
      <c r="AQ89" t="str">
        <f>IF($A89&gt;AQ$79,"",IF(T&lt;=AQ$11,"",100*h*MAX((EXP(IRTree!AQ23*h)-1)/h -$D$6,0)))</f>
        <v/>
      </c>
      <c r="AR89" t="str">
        <f>IF($A89&gt;AR$79,"",IF(T&lt;=AR$11,"",100*h*MAX((EXP(IRTree!AR23*h)-1)/h -$D$6,0)))</f>
        <v/>
      </c>
      <c r="AS89" t="str">
        <f>IF($A89&gt;AS$79,"",IF(T&lt;=AS$11,"",100*h*MAX((EXP(IRTree!AS23*h)-1)/h -$D$6,0)))</f>
        <v/>
      </c>
      <c r="AT89" t="str">
        <f>IF($A89&gt;AT$79,"",IF(T&lt;=AT$11,"",100*h*MAX((EXP(IRTree!AT23*h)-1)/h -$D$6,0)))</f>
        <v/>
      </c>
      <c r="AU89" t="str">
        <f>IF($A89&gt;AU$79,"",IF(T&lt;=AU$11,"",100*h*MAX((EXP(IRTree!AU23*h)-1)/h -$D$6,0)))</f>
        <v/>
      </c>
      <c r="AV89" t="str">
        <f>IF($A89&gt;AV$79,"",IF(T&lt;=AV$11,"",100*h*MAX((EXP(IRTree!AV23*h)-1)/h -$D$6,0)))</f>
        <v/>
      </c>
      <c r="AW89" t="str">
        <f>IF($A89&gt;AW$79,"",IF(T&lt;=AW$11,"",100*h*MAX((EXP(IRTree!AW23*h)-1)/h -$D$6,0)))</f>
        <v/>
      </c>
      <c r="AX89" t="str">
        <f>IF($A89&gt;AX$79,"",IF(T&lt;=AX$11,"",100*h*MAX((EXP(IRTree!AX23*h)-1)/h -$D$6,0)))</f>
        <v/>
      </c>
      <c r="AY89" t="str">
        <f>IF($A89&gt;AY$79,"",IF(T&lt;=AY$11,"",100*h*MAX((EXP(IRTree!AY23*h)-1)/h -$D$6,0)))</f>
        <v/>
      </c>
      <c r="AZ89" t="str">
        <f>IF($A89&gt;AZ$79,"",IF(T&lt;=AZ$11,"",100*h*MAX((EXP(IRTree!AZ23*h)-1)/h -$D$6,0)))</f>
        <v/>
      </c>
      <c r="BA89" t="str">
        <f>IF($A89&gt;BA$79,"",IF(T&lt;=BA$11,"",100*h*MAX((EXP(IRTree!BA23*h)-1)/h -$D$6,0)))</f>
        <v/>
      </c>
      <c r="BB89" t="str">
        <f>IF($A89&gt;BB$79,"",IF(T&lt;=BB$11,"",100*h*MAX((EXP(IRTree!BB23*h)-1)/h -$D$6,0)))</f>
        <v/>
      </c>
      <c r="BC89" t="str">
        <f>IF($A89&gt;BC$79,"",IF(T&lt;=BC$11,"",100*h*MAX((EXP(IRTree!BC23*h)-1)/h -$D$6,0)))</f>
        <v/>
      </c>
      <c r="BD89" t="str">
        <f>IF($A89&gt;BD$79,"",IF(T&lt;=BD$11,"",100*h*MAX((EXP(IRTree!BD23*h)-1)/h -$D$6,0)))</f>
        <v/>
      </c>
      <c r="BE89" t="str">
        <f>IF($A89&gt;BE$79,"",IF(T&lt;=BE$11,"",100*h*MAX((EXP(IRTree!BE23*h)-1)/h -$D$6,0)))</f>
        <v/>
      </c>
      <c r="BF89" t="str">
        <f>IF($A89&gt;BF$79,"",IF(T&lt;=BF$11,"",100*h*MAX((EXP(IRTree!BF23*h)-1)/h -$D$6,0)))</f>
        <v/>
      </c>
      <c r="BG89" t="str">
        <f>IF($A89&gt;BG$79,"",IF(T&lt;=BG$11,"",100*h*MAX((EXP(IRTree!BG23*h)-1)/h -$D$6,0)))</f>
        <v/>
      </c>
      <c r="BH89" t="str">
        <f>IF($A89&gt;BH$79,"",IF(T&lt;=BH$11,"",100*h*MAX((EXP(IRTree!BH23*h)-1)/h -$D$6,0)))</f>
        <v/>
      </c>
      <c r="BI89" t="str">
        <f>IF($A89&gt;BI$79,"",IF(T&lt;=BI$11,"",100*h*MAX((EXP(IRTree!BI23*h)-1)/h -$D$6,0)))</f>
        <v/>
      </c>
      <c r="BJ89" t="str">
        <f>IF($A89&gt;BJ$79,"",IF(T&lt;=BJ$11,"",100*h*MAX((EXP(IRTree!BJ23*h)-1)/h -$D$6,0)))</f>
        <v/>
      </c>
    </row>
    <row r="90" spans="1:62">
      <c r="A90" s="22">
        <f t="shared" si="5"/>
        <v>10</v>
      </c>
      <c r="B90" t="str">
        <f>IF($A90&gt;B$79,"",IF(T&lt;=B$11,"",100*h*MAX((EXP(IRTree!B24*h)-1)/h -$D$6,0)))</f>
        <v/>
      </c>
      <c r="C90" t="str">
        <f>IF($A90&gt;C$79,"",IF(T&lt;=C$11,"",100*h*MAX((EXP(IRTree!C24*h)-1)/h -$D$6,0)))</f>
        <v/>
      </c>
      <c r="D90" t="str">
        <f>IF($A90&gt;D$79,"",IF(T&lt;=D$11,"",100*h*MAX((EXP(IRTree!D24*h)-1)/h -$D$6,0)))</f>
        <v/>
      </c>
      <c r="E90" t="str">
        <f>IF($A90&gt;E$79,"",IF(T&lt;=E$11,"",100*h*MAX((EXP(IRTree!E24*h)-1)/h -$D$6,0)))</f>
        <v/>
      </c>
      <c r="F90" t="str">
        <f>IF($A90&gt;F$79,"",IF(T&lt;=F$11,"",100*h*MAX((EXP(IRTree!F24*h)-1)/h -$D$6,0)))</f>
        <v/>
      </c>
      <c r="G90" t="str">
        <f>IF($A90&gt;G$79,"",IF(T&lt;=G$11,"",100*h*MAX((EXP(IRTree!G24*h)-1)/h -$D$6,0)))</f>
        <v/>
      </c>
      <c r="H90" t="str">
        <f>IF($A90&gt;H$79,"",IF(T&lt;=H$11,"",100*h*MAX((EXP(IRTree!H24*h)-1)/h -$D$6,0)))</f>
        <v/>
      </c>
      <c r="I90" t="str">
        <f>IF($A90&gt;I$79,"",IF(T&lt;=I$11,"",100*h*MAX((EXP(IRTree!I24*h)-1)/h -$D$6,0)))</f>
        <v/>
      </c>
      <c r="J90" t="str">
        <f>IF($A90&gt;J$79,"",IF(T&lt;=J$11,"",100*h*MAX((EXP(IRTree!J24*h)-1)/h -$D$6,0)))</f>
        <v/>
      </c>
      <c r="K90" t="str">
        <f>IF($A90&gt;K$79,"",IF(T&lt;=K$11,"",100*h*MAX((EXP(IRTree!K24*h)-1)/h -$D$6,0)))</f>
        <v/>
      </c>
      <c r="L90">
        <f>IF($A90&gt;L$79,"",IF(T&lt;=L$11,"",100*h*MAX((EXP(IRTree!L24*h)-1)/h -$D$6,0)))</f>
        <v>0</v>
      </c>
      <c r="M90">
        <f>IF($A90&gt;M$79,"",IF(T&lt;=M$11,"",100*h*MAX((EXP(IRTree!M24*h)-1)/h -$D$6,0)))</f>
        <v>0</v>
      </c>
      <c r="N90">
        <f>IF($A90&gt;N$79,"",IF(T&lt;=N$11,"",100*h*MAX((EXP(IRTree!N24*h)-1)/h -$D$6,0)))</f>
        <v>0</v>
      </c>
      <c r="O90">
        <f>IF($A90&gt;O$79,"",IF(T&lt;=O$11,"",100*h*MAX((EXP(IRTree!O24*h)-1)/h -$D$6,0)))</f>
        <v>0</v>
      </c>
      <c r="P90">
        <f>IF($A90&gt;P$79,"",IF(T&lt;=P$11,"",100*h*MAX((EXP(IRTree!P24*h)-1)/h -$D$6,0)))</f>
        <v>0</v>
      </c>
      <c r="Q90">
        <f>IF($A90&gt;Q$79,"",IF(T&lt;=Q$11,"",100*h*MAX((EXP(IRTree!Q24*h)-1)/h -$D$6,0)))</f>
        <v>0</v>
      </c>
      <c r="R90">
        <f>IF($A90&gt;R$79,"",IF(T&lt;=R$11,"",100*h*MAX((EXP(IRTree!R24*h)-1)/h -$D$6,0)))</f>
        <v>0</v>
      </c>
      <c r="S90">
        <f>IF($A90&gt;S$79,"",IF(T&lt;=S$11,"",100*h*MAX((EXP(IRTree!S24*h)-1)/h -$D$6,0)))</f>
        <v>0</v>
      </c>
      <c r="T90">
        <f>IF($A90&gt;T$79,"",IF(T&lt;=T$11,"",100*h*MAX((EXP(IRTree!T24*h)-1)/h -$D$6,0)))</f>
        <v>0</v>
      </c>
      <c r="U90">
        <f>IF($A90&gt;U$79,"",IF(T&lt;=U$11,"",100*h*MAX((EXP(IRTree!U24*h)-1)/h -$D$6,0)))</f>
        <v>0</v>
      </c>
      <c r="V90">
        <f>IF($A90&gt;V$79,"",IF(T&lt;=V$11,"",100*h*MAX((EXP(IRTree!V24*h)-1)/h -$D$6,0)))</f>
        <v>0</v>
      </c>
      <c r="W90">
        <f>IF($A90&gt;W$79,"",IF(T&lt;=W$11,"",100*h*MAX((EXP(IRTree!W24*h)-1)/h -$D$6,0)))</f>
        <v>0.14553710937048134</v>
      </c>
      <c r="X90">
        <f>IF($A90&gt;X$79,"",IF(T&lt;=X$11,"",100*h*MAX((EXP(IRTree!X24*h)-1)/h -$D$6,0)))</f>
        <v>0.33073323101974839</v>
      </c>
      <c r="Y90">
        <f>IF($A90&gt;Y$79,"",IF(T&lt;=Y$11,"",100*h*MAX((EXP(IRTree!Y24*h)-1)/h -$D$6,0)))</f>
        <v>0.53320732901029433</v>
      </c>
      <c r="Z90">
        <f>IF($A90&gt;Z$79,"",IF(T&lt;=Z$11,"",100*h*MAX((EXP(IRTree!Z24*h)-1)/h -$D$6,0)))</f>
        <v>0.75738196484311326</v>
      </c>
      <c r="AA90">
        <f>IF($A90&gt;AA$79,"",IF(T&lt;=AA$11,"",100*h*MAX((EXP(IRTree!AA24*h)-1)/h -$D$6,0)))</f>
        <v>1.0012815465436817</v>
      </c>
      <c r="AB90">
        <f>IF($A90&gt;AB$79,"",IF(T&lt;=AB$11,"",100*h*MAX((EXP(IRTree!AB24*h)-1)/h -$D$6,0)))</f>
        <v>1.2858989975949207</v>
      </c>
      <c r="AC90">
        <f>IF($A90&gt;AC$79,"",IF(T&lt;=AC$11,"",100*h*MAX((EXP(IRTree!AC24*h)-1)/h -$D$6,0)))</f>
        <v>1.5867173905603278</v>
      </c>
      <c r="AD90">
        <f>IF($A90&gt;AD$79,"",IF(T&lt;=AD$11,"",100*h*MAX((EXP(IRTree!AD24*h)-1)/h -$D$6,0)))</f>
        <v>1.9116483758149179</v>
      </c>
      <c r="AE90">
        <f>IF($A90&gt;AE$79,"",IF(T&lt;=AE$11,"",100*h*MAX((EXP(IRTree!AE24*h)-1)/h -$D$6,0)))</f>
        <v>2.2826437974413145</v>
      </c>
      <c r="AF90">
        <f>IF($A90&gt;AF$79,"",IF(T&lt;=AF$11,"",100*h*MAX((EXP(IRTree!AF24*h)-1)/h -$D$6,0)))</f>
        <v>2.697049246206435</v>
      </c>
      <c r="AG90">
        <f>IF($A90&gt;AG$79,"",IF(T&lt;=AG$11,"",100*h*MAX((EXP(IRTree!AG24*h)-1)/h -$D$6,0)))</f>
        <v>3.1180088726442352</v>
      </c>
      <c r="AH90">
        <f>IF($A90&gt;AH$79,"",IF(T&lt;=AH$11,"",100*h*MAX((EXP(IRTree!AH24*h)-1)/h -$D$6,0)))</f>
        <v>3.6016269123566986</v>
      </c>
      <c r="AI90">
        <f>IF($A90&gt;AI$79,"",IF(T&lt;=AI$11,"",100*h*MAX((EXP(IRTree!AI24*h)-1)/h -$D$6,0)))</f>
        <v>3.985433371167963</v>
      </c>
      <c r="AJ90">
        <f>IF($A90&gt;AJ$79,"",IF(T&lt;=AJ$11,"",100*h*MAX((EXP(IRTree!AJ24*h)-1)/h -$D$6,0)))</f>
        <v>4.4074886185962514</v>
      </c>
      <c r="AK90">
        <f>IF($A90&gt;AK$79,"",IF(T&lt;=AK$11,"",100*h*MAX((EXP(IRTree!AK24*h)-1)/h -$D$6,0)))</f>
        <v>4.7563530853179614</v>
      </c>
      <c r="AL90">
        <f>IF($A90&gt;AL$79,"",IF(T&lt;=AL$11,"",100*h*MAX((EXP(IRTree!AL24*h)-1)/h -$D$6,0)))</f>
        <v>5.2769552302847478</v>
      </c>
      <c r="AM90">
        <f>IF($A90&gt;AM$79,"",IF(T&lt;=AM$11,"",100*h*MAX((EXP(IRTree!AM24*h)-1)/h -$D$6,0)))</f>
        <v>5.5259629694082557</v>
      </c>
      <c r="AN90">
        <f>IF($A90&gt;AN$79,"",IF(T&lt;=AN$11,"",100*h*MAX((EXP(IRTree!AN24*h)-1)/h -$D$6,0)))</f>
        <v>5.7234068964032447</v>
      </c>
      <c r="AO90">
        <f>IF($A90&gt;AO$79,"",IF(T&lt;=AO$11,"",100*h*MAX((EXP(IRTree!AO24*h)-1)/h -$D$6,0)))</f>
        <v>5.8892455735327154</v>
      </c>
      <c r="AP90" t="str">
        <f>IF($A90&gt;AP$79,"",IF(T&lt;=AP$11,"",100*h*MAX((EXP(IRTree!AP24*h)-1)/h -$D$6,0)))</f>
        <v/>
      </c>
      <c r="AQ90" t="str">
        <f>IF($A90&gt;AQ$79,"",IF(T&lt;=AQ$11,"",100*h*MAX((EXP(IRTree!AQ24*h)-1)/h -$D$6,0)))</f>
        <v/>
      </c>
      <c r="AR90" t="str">
        <f>IF($A90&gt;AR$79,"",IF(T&lt;=AR$11,"",100*h*MAX((EXP(IRTree!AR24*h)-1)/h -$D$6,0)))</f>
        <v/>
      </c>
      <c r="AS90" t="str">
        <f>IF($A90&gt;AS$79,"",IF(T&lt;=AS$11,"",100*h*MAX((EXP(IRTree!AS24*h)-1)/h -$D$6,0)))</f>
        <v/>
      </c>
      <c r="AT90" t="str">
        <f>IF($A90&gt;AT$79,"",IF(T&lt;=AT$11,"",100*h*MAX((EXP(IRTree!AT24*h)-1)/h -$D$6,0)))</f>
        <v/>
      </c>
      <c r="AU90" t="str">
        <f>IF($A90&gt;AU$79,"",IF(T&lt;=AU$11,"",100*h*MAX((EXP(IRTree!AU24*h)-1)/h -$D$6,0)))</f>
        <v/>
      </c>
      <c r="AV90" t="str">
        <f>IF($A90&gt;AV$79,"",IF(T&lt;=AV$11,"",100*h*MAX((EXP(IRTree!AV24*h)-1)/h -$D$6,0)))</f>
        <v/>
      </c>
      <c r="AW90" t="str">
        <f>IF($A90&gt;AW$79,"",IF(T&lt;=AW$11,"",100*h*MAX((EXP(IRTree!AW24*h)-1)/h -$D$6,0)))</f>
        <v/>
      </c>
      <c r="AX90" t="str">
        <f>IF($A90&gt;AX$79,"",IF(T&lt;=AX$11,"",100*h*MAX((EXP(IRTree!AX24*h)-1)/h -$D$6,0)))</f>
        <v/>
      </c>
      <c r="AY90" t="str">
        <f>IF($A90&gt;AY$79,"",IF(T&lt;=AY$11,"",100*h*MAX((EXP(IRTree!AY24*h)-1)/h -$D$6,0)))</f>
        <v/>
      </c>
      <c r="AZ90" t="str">
        <f>IF($A90&gt;AZ$79,"",IF(T&lt;=AZ$11,"",100*h*MAX((EXP(IRTree!AZ24*h)-1)/h -$D$6,0)))</f>
        <v/>
      </c>
      <c r="BA90" t="str">
        <f>IF($A90&gt;BA$79,"",IF(T&lt;=BA$11,"",100*h*MAX((EXP(IRTree!BA24*h)-1)/h -$D$6,0)))</f>
        <v/>
      </c>
      <c r="BB90" t="str">
        <f>IF($A90&gt;BB$79,"",IF(T&lt;=BB$11,"",100*h*MAX((EXP(IRTree!BB24*h)-1)/h -$D$6,0)))</f>
        <v/>
      </c>
      <c r="BC90" t="str">
        <f>IF($A90&gt;BC$79,"",IF(T&lt;=BC$11,"",100*h*MAX((EXP(IRTree!BC24*h)-1)/h -$D$6,0)))</f>
        <v/>
      </c>
      <c r="BD90" t="str">
        <f>IF($A90&gt;BD$79,"",IF(T&lt;=BD$11,"",100*h*MAX((EXP(IRTree!BD24*h)-1)/h -$D$6,0)))</f>
        <v/>
      </c>
      <c r="BE90" t="str">
        <f>IF($A90&gt;BE$79,"",IF(T&lt;=BE$11,"",100*h*MAX((EXP(IRTree!BE24*h)-1)/h -$D$6,0)))</f>
        <v/>
      </c>
      <c r="BF90" t="str">
        <f>IF($A90&gt;BF$79,"",IF(T&lt;=BF$11,"",100*h*MAX((EXP(IRTree!BF24*h)-1)/h -$D$6,0)))</f>
        <v/>
      </c>
      <c r="BG90" t="str">
        <f>IF($A90&gt;BG$79,"",IF(T&lt;=BG$11,"",100*h*MAX((EXP(IRTree!BG24*h)-1)/h -$D$6,0)))</f>
        <v/>
      </c>
      <c r="BH90" t="str">
        <f>IF($A90&gt;BH$79,"",IF(T&lt;=BH$11,"",100*h*MAX((EXP(IRTree!BH24*h)-1)/h -$D$6,0)))</f>
        <v/>
      </c>
      <c r="BI90" t="str">
        <f>IF($A90&gt;BI$79,"",IF(T&lt;=BI$11,"",100*h*MAX((EXP(IRTree!BI24*h)-1)/h -$D$6,0)))</f>
        <v/>
      </c>
      <c r="BJ90" t="str">
        <f>IF($A90&gt;BJ$79,"",IF(T&lt;=BJ$11,"",100*h*MAX((EXP(IRTree!BJ24*h)-1)/h -$D$6,0)))</f>
        <v/>
      </c>
    </row>
    <row r="91" spans="1:62">
      <c r="A91" s="22">
        <f t="shared" si="5"/>
        <v>11</v>
      </c>
      <c r="B91" t="str">
        <f>IF($A91&gt;B$79,"",IF(T&lt;=B$11,"",100*h*MAX((EXP(IRTree!B25*h)-1)/h -$D$6,0)))</f>
        <v/>
      </c>
      <c r="C91" t="str">
        <f>IF($A91&gt;C$79,"",IF(T&lt;=C$11,"",100*h*MAX((EXP(IRTree!C25*h)-1)/h -$D$6,0)))</f>
        <v/>
      </c>
      <c r="D91" t="str">
        <f>IF($A91&gt;D$79,"",IF(T&lt;=D$11,"",100*h*MAX((EXP(IRTree!D25*h)-1)/h -$D$6,0)))</f>
        <v/>
      </c>
      <c r="E91" t="str">
        <f>IF($A91&gt;E$79,"",IF(T&lt;=E$11,"",100*h*MAX((EXP(IRTree!E25*h)-1)/h -$D$6,0)))</f>
        <v/>
      </c>
      <c r="F91" t="str">
        <f>IF($A91&gt;F$79,"",IF(T&lt;=F$11,"",100*h*MAX((EXP(IRTree!F25*h)-1)/h -$D$6,0)))</f>
        <v/>
      </c>
      <c r="G91" t="str">
        <f>IF($A91&gt;G$79,"",IF(T&lt;=G$11,"",100*h*MAX((EXP(IRTree!G25*h)-1)/h -$D$6,0)))</f>
        <v/>
      </c>
      <c r="H91" t="str">
        <f>IF($A91&gt;H$79,"",IF(T&lt;=H$11,"",100*h*MAX((EXP(IRTree!H25*h)-1)/h -$D$6,0)))</f>
        <v/>
      </c>
      <c r="I91" t="str">
        <f>IF($A91&gt;I$79,"",IF(T&lt;=I$11,"",100*h*MAX((EXP(IRTree!I25*h)-1)/h -$D$6,0)))</f>
        <v/>
      </c>
      <c r="J91" t="str">
        <f>IF($A91&gt;J$79,"",IF(T&lt;=J$11,"",100*h*MAX((EXP(IRTree!J25*h)-1)/h -$D$6,0)))</f>
        <v/>
      </c>
      <c r="K91" t="str">
        <f>IF($A91&gt;K$79,"",IF(T&lt;=K$11,"",100*h*MAX((EXP(IRTree!K25*h)-1)/h -$D$6,0)))</f>
        <v/>
      </c>
      <c r="L91" t="str">
        <f>IF($A91&gt;L$79,"",IF(T&lt;=L$11,"",100*h*MAX((EXP(IRTree!L25*h)-1)/h -$D$6,0)))</f>
        <v/>
      </c>
      <c r="M91">
        <f>IF($A91&gt;M$79,"",IF(T&lt;=M$11,"",100*h*MAX((EXP(IRTree!M25*h)-1)/h -$D$6,0)))</f>
        <v>0</v>
      </c>
      <c r="N91">
        <f>IF($A91&gt;N$79,"",IF(T&lt;=N$11,"",100*h*MAX((EXP(IRTree!N25*h)-1)/h -$D$6,0)))</f>
        <v>0</v>
      </c>
      <c r="O91">
        <f>IF($A91&gt;O$79,"",IF(T&lt;=O$11,"",100*h*MAX((EXP(IRTree!O25*h)-1)/h -$D$6,0)))</f>
        <v>0</v>
      </c>
      <c r="P91">
        <f>IF($A91&gt;P$79,"",IF(T&lt;=P$11,"",100*h*MAX((EXP(IRTree!P25*h)-1)/h -$D$6,0)))</f>
        <v>0</v>
      </c>
      <c r="Q91">
        <f>IF($A91&gt;Q$79,"",IF(T&lt;=Q$11,"",100*h*MAX((EXP(IRTree!Q25*h)-1)/h -$D$6,0)))</f>
        <v>0</v>
      </c>
      <c r="R91">
        <f>IF($A91&gt;R$79,"",IF(T&lt;=R$11,"",100*h*MAX((EXP(IRTree!R25*h)-1)/h -$D$6,0)))</f>
        <v>0</v>
      </c>
      <c r="S91">
        <f>IF($A91&gt;S$79,"",IF(T&lt;=S$11,"",100*h*MAX((EXP(IRTree!S25*h)-1)/h -$D$6,0)))</f>
        <v>0</v>
      </c>
      <c r="T91">
        <f>IF($A91&gt;T$79,"",IF(T&lt;=T$11,"",100*h*MAX((EXP(IRTree!T25*h)-1)/h -$D$6,0)))</f>
        <v>0</v>
      </c>
      <c r="U91">
        <f>IF($A91&gt;U$79,"",IF(T&lt;=U$11,"",100*h*MAX((EXP(IRTree!U25*h)-1)/h -$D$6,0)))</f>
        <v>0</v>
      </c>
      <c r="V91">
        <f>IF($A91&gt;V$79,"",IF(T&lt;=V$11,"",100*h*MAX((EXP(IRTree!V25*h)-1)/h -$D$6,0)))</f>
        <v>0</v>
      </c>
      <c r="W91">
        <f>IF($A91&gt;W$79,"",IF(T&lt;=W$11,"",100*h*MAX((EXP(IRTree!W25*h)-1)/h -$D$6,0)))</f>
        <v>0</v>
      </c>
      <c r="X91">
        <f>IF($A91&gt;X$79,"",IF(T&lt;=X$11,"",100*h*MAX((EXP(IRTree!X25*h)-1)/h -$D$6,0)))</f>
        <v>1.8976840777735517E-2</v>
      </c>
      <c r="Y91">
        <f>IF($A91&gt;Y$79,"",IF(T&lt;=Y$11,"",100*h*MAX((EXP(IRTree!Y25*h)-1)/h -$D$6,0)))</f>
        <v>0.17610976603907399</v>
      </c>
      <c r="Z91">
        <f>IF($A91&gt;Z$79,"",IF(T&lt;=Z$11,"",100*h*MAX((EXP(IRTree!Z25*h)-1)/h -$D$6,0)))</f>
        <v>0.35735653631804953</v>
      </c>
      <c r="AA91">
        <f>IF($A91&gt;AA$79,"",IF(T&lt;=AA$11,"",100*h*MAX((EXP(IRTree!AA25*h)-1)/h -$D$6,0)))</f>
        <v>0.55665699444626493</v>
      </c>
      <c r="AB91">
        <f>IF($A91&gt;AB$79,"",IF(T&lt;=AB$11,"",100*h*MAX((EXP(IRTree!AB25*h)-1)/h -$D$6,0)))</f>
        <v>0.7809778641790952</v>
      </c>
      <c r="AC91">
        <f>IF($A91&gt;AC$79,"",IF(T&lt;=AC$11,"",100*h*MAX((EXP(IRTree!AC25*h)-1)/h -$D$6,0)))</f>
        <v>1.0253328935513071</v>
      </c>
      <c r="AD91">
        <f>IF($A91&gt;AD$79,"",IF(T&lt;=AD$11,"",100*h*MAX((EXP(IRTree!AD25*h)-1)/h -$D$6,0)))</f>
        <v>1.2914342732428039</v>
      </c>
      <c r="AE91">
        <f>IF($A91&gt;AE$79,"",IF(T&lt;=AE$11,"",100*h*MAX((EXP(IRTree!AE25*h)-1)/h -$D$6,0)))</f>
        <v>1.5912608350204978</v>
      </c>
      <c r="AF91">
        <f>IF($A91&gt;AF$79,"",IF(T&lt;=AF$11,"",100*h*MAX((EXP(IRTree!AF25*h)-1)/h -$D$6,0)))</f>
        <v>1.925227656332535</v>
      </c>
      <c r="AG91">
        <f>IF($A91&gt;AG$79,"",IF(T&lt;=AG$11,"",100*h*MAX((EXP(IRTree!AG25*h)-1)/h -$D$6,0)))</f>
        <v>2.272675067466507</v>
      </c>
      <c r="AH91">
        <f>IF($A91&gt;AH$79,"",IF(T&lt;=AH$11,"",100*h*MAX((EXP(IRTree!AH25*h)-1)/h -$D$6,0)))</f>
        <v>2.6667968218172029</v>
      </c>
      <c r="AI91">
        <f>IF($A91&gt;AI$79,"",IF(T&lt;=AI$11,"",100*h*MAX((EXP(IRTree!AI25*h)-1)/h -$D$6,0)))</f>
        <v>3.0045321299109813</v>
      </c>
      <c r="AJ91">
        <f>IF($A91&gt;AJ$79,"",IF(T&lt;=AJ$11,"",100*h*MAX((EXP(IRTree!AJ25*h)-1)/h -$D$6,0)))</f>
        <v>3.3709624022160996</v>
      </c>
      <c r="AK91">
        <f>IF($A91&gt;AK$79,"",IF(T&lt;=AK$11,"",100*h*MAX((EXP(IRTree!AK25*h)-1)/h -$D$6,0)))</f>
        <v>3.6917095265023243</v>
      </c>
      <c r="AL91">
        <f>IF($A91&gt;AL$79,"",IF(T&lt;=AL$11,"",100*h*MAX((EXP(IRTree!AL25*h)-1)/h -$D$6,0)))</f>
        <v>4.1335010899733415</v>
      </c>
      <c r="AM91">
        <f>IF($A91&gt;AM$79,"",IF(T&lt;=AM$11,"",100*h*MAX((EXP(IRTree!AM25*h)-1)/h -$D$6,0)))</f>
        <v>4.3884787267049319</v>
      </c>
      <c r="AN91">
        <f>IF($A91&gt;AN$79,"",IF(T&lt;=AN$11,"",100*h*MAX((EXP(IRTree!AN25*h)-1)/h -$D$6,0)))</f>
        <v>4.6039710014642532</v>
      </c>
      <c r="AO91">
        <f>IF($A91&gt;AO$79,"",IF(T&lt;=AO$11,"",100*h*MAX((EXP(IRTree!AO25*h)-1)/h -$D$6,0)))</f>
        <v>4.7939075520575036</v>
      </c>
      <c r="AP91" t="str">
        <f>IF($A91&gt;AP$79,"",IF(T&lt;=AP$11,"",100*h*MAX((EXP(IRTree!AP25*h)-1)/h -$D$6,0)))</f>
        <v/>
      </c>
      <c r="AQ91" t="str">
        <f>IF($A91&gt;AQ$79,"",IF(T&lt;=AQ$11,"",100*h*MAX((EXP(IRTree!AQ25*h)-1)/h -$D$6,0)))</f>
        <v/>
      </c>
      <c r="AR91" t="str">
        <f>IF($A91&gt;AR$79,"",IF(T&lt;=AR$11,"",100*h*MAX((EXP(IRTree!AR25*h)-1)/h -$D$6,0)))</f>
        <v/>
      </c>
      <c r="AS91" t="str">
        <f>IF($A91&gt;AS$79,"",IF(T&lt;=AS$11,"",100*h*MAX((EXP(IRTree!AS25*h)-1)/h -$D$6,0)))</f>
        <v/>
      </c>
      <c r="AT91" t="str">
        <f>IF($A91&gt;AT$79,"",IF(T&lt;=AT$11,"",100*h*MAX((EXP(IRTree!AT25*h)-1)/h -$D$6,0)))</f>
        <v/>
      </c>
      <c r="AU91" t="str">
        <f>IF($A91&gt;AU$79,"",IF(T&lt;=AU$11,"",100*h*MAX((EXP(IRTree!AU25*h)-1)/h -$D$6,0)))</f>
        <v/>
      </c>
      <c r="AV91" t="str">
        <f>IF($A91&gt;AV$79,"",IF(T&lt;=AV$11,"",100*h*MAX((EXP(IRTree!AV25*h)-1)/h -$D$6,0)))</f>
        <v/>
      </c>
      <c r="AW91" t="str">
        <f>IF($A91&gt;AW$79,"",IF(T&lt;=AW$11,"",100*h*MAX((EXP(IRTree!AW25*h)-1)/h -$D$6,0)))</f>
        <v/>
      </c>
      <c r="AX91" t="str">
        <f>IF($A91&gt;AX$79,"",IF(T&lt;=AX$11,"",100*h*MAX((EXP(IRTree!AX25*h)-1)/h -$D$6,0)))</f>
        <v/>
      </c>
      <c r="AY91" t="str">
        <f>IF($A91&gt;AY$79,"",IF(T&lt;=AY$11,"",100*h*MAX((EXP(IRTree!AY25*h)-1)/h -$D$6,0)))</f>
        <v/>
      </c>
      <c r="AZ91" t="str">
        <f>IF($A91&gt;AZ$79,"",IF(T&lt;=AZ$11,"",100*h*MAX((EXP(IRTree!AZ25*h)-1)/h -$D$6,0)))</f>
        <v/>
      </c>
      <c r="BA91" t="str">
        <f>IF($A91&gt;BA$79,"",IF(T&lt;=BA$11,"",100*h*MAX((EXP(IRTree!BA25*h)-1)/h -$D$6,0)))</f>
        <v/>
      </c>
      <c r="BB91" t="str">
        <f>IF($A91&gt;BB$79,"",IF(T&lt;=BB$11,"",100*h*MAX((EXP(IRTree!BB25*h)-1)/h -$D$6,0)))</f>
        <v/>
      </c>
      <c r="BC91" t="str">
        <f>IF($A91&gt;BC$79,"",IF(T&lt;=BC$11,"",100*h*MAX((EXP(IRTree!BC25*h)-1)/h -$D$6,0)))</f>
        <v/>
      </c>
      <c r="BD91" t="str">
        <f>IF($A91&gt;BD$79,"",IF(T&lt;=BD$11,"",100*h*MAX((EXP(IRTree!BD25*h)-1)/h -$D$6,0)))</f>
        <v/>
      </c>
      <c r="BE91" t="str">
        <f>IF($A91&gt;BE$79,"",IF(T&lt;=BE$11,"",100*h*MAX((EXP(IRTree!BE25*h)-1)/h -$D$6,0)))</f>
        <v/>
      </c>
      <c r="BF91" t="str">
        <f>IF($A91&gt;BF$79,"",IF(T&lt;=BF$11,"",100*h*MAX((EXP(IRTree!BF25*h)-1)/h -$D$6,0)))</f>
        <v/>
      </c>
      <c r="BG91" t="str">
        <f>IF($A91&gt;BG$79,"",IF(T&lt;=BG$11,"",100*h*MAX((EXP(IRTree!BG25*h)-1)/h -$D$6,0)))</f>
        <v/>
      </c>
      <c r="BH91" t="str">
        <f>IF($A91&gt;BH$79,"",IF(T&lt;=BH$11,"",100*h*MAX((EXP(IRTree!BH25*h)-1)/h -$D$6,0)))</f>
        <v/>
      </c>
      <c r="BI91" t="str">
        <f>IF($A91&gt;BI$79,"",IF(T&lt;=BI$11,"",100*h*MAX((EXP(IRTree!BI25*h)-1)/h -$D$6,0)))</f>
        <v/>
      </c>
      <c r="BJ91" t="str">
        <f>IF($A91&gt;BJ$79,"",IF(T&lt;=BJ$11,"",100*h*MAX((EXP(IRTree!BJ25*h)-1)/h -$D$6,0)))</f>
        <v/>
      </c>
    </row>
    <row r="92" spans="1:62">
      <c r="A92" s="22">
        <f t="shared" si="5"/>
        <v>12</v>
      </c>
      <c r="B92" t="str">
        <f>IF($A92&gt;B$79,"",IF(T&lt;=B$11,"",100*h*MAX((EXP(IRTree!B26*h)-1)/h -$D$6,0)))</f>
        <v/>
      </c>
      <c r="C92" t="str">
        <f>IF($A92&gt;C$79,"",IF(T&lt;=C$11,"",100*h*MAX((EXP(IRTree!C26*h)-1)/h -$D$6,0)))</f>
        <v/>
      </c>
      <c r="D92" t="str">
        <f>IF($A92&gt;D$79,"",IF(T&lt;=D$11,"",100*h*MAX((EXP(IRTree!D26*h)-1)/h -$D$6,0)))</f>
        <v/>
      </c>
      <c r="E92" t="str">
        <f>IF($A92&gt;E$79,"",IF(T&lt;=E$11,"",100*h*MAX((EXP(IRTree!E26*h)-1)/h -$D$6,0)))</f>
        <v/>
      </c>
      <c r="F92" t="str">
        <f>IF($A92&gt;F$79,"",IF(T&lt;=F$11,"",100*h*MAX((EXP(IRTree!F26*h)-1)/h -$D$6,0)))</f>
        <v/>
      </c>
      <c r="G92" t="str">
        <f>IF($A92&gt;G$79,"",IF(T&lt;=G$11,"",100*h*MAX((EXP(IRTree!G26*h)-1)/h -$D$6,0)))</f>
        <v/>
      </c>
      <c r="H92" t="str">
        <f>IF($A92&gt;H$79,"",IF(T&lt;=H$11,"",100*h*MAX((EXP(IRTree!H26*h)-1)/h -$D$6,0)))</f>
        <v/>
      </c>
      <c r="I92" t="str">
        <f>IF($A92&gt;I$79,"",IF(T&lt;=I$11,"",100*h*MAX((EXP(IRTree!I26*h)-1)/h -$D$6,0)))</f>
        <v/>
      </c>
      <c r="J92" t="str">
        <f>IF($A92&gt;J$79,"",IF(T&lt;=J$11,"",100*h*MAX((EXP(IRTree!J26*h)-1)/h -$D$6,0)))</f>
        <v/>
      </c>
      <c r="K92" t="str">
        <f>IF($A92&gt;K$79,"",IF(T&lt;=K$11,"",100*h*MAX((EXP(IRTree!K26*h)-1)/h -$D$6,0)))</f>
        <v/>
      </c>
      <c r="L92" t="str">
        <f>IF($A92&gt;L$79,"",IF(T&lt;=L$11,"",100*h*MAX((EXP(IRTree!L26*h)-1)/h -$D$6,0)))</f>
        <v/>
      </c>
      <c r="M92" t="str">
        <f>IF($A92&gt;M$79,"",IF(T&lt;=M$11,"",100*h*MAX((EXP(IRTree!M26*h)-1)/h -$D$6,0)))</f>
        <v/>
      </c>
      <c r="N92">
        <f>IF($A92&gt;N$79,"",IF(T&lt;=N$11,"",100*h*MAX((EXP(IRTree!N26*h)-1)/h -$D$6,0)))</f>
        <v>0</v>
      </c>
      <c r="O92">
        <f>IF($A92&gt;O$79,"",IF(T&lt;=O$11,"",100*h*MAX((EXP(IRTree!O26*h)-1)/h -$D$6,0)))</f>
        <v>0</v>
      </c>
      <c r="P92">
        <f>IF($A92&gt;P$79,"",IF(T&lt;=P$11,"",100*h*MAX((EXP(IRTree!P26*h)-1)/h -$D$6,0)))</f>
        <v>0</v>
      </c>
      <c r="Q92">
        <f>IF($A92&gt;Q$79,"",IF(T&lt;=Q$11,"",100*h*MAX((EXP(IRTree!Q26*h)-1)/h -$D$6,0)))</f>
        <v>0</v>
      </c>
      <c r="R92">
        <f>IF($A92&gt;R$79,"",IF(T&lt;=R$11,"",100*h*MAX((EXP(IRTree!R26*h)-1)/h -$D$6,0)))</f>
        <v>0</v>
      </c>
      <c r="S92">
        <f>IF($A92&gt;S$79,"",IF(T&lt;=S$11,"",100*h*MAX((EXP(IRTree!S26*h)-1)/h -$D$6,0)))</f>
        <v>0</v>
      </c>
      <c r="T92">
        <f>IF($A92&gt;T$79,"",IF(T&lt;=T$11,"",100*h*MAX((EXP(IRTree!T26*h)-1)/h -$D$6,0)))</f>
        <v>0</v>
      </c>
      <c r="U92">
        <f>IF($A92&gt;U$79,"",IF(T&lt;=U$11,"",100*h*MAX((EXP(IRTree!U26*h)-1)/h -$D$6,0)))</f>
        <v>0</v>
      </c>
      <c r="V92">
        <f>IF($A92&gt;V$79,"",IF(T&lt;=V$11,"",100*h*MAX((EXP(IRTree!V26*h)-1)/h -$D$6,0)))</f>
        <v>0</v>
      </c>
      <c r="W92">
        <f>IF($A92&gt;W$79,"",IF(T&lt;=W$11,"",100*h*MAX((EXP(IRTree!W26*h)-1)/h -$D$6,0)))</f>
        <v>0</v>
      </c>
      <c r="X92">
        <f>IF($A92&gt;X$79,"",IF(T&lt;=X$11,"",100*h*MAX((EXP(IRTree!X26*h)-1)/h -$D$6,0)))</f>
        <v>0</v>
      </c>
      <c r="Y92">
        <f>IF($A92&gt;Y$79,"",IF(T&lt;=Y$11,"",100*h*MAX((EXP(IRTree!Y26*h)-1)/h -$D$6,0)))</f>
        <v>0</v>
      </c>
      <c r="Z92">
        <f>IF($A92&gt;Z$79,"",IF(T&lt;=Z$11,"",100*h*MAX((EXP(IRTree!Z26*h)-1)/h -$D$6,0)))</f>
        <v>4.2771265633451995E-2</v>
      </c>
      <c r="AA92">
        <f>IF($A92&gt;AA$79,"",IF(T&lt;=AA$11,"",100*h*MAX((EXP(IRTree!AA26*h)-1)/h -$D$6,0)))</f>
        <v>0.20555821565006546</v>
      </c>
      <c r="AB92">
        <f>IF($A92&gt;AB$79,"",IF(T&lt;=AB$11,"",100*h*MAX((EXP(IRTree!AB26*h)-1)/h -$D$6,0)))</f>
        <v>0.3825268271782265</v>
      </c>
      <c r="AC92">
        <f>IF($A92&gt;AC$79,"",IF(T&lt;=AC$11,"",100*h*MAX((EXP(IRTree!AC26*h)-1)/h -$D$6,0)))</f>
        <v>0.58107816120751088</v>
      </c>
      <c r="AD92">
        <f>IF($A92&gt;AD$79,"",IF(T&lt;=AD$11,"",100*h*MAX((EXP(IRTree!AD26*h)-1)/h -$D$6,0)))</f>
        <v>0.79902401843163307</v>
      </c>
      <c r="AE92">
        <f>IF($A92&gt;AE$79,"",IF(T&lt;=AE$11,"",100*h*MAX((EXP(IRTree!AE26*h)-1)/h -$D$6,0)))</f>
        <v>1.0415702008870829</v>
      </c>
      <c r="AF92">
        <f>IF($A92&gt;AF$79,"",IF(T&lt;=AF$11,"",100*h*MAX((EXP(IRTree!AF26*h)-1)/h -$D$6,0)))</f>
        <v>1.3110422077365411</v>
      </c>
      <c r="AG92">
        <f>IF($A92&gt;AG$79,"",IF(T&lt;=AG$11,"",100*h*MAX((EXP(IRTree!AG26*h)-1)/h -$D$6,0)))</f>
        <v>1.5979033671825467</v>
      </c>
      <c r="AH92">
        <f>IF($A92&gt;AH$79,"",IF(T&lt;=AH$11,"",100*h*MAX((EXP(IRTree!AH26*h)-1)/h -$D$6,0)))</f>
        <v>1.919490523216933</v>
      </c>
      <c r="AI92">
        <f>IF($A92&gt;AI$79,"",IF(T&lt;=AI$11,"",100*h*MAX((EXP(IRTree!AI26*h)-1)/h -$D$6,0)))</f>
        <v>2.2148444274855135</v>
      </c>
      <c r="AJ92">
        <f>IF($A92&gt;AJ$79,"",IF(T&lt;=AJ$11,"",100*h*MAX((EXP(IRTree!AJ26*h)-1)/h -$D$6,0)))</f>
        <v>2.5319441571173669</v>
      </c>
      <c r="AK92">
        <f>IF($A92&gt;AK$79,"",IF(T&lt;=AK$11,"",100*h*MAX((EXP(IRTree!AK26*h)-1)/h -$D$6,0)))</f>
        <v>2.8233295288575717</v>
      </c>
      <c r="AL92">
        <f>IF($A92&gt;AL$79,"",IF(T&lt;=AL$11,"",100*h*MAX((EXP(IRTree!AL26*h)-1)/h -$D$6,0)))</f>
        <v>3.1983748302390542</v>
      </c>
      <c r="AM92">
        <f>IF($A92&gt;AM$79,"",IF(T&lt;=AM$11,"",100*h*MAX((EXP(IRTree!AM26*h)-1)/h -$D$6,0)))</f>
        <v>3.4496530851878933</v>
      </c>
      <c r="AN92">
        <f>IF($A92&gt;AN$79,"",IF(T&lt;=AN$11,"",100*h*MAX((EXP(IRTree!AN26*h)-1)/h -$D$6,0)))</f>
        <v>3.6715737133250443</v>
      </c>
      <c r="AO92">
        <f>IF($A92&gt;AO$79,"",IF(T&lt;=AO$11,"",100*h*MAX((EXP(IRTree!AO26*h)-1)/h -$D$6,0)))</f>
        <v>3.8735622138533494</v>
      </c>
      <c r="AP92" t="str">
        <f>IF($A92&gt;AP$79,"",IF(T&lt;=AP$11,"",100*h*MAX((EXP(IRTree!AP26*h)-1)/h -$D$6,0)))</f>
        <v/>
      </c>
      <c r="AQ92" t="str">
        <f>IF($A92&gt;AQ$79,"",IF(T&lt;=AQ$11,"",100*h*MAX((EXP(IRTree!AQ26*h)-1)/h -$D$6,0)))</f>
        <v/>
      </c>
      <c r="AR92" t="str">
        <f>IF($A92&gt;AR$79,"",IF(T&lt;=AR$11,"",100*h*MAX((EXP(IRTree!AR26*h)-1)/h -$D$6,0)))</f>
        <v/>
      </c>
      <c r="AS92" t="str">
        <f>IF($A92&gt;AS$79,"",IF(T&lt;=AS$11,"",100*h*MAX((EXP(IRTree!AS26*h)-1)/h -$D$6,0)))</f>
        <v/>
      </c>
      <c r="AT92" t="str">
        <f>IF($A92&gt;AT$79,"",IF(T&lt;=AT$11,"",100*h*MAX((EXP(IRTree!AT26*h)-1)/h -$D$6,0)))</f>
        <v/>
      </c>
      <c r="AU92" t="str">
        <f>IF($A92&gt;AU$79,"",IF(T&lt;=AU$11,"",100*h*MAX((EXP(IRTree!AU26*h)-1)/h -$D$6,0)))</f>
        <v/>
      </c>
      <c r="AV92" t="str">
        <f>IF($A92&gt;AV$79,"",IF(T&lt;=AV$11,"",100*h*MAX((EXP(IRTree!AV26*h)-1)/h -$D$6,0)))</f>
        <v/>
      </c>
      <c r="AW92" t="str">
        <f>IF($A92&gt;AW$79,"",IF(T&lt;=AW$11,"",100*h*MAX((EXP(IRTree!AW26*h)-1)/h -$D$6,0)))</f>
        <v/>
      </c>
      <c r="AX92" t="str">
        <f>IF($A92&gt;AX$79,"",IF(T&lt;=AX$11,"",100*h*MAX((EXP(IRTree!AX26*h)-1)/h -$D$6,0)))</f>
        <v/>
      </c>
      <c r="AY92" t="str">
        <f>IF($A92&gt;AY$79,"",IF(T&lt;=AY$11,"",100*h*MAX((EXP(IRTree!AY26*h)-1)/h -$D$6,0)))</f>
        <v/>
      </c>
      <c r="AZ92" t="str">
        <f>IF($A92&gt;AZ$79,"",IF(T&lt;=AZ$11,"",100*h*MAX((EXP(IRTree!AZ26*h)-1)/h -$D$6,0)))</f>
        <v/>
      </c>
      <c r="BA92" t="str">
        <f>IF($A92&gt;BA$79,"",IF(T&lt;=BA$11,"",100*h*MAX((EXP(IRTree!BA26*h)-1)/h -$D$6,0)))</f>
        <v/>
      </c>
      <c r="BB92" t="str">
        <f>IF($A92&gt;BB$79,"",IF(T&lt;=BB$11,"",100*h*MAX((EXP(IRTree!BB26*h)-1)/h -$D$6,0)))</f>
        <v/>
      </c>
      <c r="BC92" t="str">
        <f>IF($A92&gt;BC$79,"",IF(T&lt;=BC$11,"",100*h*MAX((EXP(IRTree!BC26*h)-1)/h -$D$6,0)))</f>
        <v/>
      </c>
      <c r="BD92" t="str">
        <f>IF($A92&gt;BD$79,"",IF(T&lt;=BD$11,"",100*h*MAX((EXP(IRTree!BD26*h)-1)/h -$D$6,0)))</f>
        <v/>
      </c>
      <c r="BE92" t="str">
        <f>IF($A92&gt;BE$79,"",IF(T&lt;=BE$11,"",100*h*MAX((EXP(IRTree!BE26*h)-1)/h -$D$6,0)))</f>
        <v/>
      </c>
      <c r="BF92" t="str">
        <f>IF($A92&gt;BF$79,"",IF(T&lt;=BF$11,"",100*h*MAX((EXP(IRTree!BF26*h)-1)/h -$D$6,0)))</f>
        <v/>
      </c>
      <c r="BG92" t="str">
        <f>IF($A92&gt;BG$79,"",IF(T&lt;=BG$11,"",100*h*MAX((EXP(IRTree!BG26*h)-1)/h -$D$6,0)))</f>
        <v/>
      </c>
      <c r="BH92" t="str">
        <f>IF($A92&gt;BH$79,"",IF(T&lt;=BH$11,"",100*h*MAX((EXP(IRTree!BH26*h)-1)/h -$D$6,0)))</f>
        <v/>
      </c>
      <c r="BI92" t="str">
        <f>IF($A92&gt;BI$79,"",IF(T&lt;=BI$11,"",100*h*MAX((EXP(IRTree!BI26*h)-1)/h -$D$6,0)))</f>
        <v/>
      </c>
      <c r="BJ92" t="str">
        <f>IF($A92&gt;BJ$79,"",IF(T&lt;=BJ$11,"",100*h*MAX((EXP(IRTree!BJ26*h)-1)/h -$D$6,0)))</f>
        <v/>
      </c>
    </row>
    <row r="93" spans="1:62">
      <c r="A93" s="22">
        <f t="shared" si="5"/>
        <v>13</v>
      </c>
      <c r="B93" t="str">
        <f>IF($A93&gt;B$79,"",IF(T&lt;=B$11,"",100*h*MAX((EXP(IRTree!B27*h)-1)/h -$D$6,0)))</f>
        <v/>
      </c>
      <c r="C93" t="str">
        <f>IF($A93&gt;C$79,"",IF(T&lt;=C$11,"",100*h*MAX((EXP(IRTree!C27*h)-1)/h -$D$6,0)))</f>
        <v/>
      </c>
      <c r="D93" t="str">
        <f>IF($A93&gt;D$79,"",IF(T&lt;=D$11,"",100*h*MAX((EXP(IRTree!D27*h)-1)/h -$D$6,0)))</f>
        <v/>
      </c>
      <c r="E93" t="str">
        <f>IF($A93&gt;E$79,"",IF(T&lt;=E$11,"",100*h*MAX((EXP(IRTree!E27*h)-1)/h -$D$6,0)))</f>
        <v/>
      </c>
      <c r="F93" t="str">
        <f>IF($A93&gt;F$79,"",IF(T&lt;=F$11,"",100*h*MAX((EXP(IRTree!F27*h)-1)/h -$D$6,0)))</f>
        <v/>
      </c>
      <c r="G93" t="str">
        <f>IF($A93&gt;G$79,"",IF(T&lt;=G$11,"",100*h*MAX((EXP(IRTree!G27*h)-1)/h -$D$6,0)))</f>
        <v/>
      </c>
      <c r="H93" t="str">
        <f>IF($A93&gt;H$79,"",IF(T&lt;=H$11,"",100*h*MAX((EXP(IRTree!H27*h)-1)/h -$D$6,0)))</f>
        <v/>
      </c>
      <c r="I93" t="str">
        <f>IF($A93&gt;I$79,"",IF(T&lt;=I$11,"",100*h*MAX((EXP(IRTree!I27*h)-1)/h -$D$6,0)))</f>
        <v/>
      </c>
      <c r="J93" t="str">
        <f>IF($A93&gt;J$79,"",IF(T&lt;=J$11,"",100*h*MAX((EXP(IRTree!J27*h)-1)/h -$D$6,0)))</f>
        <v/>
      </c>
      <c r="K93" t="str">
        <f>IF($A93&gt;K$79,"",IF(T&lt;=K$11,"",100*h*MAX((EXP(IRTree!K27*h)-1)/h -$D$6,0)))</f>
        <v/>
      </c>
      <c r="L93" t="str">
        <f>IF($A93&gt;L$79,"",IF(T&lt;=L$11,"",100*h*MAX((EXP(IRTree!L27*h)-1)/h -$D$6,0)))</f>
        <v/>
      </c>
      <c r="M93" t="str">
        <f>IF($A93&gt;M$79,"",IF(T&lt;=M$11,"",100*h*MAX((EXP(IRTree!M27*h)-1)/h -$D$6,0)))</f>
        <v/>
      </c>
      <c r="N93" t="str">
        <f>IF($A93&gt;N$79,"",IF(T&lt;=N$11,"",100*h*MAX((EXP(IRTree!N27*h)-1)/h -$D$6,0)))</f>
        <v/>
      </c>
      <c r="O93">
        <f>IF($A93&gt;O$79,"",IF(T&lt;=O$11,"",100*h*MAX((EXP(IRTree!O27*h)-1)/h -$D$6,0)))</f>
        <v>0</v>
      </c>
      <c r="P93">
        <f>IF($A93&gt;P$79,"",IF(T&lt;=P$11,"",100*h*MAX((EXP(IRTree!P27*h)-1)/h -$D$6,0)))</f>
        <v>0</v>
      </c>
      <c r="Q93">
        <f>IF($A93&gt;Q$79,"",IF(T&lt;=Q$11,"",100*h*MAX((EXP(IRTree!Q27*h)-1)/h -$D$6,0)))</f>
        <v>0</v>
      </c>
      <c r="R93">
        <f>IF($A93&gt;R$79,"",IF(T&lt;=R$11,"",100*h*MAX((EXP(IRTree!R27*h)-1)/h -$D$6,0)))</f>
        <v>0</v>
      </c>
      <c r="S93">
        <f>IF($A93&gt;S$79,"",IF(T&lt;=S$11,"",100*h*MAX((EXP(IRTree!S27*h)-1)/h -$D$6,0)))</f>
        <v>0</v>
      </c>
      <c r="T93">
        <f>IF($A93&gt;T$79,"",IF(T&lt;=T$11,"",100*h*MAX((EXP(IRTree!T27*h)-1)/h -$D$6,0)))</f>
        <v>0</v>
      </c>
      <c r="U93">
        <f>IF($A93&gt;U$79,"",IF(T&lt;=U$11,"",100*h*MAX((EXP(IRTree!U27*h)-1)/h -$D$6,0)))</f>
        <v>0</v>
      </c>
      <c r="V93">
        <f>IF($A93&gt;V$79,"",IF(T&lt;=V$11,"",100*h*MAX((EXP(IRTree!V27*h)-1)/h -$D$6,0)))</f>
        <v>0</v>
      </c>
      <c r="W93">
        <f>IF($A93&gt;W$79,"",IF(T&lt;=W$11,"",100*h*MAX((EXP(IRTree!W27*h)-1)/h -$D$6,0)))</f>
        <v>0</v>
      </c>
      <c r="X93">
        <f>IF($A93&gt;X$79,"",IF(T&lt;=X$11,"",100*h*MAX((EXP(IRTree!X27*h)-1)/h -$D$6,0)))</f>
        <v>0</v>
      </c>
      <c r="Y93">
        <f>IF($A93&gt;Y$79,"",IF(T&lt;=Y$11,"",100*h*MAX((EXP(IRTree!Y27*h)-1)/h -$D$6,0)))</f>
        <v>0</v>
      </c>
      <c r="Z93">
        <f>IF($A93&gt;Z$79,"",IF(T&lt;=Z$11,"",100*h*MAX((EXP(IRTree!Z27*h)-1)/h -$D$6,0)))</f>
        <v>0</v>
      </c>
      <c r="AA93">
        <f>IF($A93&gt;AA$79,"",IF(T&lt;=AA$11,"",100*h*MAX((EXP(IRTree!AA27*h)-1)/h -$D$6,0)))</f>
        <v>0</v>
      </c>
      <c r="AB93">
        <f>IF($A93&gt;AB$79,"",IF(T&lt;=AB$11,"",100*h*MAX((EXP(IRTree!AB27*h)-1)/h -$D$6,0)))</f>
        <v>6.7806071121485373E-2</v>
      </c>
      <c r="AC93">
        <f>IF($A93&gt;AC$79,"",IF(T&lt;=AC$11,"",100*h*MAX((EXP(IRTree!AC27*h)-1)/h -$D$6,0)))</f>
        <v>0.22916037501691885</v>
      </c>
      <c r="AD93">
        <f>IF($A93&gt;AD$79,"",IF(T&lt;=AD$11,"",100*h*MAX((EXP(IRTree!AD27*h)-1)/h -$D$6,0)))</f>
        <v>0.40765337626366782</v>
      </c>
      <c r="AE93">
        <f>IF($A93&gt;AE$79,"",IF(T&lt;=AE$11,"",100*h*MAX((EXP(IRTree!AE27*h)-1)/h -$D$6,0)))</f>
        <v>0.6040049626529107</v>
      </c>
      <c r="AF93">
        <f>IF($A93&gt;AF$79,"",IF(T&lt;=AF$11,"",100*h*MAX((EXP(IRTree!AF27*h)-1)/h -$D$6,0)))</f>
        <v>0.82164370430159539</v>
      </c>
      <c r="AG93">
        <f>IF($A93&gt;AG$79,"",IF(T&lt;=AG$11,"",100*h*MAX((EXP(IRTree!AG27*h)-1)/h -$D$6,0)))</f>
        <v>1.0585039650159398</v>
      </c>
      <c r="AH93">
        <f>IF($A93&gt;AH$79,"",IF(T&lt;=AH$11,"",100*h*MAX((EXP(IRTree!AH27*h)-1)/h -$D$6,0)))</f>
        <v>1.3211516049938374</v>
      </c>
      <c r="AI93">
        <f>IF($A93&gt;AI$79,"",IF(T&lt;=AI$11,"",100*h*MAX((EXP(IRTree!AI27*h)-1)/h -$D$6,0)))</f>
        <v>1.5780790706985077</v>
      </c>
      <c r="AJ93">
        <f>IF($A93&gt;AJ$79,"",IF(T&lt;=AJ$11,"",100*h*MAX((EXP(IRTree!AJ27*h)-1)/h -$D$6,0)))</f>
        <v>1.8516820383306771</v>
      </c>
      <c r="AK93">
        <f>IF($A93&gt;AK$79,"",IF(T&lt;=AK$11,"",100*h*MAX((EXP(IRTree!AK27*h)-1)/h -$D$6,0)))</f>
        <v>2.1138776617622042</v>
      </c>
      <c r="AL93">
        <f>IF($A93&gt;AL$79,"",IF(T&lt;=AL$11,"",100*h*MAX((EXP(IRTree!AL27*h)-1)/h -$D$6,0)))</f>
        <v>2.4323061076766579</v>
      </c>
      <c r="AM93">
        <f>IF($A93&gt;AM$79,"",IF(T&lt;=AM$11,"",100*h*MAX((EXP(IRTree!AM27*h)-1)/h -$D$6,0)))</f>
        <v>2.6735213014879862</v>
      </c>
      <c r="AN93">
        <f>IF($A93&gt;AN$79,"",IF(T&lt;=AN$11,"",100*h*MAX((EXP(IRTree!AN27*h)-1)/h -$D$6,0)))</f>
        <v>2.8937659584031556</v>
      </c>
      <c r="AO93">
        <f>IF($A93&gt;AO$79,"",IF(T&lt;=AO$11,"",100*h*MAX((EXP(IRTree!AO27*h)-1)/h -$D$6,0)))</f>
        <v>3.0991358306245949</v>
      </c>
      <c r="AP93" t="str">
        <f>IF($A93&gt;AP$79,"",IF(T&lt;=AP$11,"",100*h*MAX((EXP(IRTree!AP27*h)-1)/h -$D$6,0)))</f>
        <v/>
      </c>
      <c r="AQ93" t="str">
        <f>IF($A93&gt;AQ$79,"",IF(T&lt;=AQ$11,"",100*h*MAX((EXP(IRTree!AQ27*h)-1)/h -$D$6,0)))</f>
        <v/>
      </c>
      <c r="AR93" t="str">
        <f>IF($A93&gt;AR$79,"",IF(T&lt;=AR$11,"",100*h*MAX((EXP(IRTree!AR27*h)-1)/h -$D$6,0)))</f>
        <v/>
      </c>
      <c r="AS93" t="str">
        <f>IF($A93&gt;AS$79,"",IF(T&lt;=AS$11,"",100*h*MAX((EXP(IRTree!AS27*h)-1)/h -$D$6,0)))</f>
        <v/>
      </c>
      <c r="AT93" t="str">
        <f>IF($A93&gt;AT$79,"",IF(T&lt;=AT$11,"",100*h*MAX((EXP(IRTree!AT27*h)-1)/h -$D$6,0)))</f>
        <v/>
      </c>
      <c r="AU93" t="str">
        <f>IF($A93&gt;AU$79,"",IF(T&lt;=AU$11,"",100*h*MAX((EXP(IRTree!AU27*h)-1)/h -$D$6,0)))</f>
        <v/>
      </c>
      <c r="AV93" t="str">
        <f>IF($A93&gt;AV$79,"",IF(T&lt;=AV$11,"",100*h*MAX((EXP(IRTree!AV27*h)-1)/h -$D$6,0)))</f>
        <v/>
      </c>
      <c r="AW93" t="str">
        <f>IF($A93&gt;AW$79,"",IF(T&lt;=AW$11,"",100*h*MAX((EXP(IRTree!AW27*h)-1)/h -$D$6,0)))</f>
        <v/>
      </c>
      <c r="AX93" t="str">
        <f>IF($A93&gt;AX$79,"",IF(T&lt;=AX$11,"",100*h*MAX((EXP(IRTree!AX27*h)-1)/h -$D$6,0)))</f>
        <v/>
      </c>
      <c r="AY93" t="str">
        <f>IF($A93&gt;AY$79,"",IF(T&lt;=AY$11,"",100*h*MAX((EXP(IRTree!AY27*h)-1)/h -$D$6,0)))</f>
        <v/>
      </c>
      <c r="AZ93" t="str">
        <f>IF($A93&gt;AZ$79,"",IF(T&lt;=AZ$11,"",100*h*MAX((EXP(IRTree!AZ27*h)-1)/h -$D$6,0)))</f>
        <v/>
      </c>
      <c r="BA93" t="str">
        <f>IF($A93&gt;BA$79,"",IF(T&lt;=BA$11,"",100*h*MAX((EXP(IRTree!BA27*h)-1)/h -$D$6,0)))</f>
        <v/>
      </c>
      <c r="BB93" t="str">
        <f>IF($A93&gt;BB$79,"",IF(T&lt;=BB$11,"",100*h*MAX((EXP(IRTree!BB27*h)-1)/h -$D$6,0)))</f>
        <v/>
      </c>
      <c r="BC93" t="str">
        <f>IF($A93&gt;BC$79,"",IF(T&lt;=BC$11,"",100*h*MAX((EXP(IRTree!BC27*h)-1)/h -$D$6,0)))</f>
        <v/>
      </c>
      <c r="BD93" t="str">
        <f>IF($A93&gt;BD$79,"",IF(T&lt;=BD$11,"",100*h*MAX((EXP(IRTree!BD27*h)-1)/h -$D$6,0)))</f>
        <v/>
      </c>
      <c r="BE93" t="str">
        <f>IF($A93&gt;BE$79,"",IF(T&lt;=BE$11,"",100*h*MAX((EXP(IRTree!BE27*h)-1)/h -$D$6,0)))</f>
        <v/>
      </c>
      <c r="BF93" t="str">
        <f>IF($A93&gt;BF$79,"",IF(T&lt;=BF$11,"",100*h*MAX((EXP(IRTree!BF27*h)-1)/h -$D$6,0)))</f>
        <v/>
      </c>
      <c r="BG93" t="str">
        <f>IF($A93&gt;BG$79,"",IF(T&lt;=BG$11,"",100*h*MAX((EXP(IRTree!BG27*h)-1)/h -$D$6,0)))</f>
        <v/>
      </c>
      <c r="BH93" t="str">
        <f>IF($A93&gt;BH$79,"",IF(T&lt;=BH$11,"",100*h*MAX((EXP(IRTree!BH27*h)-1)/h -$D$6,0)))</f>
        <v/>
      </c>
      <c r="BI93" t="str">
        <f>IF($A93&gt;BI$79,"",IF(T&lt;=BI$11,"",100*h*MAX((EXP(IRTree!BI27*h)-1)/h -$D$6,0)))</f>
        <v/>
      </c>
      <c r="BJ93" t="str">
        <f>IF($A93&gt;BJ$79,"",IF(T&lt;=BJ$11,"",100*h*MAX((EXP(IRTree!BJ27*h)-1)/h -$D$6,0)))</f>
        <v/>
      </c>
    </row>
    <row r="94" spans="1:62">
      <c r="A94" s="22">
        <f t="shared" si="5"/>
        <v>14</v>
      </c>
      <c r="B94" t="str">
        <f>IF($A94&gt;B$79,"",IF(T&lt;=B$11,"",100*h*MAX((EXP(IRTree!B28*h)-1)/h -$D$6,0)))</f>
        <v/>
      </c>
      <c r="C94" t="str">
        <f>IF($A94&gt;C$79,"",IF(T&lt;=C$11,"",100*h*MAX((EXP(IRTree!C28*h)-1)/h -$D$6,0)))</f>
        <v/>
      </c>
      <c r="D94" t="str">
        <f>IF($A94&gt;D$79,"",IF(T&lt;=D$11,"",100*h*MAX((EXP(IRTree!D28*h)-1)/h -$D$6,0)))</f>
        <v/>
      </c>
      <c r="E94" t="str">
        <f>IF($A94&gt;E$79,"",IF(T&lt;=E$11,"",100*h*MAX((EXP(IRTree!E28*h)-1)/h -$D$6,0)))</f>
        <v/>
      </c>
      <c r="F94" t="str">
        <f>IF($A94&gt;F$79,"",IF(T&lt;=F$11,"",100*h*MAX((EXP(IRTree!F28*h)-1)/h -$D$6,0)))</f>
        <v/>
      </c>
      <c r="G94" t="str">
        <f>IF($A94&gt;G$79,"",IF(T&lt;=G$11,"",100*h*MAX((EXP(IRTree!G28*h)-1)/h -$D$6,0)))</f>
        <v/>
      </c>
      <c r="H94" t="str">
        <f>IF($A94&gt;H$79,"",IF(T&lt;=H$11,"",100*h*MAX((EXP(IRTree!H28*h)-1)/h -$D$6,0)))</f>
        <v/>
      </c>
      <c r="I94" t="str">
        <f>IF($A94&gt;I$79,"",IF(T&lt;=I$11,"",100*h*MAX((EXP(IRTree!I28*h)-1)/h -$D$6,0)))</f>
        <v/>
      </c>
      <c r="J94" t="str">
        <f>IF($A94&gt;J$79,"",IF(T&lt;=J$11,"",100*h*MAX((EXP(IRTree!J28*h)-1)/h -$D$6,0)))</f>
        <v/>
      </c>
      <c r="K94" t="str">
        <f>IF($A94&gt;K$79,"",IF(T&lt;=K$11,"",100*h*MAX((EXP(IRTree!K28*h)-1)/h -$D$6,0)))</f>
        <v/>
      </c>
      <c r="L94" t="str">
        <f>IF($A94&gt;L$79,"",IF(T&lt;=L$11,"",100*h*MAX((EXP(IRTree!L28*h)-1)/h -$D$6,0)))</f>
        <v/>
      </c>
      <c r="M94" t="str">
        <f>IF($A94&gt;M$79,"",IF(T&lt;=M$11,"",100*h*MAX((EXP(IRTree!M28*h)-1)/h -$D$6,0)))</f>
        <v/>
      </c>
      <c r="N94" t="str">
        <f>IF($A94&gt;N$79,"",IF(T&lt;=N$11,"",100*h*MAX((EXP(IRTree!N28*h)-1)/h -$D$6,0)))</f>
        <v/>
      </c>
      <c r="O94" t="str">
        <f>IF($A94&gt;O$79,"",IF(T&lt;=O$11,"",100*h*MAX((EXP(IRTree!O28*h)-1)/h -$D$6,0)))</f>
        <v/>
      </c>
      <c r="P94">
        <f>IF($A94&gt;P$79,"",IF(T&lt;=P$11,"",100*h*MAX((EXP(IRTree!P28*h)-1)/h -$D$6,0)))</f>
        <v>0</v>
      </c>
      <c r="Q94">
        <f>IF($A94&gt;Q$79,"",IF(T&lt;=Q$11,"",100*h*MAX((EXP(IRTree!Q28*h)-1)/h -$D$6,0)))</f>
        <v>0</v>
      </c>
      <c r="R94">
        <f>IF($A94&gt;R$79,"",IF(T&lt;=R$11,"",100*h*MAX((EXP(IRTree!R28*h)-1)/h -$D$6,0)))</f>
        <v>0</v>
      </c>
      <c r="S94">
        <f>IF($A94&gt;S$79,"",IF(T&lt;=S$11,"",100*h*MAX((EXP(IRTree!S28*h)-1)/h -$D$6,0)))</f>
        <v>0</v>
      </c>
      <c r="T94">
        <f>IF($A94&gt;T$79,"",IF(T&lt;=T$11,"",100*h*MAX((EXP(IRTree!T28*h)-1)/h -$D$6,0)))</f>
        <v>0</v>
      </c>
      <c r="U94">
        <f>IF($A94&gt;U$79,"",IF(T&lt;=U$11,"",100*h*MAX((EXP(IRTree!U28*h)-1)/h -$D$6,0)))</f>
        <v>0</v>
      </c>
      <c r="V94">
        <f>IF($A94&gt;V$79,"",IF(T&lt;=V$11,"",100*h*MAX((EXP(IRTree!V28*h)-1)/h -$D$6,0)))</f>
        <v>0</v>
      </c>
      <c r="W94">
        <f>IF($A94&gt;W$79,"",IF(T&lt;=W$11,"",100*h*MAX((EXP(IRTree!W28*h)-1)/h -$D$6,0)))</f>
        <v>0</v>
      </c>
      <c r="X94">
        <f>IF($A94&gt;X$79,"",IF(T&lt;=X$11,"",100*h*MAX((EXP(IRTree!X28*h)-1)/h -$D$6,0)))</f>
        <v>0</v>
      </c>
      <c r="Y94">
        <f>IF($A94&gt;Y$79,"",IF(T&lt;=Y$11,"",100*h*MAX((EXP(IRTree!Y28*h)-1)/h -$D$6,0)))</f>
        <v>0</v>
      </c>
      <c r="Z94">
        <f>IF($A94&gt;Z$79,"",IF(T&lt;=Z$11,"",100*h*MAX((EXP(IRTree!Z28*h)-1)/h -$D$6,0)))</f>
        <v>0</v>
      </c>
      <c r="AA94">
        <f>IF($A94&gt;AA$79,"",IF(T&lt;=AA$11,"",100*h*MAX((EXP(IRTree!AA28*h)-1)/h -$D$6,0)))</f>
        <v>0</v>
      </c>
      <c r="AB94">
        <f>IF($A94&gt;AB$79,"",IF(T&lt;=AB$11,"",100*h*MAX((EXP(IRTree!AB28*h)-1)/h -$D$6,0)))</f>
        <v>0</v>
      </c>
      <c r="AC94">
        <f>IF($A94&gt;AC$79,"",IF(T&lt;=AC$11,"",100*h*MAX((EXP(IRTree!AC28*h)-1)/h -$D$6,0)))</f>
        <v>0</v>
      </c>
      <c r="AD94">
        <f>IF($A94&gt;AD$79,"",IF(T&lt;=AD$11,"",100*h*MAX((EXP(IRTree!AD28*h)-1)/h -$D$6,0)))</f>
        <v>9.6317533808160966E-2</v>
      </c>
      <c r="AE94">
        <f>IF($A94&gt;AE$79,"",IF(T&lt;=AE$11,"",100*h*MAX((EXP(IRTree!AE28*h)-1)/h -$D$6,0)))</f>
        <v>0.25535706206500453</v>
      </c>
      <c r="AF94">
        <f>IF($A94&gt;AF$79,"",IF(T&lt;=AF$11,"",100*h*MAX((EXP(IRTree!AF28*h)-1)/h -$D$6,0)))</f>
        <v>0.4312607953381018</v>
      </c>
      <c r="AG94">
        <f>IF($A94&gt;AG$79,"",IF(T&lt;=AG$11,"",100*h*MAX((EXP(IRTree!AG28*h)-1)/h -$D$6,0)))</f>
        <v>0.62681932873109392</v>
      </c>
      <c r="AH94">
        <f>IF($A94&gt;AH$79,"",IF(T&lt;=AH$11,"",100*h*MAX((EXP(IRTree!AH28*h)-1)/h -$D$6,0)))</f>
        <v>0.84147782196776855</v>
      </c>
      <c r="AI94">
        <f>IF($A94&gt;AI$79,"",IF(T&lt;=AI$11,"",100*h*MAX((EXP(IRTree!AI28*h)-1)/h -$D$6,0)))</f>
        <v>1.0639562261061284</v>
      </c>
      <c r="AJ94">
        <f>IF($A94&gt;AJ$79,"",IF(T&lt;=AJ$11,"",100*h*MAX((EXP(IRTree!AJ28*h)-1)/h -$D$6,0)))</f>
        <v>1.2993959470740621</v>
      </c>
      <c r="AK94">
        <f>IF($A94&gt;AK$79,"",IF(T&lt;=AK$11,"",100*h*MAX((EXP(IRTree!AK28*h)-1)/h -$D$6,0)))</f>
        <v>1.5334895801364554</v>
      </c>
      <c r="AL94">
        <f>IF($A94&gt;AL$79,"",IF(T&lt;=AL$11,"",100*h*MAX((EXP(IRTree!AL28*h)-1)/h -$D$6,0)))</f>
        <v>1.8038408226109532</v>
      </c>
      <c r="AM94">
        <f>IF($A94&gt;AM$79,"",IF(T&lt;=AM$11,"",100*h*MAX((EXP(IRTree!AM28*h)-1)/h -$D$6,0)))</f>
        <v>2.0310132583438896</v>
      </c>
      <c r="AN94">
        <f>IF($A94&gt;AN$79,"",IF(T&lt;=AN$11,"",100*h*MAX((EXP(IRTree!AN28*h)-1)/h -$D$6,0)))</f>
        <v>2.2440753644709273</v>
      </c>
      <c r="AO94">
        <f>IF($A94&gt;AO$79,"",IF(T&lt;=AO$11,"",100*h*MAX((EXP(IRTree!AO28*h)-1)/h -$D$6,0)))</f>
        <v>2.4466951578837777</v>
      </c>
      <c r="AP94" t="str">
        <f>IF($A94&gt;AP$79,"",IF(T&lt;=AP$11,"",100*h*MAX((EXP(IRTree!AP28*h)-1)/h -$D$6,0)))</f>
        <v/>
      </c>
      <c r="AQ94" t="str">
        <f>IF($A94&gt;AQ$79,"",IF(T&lt;=AQ$11,"",100*h*MAX((EXP(IRTree!AQ28*h)-1)/h -$D$6,0)))</f>
        <v/>
      </c>
      <c r="AR94" t="str">
        <f>IF($A94&gt;AR$79,"",IF(T&lt;=AR$11,"",100*h*MAX((EXP(IRTree!AR28*h)-1)/h -$D$6,0)))</f>
        <v/>
      </c>
      <c r="AS94" t="str">
        <f>IF($A94&gt;AS$79,"",IF(T&lt;=AS$11,"",100*h*MAX((EXP(IRTree!AS28*h)-1)/h -$D$6,0)))</f>
        <v/>
      </c>
      <c r="AT94" t="str">
        <f>IF($A94&gt;AT$79,"",IF(T&lt;=AT$11,"",100*h*MAX((EXP(IRTree!AT28*h)-1)/h -$D$6,0)))</f>
        <v/>
      </c>
      <c r="AU94" t="str">
        <f>IF($A94&gt;AU$79,"",IF(T&lt;=AU$11,"",100*h*MAX((EXP(IRTree!AU28*h)-1)/h -$D$6,0)))</f>
        <v/>
      </c>
      <c r="AV94" t="str">
        <f>IF($A94&gt;AV$79,"",IF(T&lt;=AV$11,"",100*h*MAX((EXP(IRTree!AV28*h)-1)/h -$D$6,0)))</f>
        <v/>
      </c>
      <c r="AW94" t="str">
        <f>IF($A94&gt;AW$79,"",IF(T&lt;=AW$11,"",100*h*MAX((EXP(IRTree!AW28*h)-1)/h -$D$6,0)))</f>
        <v/>
      </c>
      <c r="AX94" t="str">
        <f>IF($A94&gt;AX$79,"",IF(T&lt;=AX$11,"",100*h*MAX((EXP(IRTree!AX28*h)-1)/h -$D$6,0)))</f>
        <v/>
      </c>
      <c r="AY94" t="str">
        <f>IF($A94&gt;AY$79,"",IF(T&lt;=AY$11,"",100*h*MAX((EXP(IRTree!AY28*h)-1)/h -$D$6,0)))</f>
        <v/>
      </c>
      <c r="AZ94" t="str">
        <f>IF($A94&gt;AZ$79,"",IF(T&lt;=AZ$11,"",100*h*MAX((EXP(IRTree!AZ28*h)-1)/h -$D$6,0)))</f>
        <v/>
      </c>
      <c r="BA94" t="str">
        <f>IF($A94&gt;BA$79,"",IF(T&lt;=BA$11,"",100*h*MAX((EXP(IRTree!BA28*h)-1)/h -$D$6,0)))</f>
        <v/>
      </c>
      <c r="BB94" t="str">
        <f>IF($A94&gt;BB$79,"",IF(T&lt;=BB$11,"",100*h*MAX((EXP(IRTree!BB28*h)-1)/h -$D$6,0)))</f>
        <v/>
      </c>
      <c r="BC94" t="str">
        <f>IF($A94&gt;BC$79,"",IF(T&lt;=BC$11,"",100*h*MAX((EXP(IRTree!BC28*h)-1)/h -$D$6,0)))</f>
        <v/>
      </c>
      <c r="BD94" t="str">
        <f>IF($A94&gt;BD$79,"",IF(T&lt;=BD$11,"",100*h*MAX((EXP(IRTree!BD28*h)-1)/h -$D$6,0)))</f>
        <v/>
      </c>
      <c r="BE94" t="str">
        <f>IF($A94&gt;BE$79,"",IF(T&lt;=BE$11,"",100*h*MAX((EXP(IRTree!BE28*h)-1)/h -$D$6,0)))</f>
        <v/>
      </c>
      <c r="BF94" t="str">
        <f>IF($A94&gt;BF$79,"",IF(T&lt;=BF$11,"",100*h*MAX((EXP(IRTree!BF28*h)-1)/h -$D$6,0)))</f>
        <v/>
      </c>
      <c r="BG94" t="str">
        <f>IF($A94&gt;BG$79,"",IF(T&lt;=BG$11,"",100*h*MAX((EXP(IRTree!BG28*h)-1)/h -$D$6,0)))</f>
        <v/>
      </c>
      <c r="BH94" t="str">
        <f>IF($A94&gt;BH$79,"",IF(T&lt;=BH$11,"",100*h*MAX((EXP(IRTree!BH28*h)-1)/h -$D$6,0)))</f>
        <v/>
      </c>
      <c r="BI94" t="str">
        <f>IF($A94&gt;BI$79,"",IF(T&lt;=BI$11,"",100*h*MAX((EXP(IRTree!BI28*h)-1)/h -$D$6,0)))</f>
        <v/>
      </c>
      <c r="BJ94" t="str">
        <f>IF($A94&gt;BJ$79,"",IF(T&lt;=BJ$11,"",100*h*MAX((EXP(IRTree!BJ28*h)-1)/h -$D$6,0)))</f>
        <v/>
      </c>
    </row>
    <row r="95" spans="1:62">
      <c r="A95" s="22">
        <f t="shared" si="5"/>
        <v>15</v>
      </c>
      <c r="B95" t="str">
        <f>IF($A95&gt;B$79,"",IF(T&lt;=B$11,"",100*h*MAX((EXP(IRTree!B29*h)-1)/h -$D$6,0)))</f>
        <v/>
      </c>
      <c r="C95" t="str">
        <f>IF($A95&gt;C$79,"",IF(T&lt;=C$11,"",100*h*MAX((EXP(IRTree!C29*h)-1)/h -$D$6,0)))</f>
        <v/>
      </c>
      <c r="D95" t="str">
        <f>IF($A95&gt;D$79,"",IF(T&lt;=D$11,"",100*h*MAX((EXP(IRTree!D29*h)-1)/h -$D$6,0)))</f>
        <v/>
      </c>
      <c r="E95" t="str">
        <f>IF($A95&gt;E$79,"",IF(T&lt;=E$11,"",100*h*MAX((EXP(IRTree!E29*h)-1)/h -$D$6,0)))</f>
        <v/>
      </c>
      <c r="F95" t="str">
        <f>IF($A95&gt;F$79,"",IF(T&lt;=F$11,"",100*h*MAX((EXP(IRTree!F29*h)-1)/h -$D$6,0)))</f>
        <v/>
      </c>
      <c r="G95" t="str">
        <f>IF($A95&gt;G$79,"",IF(T&lt;=G$11,"",100*h*MAX((EXP(IRTree!G29*h)-1)/h -$D$6,0)))</f>
        <v/>
      </c>
      <c r="H95" t="str">
        <f>IF($A95&gt;H$79,"",IF(T&lt;=H$11,"",100*h*MAX((EXP(IRTree!H29*h)-1)/h -$D$6,0)))</f>
        <v/>
      </c>
      <c r="I95" t="str">
        <f>IF($A95&gt;I$79,"",IF(T&lt;=I$11,"",100*h*MAX((EXP(IRTree!I29*h)-1)/h -$D$6,0)))</f>
        <v/>
      </c>
      <c r="J95" t="str">
        <f>IF($A95&gt;J$79,"",IF(T&lt;=J$11,"",100*h*MAX((EXP(IRTree!J29*h)-1)/h -$D$6,0)))</f>
        <v/>
      </c>
      <c r="K95" t="str">
        <f>IF($A95&gt;K$79,"",IF(T&lt;=K$11,"",100*h*MAX((EXP(IRTree!K29*h)-1)/h -$D$6,0)))</f>
        <v/>
      </c>
      <c r="L95" t="str">
        <f>IF($A95&gt;L$79,"",IF(T&lt;=L$11,"",100*h*MAX((EXP(IRTree!L29*h)-1)/h -$D$6,0)))</f>
        <v/>
      </c>
      <c r="M95" t="str">
        <f>IF($A95&gt;M$79,"",IF(T&lt;=M$11,"",100*h*MAX((EXP(IRTree!M29*h)-1)/h -$D$6,0)))</f>
        <v/>
      </c>
      <c r="N95" t="str">
        <f>IF($A95&gt;N$79,"",IF(T&lt;=N$11,"",100*h*MAX((EXP(IRTree!N29*h)-1)/h -$D$6,0)))</f>
        <v/>
      </c>
      <c r="O95" t="str">
        <f>IF($A95&gt;O$79,"",IF(T&lt;=O$11,"",100*h*MAX((EXP(IRTree!O29*h)-1)/h -$D$6,0)))</f>
        <v/>
      </c>
      <c r="P95" t="str">
        <f>IF($A95&gt;P$79,"",IF(T&lt;=P$11,"",100*h*MAX((EXP(IRTree!P29*h)-1)/h -$D$6,0)))</f>
        <v/>
      </c>
      <c r="Q95">
        <f>IF($A95&gt;Q$79,"",IF(T&lt;=Q$11,"",100*h*MAX((EXP(IRTree!Q29*h)-1)/h -$D$6,0)))</f>
        <v>0</v>
      </c>
      <c r="R95">
        <f>IF($A95&gt;R$79,"",IF(T&lt;=R$11,"",100*h*MAX((EXP(IRTree!R29*h)-1)/h -$D$6,0)))</f>
        <v>0</v>
      </c>
      <c r="S95">
        <f>IF($A95&gt;S$79,"",IF(T&lt;=S$11,"",100*h*MAX((EXP(IRTree!S29*h)-1)/h -$D$6,0)))</f>
        <v>0</v>
      </c>
      <c r="T95">
        <f>IF($A95&gt;T$79,"",IF(T&lt;=T$11,"",100*h*MAX((EXP(IRTree!T29*h)-1)/h -$D$6,0)))</f>
        <v>0</v>
      </c>
      <c r="U95">
        <f>IF($A95&gt;U$79,"",IF(T&lt;=U$11,"",100*h*MAX((EXP(IRTree!U29*h)-1)/h -$D$6,0)))</f>
        <v>0</v>
      </c>
      <c r="V95">
        <f>IF($A95&gt;V$79,"",IF(T&lt;=V$11,"",100*h*MAX((EXP(IRTree!V29*h)-1)/h -$D$6,0)))</f>
        <v>0</v>
      </c>
      <c r="W95">
        <f>IF($A95&gt;W$79,"",IF(T&lt;=W$11,"",100*h*MAX((EXP(IRTree!W29*h)-1)/h -$D$6,0)))</f>
        <v>0</v>
      </c>
      <c r="X95">
        <f>IF($A95&gt;X$79,"",IF(T&lt;=X$11,"",100*h*MAX((EXP(IRTree!X29*h)-1)/h -$D$6,0)))</f>
        <v>0</v>
      </c>
      <c r="Y95">
        <f>IF($A95&gt;Y$79,"",IF(T&lt;=Y$11,"",100*h*MAX((EXP(IRTree!Y29*h)-1)/h -$D$6,0)))</f>
        <v>0</v>
      </c>
      <c r="Z95">
        <f>IF($A95&gt;Z$79,"",IF(T&lt;=Z$11,"",100*h*MAX((EXP(IRTree!Z29*h)-1)/h -$D$6,0)))</f>
        <v>0</v>
      </c>
      <c r="AA95">
        <f>IF($A95&gt;AA$79,"",IF(T&lt;=AA$11,"",100*h*MAX((EXP(IRTree!AA29*h)-1)/h -$D$6,0)))</f>
        <v>0</v>
      </c>
      <c r="AB95">
        <f>IF($A95&gt;AB$79,"",IF(T&lt;=AB$11,"",100*h*MAX((EXP(IRTree!AB29*h)-1)/h -$D$6,0)))</f>
        <v>0</v>
      </c>
      <c r="AC95">
        <f>IF($A95&gt;AC$79,"",IF(T&lt;=AC$11,"",100*h*MAX((EXP(IRTree!AC29*h)-1)/h -$D$6,0)))</f>
        <v>0</v>
      </c>
      <c r="AD95">
        <f>IF($A95&gt;AD$79,"",IF(T&lt;=AD$11,"",100*h*MAX((EXP(IRTree!AD29*h)-1)/h -$D$6,0)))</f>
        <v>0</v>
      </c>
      <c r="AE95">
        <f>IF($A95&gt;AE$79,"",IF(T&lt;=AE$11,"",100*h*MAX((EXP(IRTree!AE29*h)-1)/h -$D$6,0)))</f>
        <v>0</v>
      </c>
      <c r="AF95">
        <f>IF($A95&gt;AF$79,"",IF(T&lt;=AF$11,"",100*h*MAX((EXP(IRTree!AF29*h)-1)/h -$D$6,0)))</f>
        <v>0.11959330665407084</v>
      </c>
      <c r="AG95">
        <f>IF($A95&gt;AG$79,"",IF(T&lt;=AG$11,"",100*h*MAX((EXP(IRTree!AG29*h)-1)/h -$D$6,0)))</f>
        <v>0.28101788519283111</v>
      </c>
      <c r="AH95">
        <f>IF($A95&gt;AH$79,"",IF(T&lt;=AH$11,"",100*h*MAX((EXP(IRTree!AH29*h)-1)/h -$D$6,0)))</f>
        <v>0.45654225647990354</v>
      </c>
      <c r="AI95">
        <f>IF($A95&gt;AI$79,"",IF(T&lt;=AI$11,"",100*h*MAX((EXP(IRTree!AI29*h)-1)/h -$D$6,0)))</f>
        <v>0.64841720027308347</v>
      </c>
      <c r="AJ95">
        <f>IF($A95&gt;AJ$79,"",IF(T&lt;=AJ$11,"",100*h*MAX((EXP(IRTree!AJ29*h)-1)/h -$D$6,0)))</f>
        <v>0.85051826349293402</v>
      </c>
      <c r="AK95">
        <f>IF($A95&gt;AK$79,"",IF(T&lt;=AK$11,"",100*h*MAX((EXP(IRTree!AK29*h)-1)/h -$D$6,0)))</f>
        <v>1.0581615009742815</v>
      </c>
      <c r="AL95">
        <f>IF($A95&gt;AL$79,"",IF(T&lt;=AL$11,"",100*h*MAX((EXP(IRTree!AL29*h)-1)/h -$D$6,0)))</f>
        <v>1.2876578571230544</v>
      </c>
      <c r="AM95">
        <f>IF($A95&gt;AM$79,"",IF(T&lt;=AM$11,"",100*h*MAX((EXP(IRTree!AM29*h)-1)/h -$D$6,0)))</f>
        <v>1.4985182213173862</v>
      </c>
      <c r="AN95">
        <f>IF($A95&gt;AN$79,"",IF(T&lt;=AN$11,"",100*h*MAX((EXP(IRTree!AN29*h)-1)/h -$D$6,0)))</f>
        <v>1.7008070063137377</v>
      </c>
      <c r="AO95">
        <f>IF($A95&gt;AO$79,"",IF(T&lt;=AO$11,"",100*h*MAX((EXP(IRTree!AO29*h)-1)/h -$D$6,0)))</f>
        <v>1.8964543362019533</v>
      </c>
      <c r="AP95" t="str">
        <f>IF($A95&gt;AP$79,"",IF(T&lt;=AP$11,"",100*h*MAX((EXP(IRTree!AP29*h)-1)/h -$D$6,0)))</f>
        <v/>
      </c>
      <c r="AQ95" t="str">
        <f>IF($A95&gt;AQ$79,"",IF(T&lt;=AQ$11,"",100*h*MAX((EXP(IRTree!AQ29*h)-1)/h -$D$6,0)))</f>
        <v/>
      </c>
      <c r="AR95" t="str">
        <f>IF($A95&gt;AR$79,"",IF(T&lt;=AR$11,"",100*h*MAX((EXP(IRTree!AR29*h)-1)/h -$D$6,0)))</f>
        <v/>
      </c>
      <c r="AS95" t="str">
        <f>IF($A95&gt;AS$79,"",IF(T&lt;=AS$11,"",100*h*MAX((EXP(IRTree!AS29*h)-1)/h -$D$6,0)))</f>
        <v/>
      </c>
      <c r="AT95" t="str">
        <f>IF($A95&gt;AT$79,"",IF(T&lt;=AT$11,"",100*h*MAX((EXP(IRTree!AT29*h)-1)/h -$D$6,0)))</f>
        <v/>
      </c>
      <c r="AU95" t="str">
        <f>IF($A95&gt;AU$79,"",IF(T&lt;=AU$11,"",100*h*MAX((EXP(IRTree!AU29*h)-1)/h -$D$6,0)))</f>
        <v/>
      </c>
      <c r="AV95" t="str">
        <f>IF($A95&gt;AV$79,"",IF(T&lt;=AV$11,"",100*h*MAX((EXP(IRTree!AV29*h)-1)/h -$D$6,0)))</f>
        <v/>
      </c>
      <c r="AW95" t="str">
        <f>IF($A95&gt;AW$79,"",IF(T&lt;=AW$11,"",100*h*MAX((EXP(IRTree!AW29*h)-1)/h -$D$6,0)))</f>
        <v/>
      </c>
      <c r="AX95" t="str">
        <f>IF($A95&gt;AX$79,"",IF(T&lt;=AX$11,"",100*h*MAX((EXP(IRTree!AX29*h)-1)/h -$D$6,0)))</f>
        <v/>
      </c>
      <c r="AY95" t="str">
        <f>IF($A95&gt;AY$79,"",IF(T&lt;=AY$11,"",100*h*MAX((EXP(IRTree!AY29*h)-1)/h -$D$6,0)))</f>
        <v/>
      </c>
      <c r="AZ95" t="str">
        <f>IF($A95&gt;AZ$79,"",IF(T&lt;=AZ$11,"",100*h*MAX((EXP(IRTree!AZ29*h)-1)/h -$D$6,0)))</f>
        <v/>
      </c>
      <c r="BA95" t="str">
        <f>IF($A95&gt;BA$79,"",IF(T&lt;=BA$11,"",100*h*MAX((EXP(IRTree!BA29*h)-1)/h -$D$6,0)))</f>
        <v/>
      </c>
      <c r="BB95" t="str">
        <f>IF($A95&gt;BB$79,"",IF(T&lt;=BB$11,"",100*h*MAX((EXP(IRTree!BB29*h)-1)/h -$D$6,0)))</f>
        <v/>
      </c>
      <c r="BC95" t="str">
        <f>IF($A95&gt;BC$79,"",IF(T&lt;=BC$11,"",100*h*MAX((EXP(IRTree!BC29*h)-1)/h -$D$6,0)))</f>
        <v/>
      </c>
      <c r="BD95" t="str">
        <f>IF($A95&gt;BD$79,"",IF(T&lt;=BD$11,"",100*h*MAX((EXP(IRTree!BD29*h)-1)/h -$D$6,0)))</f>
        <v/>
      </c>
      <c r="BE95" t="str">
        <f>IF($A95&gt;BE$79,"",IF(T&lt;=BE$11,"",100*h*MAX((EXP(IRTree!BE29*h)-1)/h -$D$6,0)))</f>
        <v/>
      </c>
      <c r="BF95" t="str">
        <f>IF($A95&gt;BF$79,"",IF(T&lt;=BF$11,"",100*h*MAX((EXP(IRTree!BF29*h)-1)/h -$D$6,0)))</f>
        <v/>
      </c>
      <c r="BG95" t="str">
        <f>IF($A95&gt;BG$79,"",IF(T&lt;=BG$11,"",100*h*MAX((EXP(IRTree!BG29*h)-1)/h -$D$6,0)))</f>
        <v/>
      </c>
      <c r="BH95" t="str">
        <f>IF($A95&gt;BH$79,"",IF(T&lt;=BH$11,"",100*h*MAX((EXP(IRTree!BH29*h)-1)/h -$D$6,0)))</f>
        <v/>
      </c>
      <c r="BI95" t="str">
        <f>IF($A95&gt;BI$79,"",IF(T&lt;=BI$11,"",100*h*MAX((EXP(IRTree!BI29*h)-1)/h -$D$6,0)))</f>
        <v/>
      </c>
      <c r="BJ95" t="str">
        <f>IF($A95&gt;BJ$79,"",IF(T&lt;=BJ$11,"",100*h*MAX((EXP(IRTree!BJ29*h)-1)/h -$D$6,0)))</f>
        <v/>
      </c>
    </row>
    <row r="96" spans="1:62">
      <c r="A96" s="22">
        <f t="shared" si="5"/>
        <v>16</v>
      </c>
      <c r="B96" t="str">
        <f>IF($A96&gt;B$79,"",IF(T&lt;=B$11,"",100*h*MAX((EXP(IRTree!B30*h)-1)/h -$D$6,0)))</f>
        <v/>
      </c>
      <c r="C96" t="str">
        <f>IF($A96&gt;C$79,"",IF(T&lt;=C$11,"",100*h*MAX((EXP(IRTree!C30*h)-1)/h -$D$6,0)))</f>
        <v/>
      </c>
      <c r="D96" t="str">
        <f>IF($A96&gt;D$79,"",IF(T&lt;=D$11,"",100*h*MAX((EXP(IRTree!D30*h)-1)/h -$D$6,0)))</f>
        <v/>
      </c>
      <c r="E96" t="str">
        <f>IF($A96&gt;E$79,"",IF(T&lt;=E$11,"",100*h*MAX((EXP(IRTree!E30*h)-1)/h -$D$6,0)))</f>
        <v/>
      </c>
      <c r="F96" t="str">
        <f>IF($A96&gt;F$79,"",IF(T&lt;=F$11,"",100*h*MAX((EXP(IRTree!F30*h)-1)/h -$D$6,0)))</f>
        <v/>
      </c>
      <c r="G96" t="str">
        <f>IF($A96&gt;G$79,"",IF(T&lt;=G$11,"",100*h*MAX((EXP(IRTree!G30*h)-1)/h -$D$6,0)))</f>
        <v/>
      </c>
      <c r="H96" t="str">
        <f>IF($A96&gt;H$79,"",IF(T&lt;=H$11,"",100*h*MAX((EXP(IRTree!H30*h)-1)/h -$D$6,0)))</f>
        <v/>
      </c>
      <c r="I96" t="str">
        <f>IF($A96&gt;I$79,"",IF(T&lt;=I$11,"",100*h*MAX((EXP(IRTree!I30*h)-1)/h -$D$6,0)))</f>
        <v/>
      </c>
      <c r="J96" t="str">
        <f>IF($A96&gt;J$79,"",IF(T&lt;=J$11,"",100*h*MAX((EXP(IRTree!J30*h)-1)/h -$D$6,0)))</f>
        <v/>
      </c>
      <c r="K96" t="str">
        <f>IF($A96&gt;K$79,"",IF(T&lt;=K$11,"",100*h*MAX((EXP(IRTree!K30*h)-1)/h -$D$6,0)))</f>
        <v/>
      </c>
      <c r="L96" t="str">
        <f>IF($A96&gt;L$79,"",IF(T&lt;=L$11,"",100*h*MAX((EXP(IRTree!L30*h)-1)/h -$D$6,0)))</f>
        <v/>
      </c>
      <c r="M96" t="str">
        <f>IF($A96&gt;M$79,"",IF(T&lt;=M$11,"",100*h*MAX((EXP(IRTree!M30*h)-1)/h -$D$6,0)))</f>
        <v/>
      </c>
      <c r="N96" t="str">
        <f>IF($A96&gt;N$79,"",IF(T&lt;=N$11,"",100*h*MAX((EXP(IRTree!N30*h)-1)/h -$D$6,0)))</f>
        <v/>
      </c>
      <c r="O96" t="str">
        <f>IF($A96&gt;O$79,"",IF(T&lt;=O$11,"",100*h*MAX((EXP(IRTree!O30*h)-1)/h -$D$6,0)))</f>
        <v/>
      </c>
      <c r="P96" t="str">
        <f>IF($A96&gt;P$79,"",IF(T&lt;=P$11,"",100*h*MAX((EXP(IRTree!P30*h)-1)/h -$D$6,0)))</f>
        <v/>
      </c>
      <c r="Q96" t="str">
        <f>IF($A96&gt;Q$79,"",IF(T&lt;=Q$11,"",100*h*MAX((EXP(IRTree!Q30*h)-1)/h -$D$6,0)))</f>
        <v/>
      </c>
      <c r="R96">
        <f>IF($A96&gt;R$79,"",IF(T&lt;=R$11,"",100*h*MAX((EXP(IRTree!R30*h)-1)/h -$D$6,0)))</f>
        <v>0</v>
      </c>
      <c r="S96">
        <f>IF($A96&gt;S$79,"",IF(T&lt;=S$11,"",100*h*MAX((EXP(IRTree!S30*h)-1)/h -$D$6,0)))</f>
        <v>0</v>
      </c>
      <c r="T96">
        <f>IF($A96&gt;T$79,"",IF(T&lt;=T$11,"",100*h*MAX((EXP(IRTree!T30*h)-1)/h -$D$6,0)))</f>
        <v>0</v>
      </c>
      <c r="U96">
        <f>IF($A96&gt;U$79,"",IF(T&lt;=U$11,"",100*h*MAX((EXP(IRTree!U30*h)-1)/h -$D$6,0)))</f>
        <v>0</v>
      </c>
      <c r="V96">
        <f>IF($A96&gt;V$79,"",IF(T&lt;=V$11,"",100*h*MAX((EXP(IRTree!V30*h)-1)/h -$D$6,0)))</f>
        <v>0</v>
      </c>
      <c r="W96">
        <f>IF($A96&gt;W$79,"",IF(T&lt;=W$11,"",100*h*MAX((EXP(IRTree!W30*h)-1)/h -$D$6,0)))</f>
        <v>0</v>
      </c>
      <c r="X96">
        <f>IF($A96&gt;X$79,"",IF(T&lt;=X$11,"",100*h*MAX((EXP(IRTree!X30*h)-1)/h -$D$6,0)))</f>
        <v>0</v>
      </c>
      <c r="Y96">
        <f>IF($A96&gt;Y$79,"",IF(T&lt;=Y$11,"",100*h*MAX((EXP(IRTree!Y30*h)-1)/h -$D$6,0)))</f>
        <v>0</v>
      </c>
      <c r="Z96">
        <f>IF($A96&gt;Z$79,"",IF(T&lt;=Z$11,"",100*h*MAX((EXP(IRTree!Z30*h)-1)/h -$D$6,0)))</f>
        <v>0</v>
      </c>
      <c r="AA96">
        <f>IF($A96&gt;AA$79,"",IF(T&lt;=AA$11,"",100*h*MAX((EXP(IRTree!AA30*h)-1)/h -$D$6,0)))</f>
        <v>0</v>
      </c>
      <c r="AB96">
        <f>IF($A96&gt;AB$79,"",IF(T&lt;=AB$11,"",100*h*MAX((EXP(IRTree!AB30*h)-1)/h -$D$6,0)))</f>
        <v>0</v>
      </c>
      <c r="AC96">
        <f>IF($A96&gt;AC$79,"",IF(T&lt;=AC$11,"",100*h*MAX((EXP(IRTree!AC30*h)-1)/h -$D$6,0)))</f>
        <v>0</v>
      </c>
      <c r="AD96">
        <f>IF($A96&gt;AD$79,"",IF(T&lt;=AD$11,"",100*h*MAX((EXP(IRTree!AD30*h)-1)/h -$D$6,0)))</f>
        <v>0</v>
      </c>
      <c r="AE96">
        <f>IF($A96&gt;AE$79,"",IF(T&lt;=AE$11,"",100*h*MAX((EXP(IRTree!AE30*h)-1)/h -$D$6,0)))</f>
        <v>0</v>
      </c>
      <c r="AF96">
        <f>IF($A96&gt;AF$79,"",IF(T&lt;=AF$11,"",100*h*MAX((EXP(IRTree!AF30*h)-1)/h -$D$6,0)))</f>
        <v>0</v>
      </c>
      <c r="AG96">
        <f>IF($A96&gt;AG$79,"",IF(T&lt;=AG$11,"",100*h*MAX((EXP(IRTree!AG30*h)-1)/h -$D$6,0)))</f>
        <v>3.8059483137684383E-3</v>
      </c>
      <c r="AH96">
        <f>IF($A96&gt;AH$79,"",IF(T&lt;=AH$11,"",100*h*MAX((EXP(IRTree!AH30*h)-1)/h -$D$6,0)))</f>
        <v>0.14737936446124841</v>
      </c>
      <c r="AI96">
        <f>IF($A96&gt;AI$79,"",IF(T&lt;=AI$11,"",100*h*MAX((EXP(IRTree!AI30*h)-1)/h -$D$6,0)))</f>
        <v>0.3122710577952279</v>
      </c>
      <c r="AJ96">
        <f>IF($A96&gt;AJ$79,"",IF(T&lt;=AJ$11,"",100*h*MAX((EXP(IRTree!AJ30*h)-1)/h -$D$6,0)))</f>
        <v>0.48536031959664583</v>
      </c>
      <c r="AK96">
        <f>IF($A96&gt;AK$79,"",IF(T&lt;=AK$11,"",100*h*MAX((EXP(IRTree!AK30*h)-1)/h -$D$6,0)))</f>
        <v>0.66852187778371852</v>
      </c>
      <c r="AL96">
        <f>IF($A96&gt;AL$79,"",IF(T&lt;=AL$11,"",100*h*MAX((EXP(IRTree!AL30*h)-1)/h -$D$6,0)))</f>
        <v>0.86328630220521929</v>
      </c>
      <c r="AM96">
        <f>IF($A96&gt;AM$79,"",IF(T&lt;=AM$11,"",100*h*MAX((EXP(IRTree!AM30*h)-1)/h -$D$6,0)))</f>
        <v>1.0567807784437953</v>
      </c>
      <c r="AN96">
        <f>IF($A96&gt;AN$79,"",IF(T&lt;=AN$11,"",100*h*MAX((EXP(IRTree!AN30*h)-1)/h -$D$6,0)))</f>
        <v>1.2461116927110669</v>
      </c>
      <c r="AO96">
        <f>IF($A96&gt;AO$79,"",IF(T&lt;=AO$11,"",100*h*MAX((EXP(IRTree!AO30*h)-1)/h -$D$6,0)))</f>
        <v>1.4319956868737058</v>
      </c>
      <c r="AP96" t="str">
        <f>IF($A96&gt;AP$79,"",IF(T&lt;=AP$11,"",100*h*MAX((EXP(IRTree!AP30*h)-1)/h -$D$6,0)))</f>
        <v/>
      </c>
      <c r="AQ96" t="str">
        <f>IF($A96&gt;AQ$79,"",IF(T&lt;=AQ$11,"",100*h*MAX((EXP(IRTree!AQ30*h)-1)/h -$D$6,0)))</f>
        <v/>
      </c>
      <c r="AR96" t="str">
        <f>IF($A96&gt;AR$79,"",IF(T&lt;=AR$11,"",100*h*MAX((EXP(IRTree!AR30*h)-1)/h -$D$6,0)))</f>
        <v/>
      </c>
      <c r="AS96" t="str">
        <f>IF($A96&gt;AS$79,"",IF(T&lt;=AS$11,"",100*h*MAX((EXP(IRTree!AS30*h)-1)/h -$D$6,0)))</f>
        <v/>
      </c>
      <c r="AT96" t="str">
        <f>IF($A96&gt;AT$79,"",IF(T&lt;=AT$11,"",100*h*MAX((EXP(IRTree!AT30*h)-1)/h -$D$6,0)))</f>
        <v/>
      </c>
      <c r="AU96" t="str">
        <f>IF($A96&gt;AU$79,"",IF(T&lt;=AU$11,"",100*h*MAX((EXP(IRTree!AU30*h)-1)/h -$D$6,0)))</f>
        <v/>
      </c>
      <c r="AV96" t="str">
        <f>IF($A96&gt;AV$79,"",IF(T&lt;=AV$11,"",100*h*MAX((EXP(IRTree!AV30*h)-1)/h -$D$6,0)))</f>
        <v/>
      </c>
      <c r="AW96" t="str">
        <f>IF($A96&gt;AW$79,"",IF(T&lt;=AW$11,"",100*h*MAX((EXP(IRTree!AW30*h)-1)/h -$D$6,0)))</f>
        <v/>
      </c>
      <c r="AX96" t="str">
        <f>IF($A96&gt;AX$79,"",IF(T&lt;=AX$11,"",100*h*MAX((EXP(IRTree!AX30*h)-1)/h -$D$6,0)))</f>
        <v/>
      </c>
      <c r="AY96" t="str">
        <f>IF($A96&gt;AY$79,"",IF(T&lt;=AY$11,"",100*h*MAX((EXP(IRTree!AY30*h)-1)/h -$D$6,0)))</f>
        <v/>
      </c>
      <c r="AZ96" t="str">
        <f>IF($A96&gt;AZ$79,"",IF(T&lt;=AZ$11,"",100*h*MAX((EXP(IRTree!AZ30*h)-1)/h -$D$6,0)))</f>
        <v/>
      </c>
      <c r="BA96" t="str">
        <f>IF($A96&gt;BA$79,"",IF(T&lt;=BA$11,"",100*h*MAX((EXP(IRTree!BA30*h)-1)/h -$D$6,0)))</f>
        <v/>
      </c>
      <c r="BB96" t="str">
        <f>IF($A96&gt;BB$79,"",IF(T&lt;=BB$11,"",100*h*MAX((EXP(IRTree!BB30*h)-1)/h -$D$6,0)))</f>
        <v/>
      </c>
      <c r="BC96" t="str">
        <f>IF($A96&gt;BC$79,"",IF(T&lt;=BC$11,"",100*h*MAX((EXP(IRTree!BC30*h)-1)/h -$D$6,0)))</f>
        <v/>
      </c>
      <c r="BD96" t="str">
        <f>IF($A96&gt;BD$79,"",IF(T&lt;=BD$11,"",100*h*MAX((EXP(IRTree!BD30*h)-1)/h -$D$6,0)))</f>
        <v/>
      </c>
      <c r="BE96" t="str">
        <f>IF($A96&gt;BE$79,"",IF(T&lt;=BE$11,"",100*h*MAX((EXP(IRTree!BE30*h)-1)/h -$D$6,0)))</f>
        <v/>
      </c>
      <c r="BF96" t="str">
        <f>IF($A96&gt;BF$79,"",IF(T&lt;=BF$11,"",100*h*MAX((EXP(IRTree!BF30*h)-1)/h -$D$6,0)))</f>
        <v/>
      </c>
      <c r="BG96" t="str">
        <f>IF($A96&gt;BG$79,"",IF(T&lt;=BG$11,"",100*h*MAX((EXP(IRTree!BG30*h)-1)/h -$D$6,0)))</f>
        <v/>
      </c>
      <c r="BH96" t="str">
        <f>IF($A96&gt;BH$79,"",IF(T&lt;=BH$11,"",100*h*MAX((EXP(IRTree!BH30*h)-1)/h -$D$6,0)))</f>
        <v/>
      </c>
      <c r="BI96" t="str">
        <f>IF($A96&gt;BI$79,"",IF(T&lt;=BI$11,"",100*h*MAX((EXP(IRTree!BI30*h)-1)/h -$D$6,0)))</f>
        <v/>
      </c>
      <c r="BJ96" t="str">
        <f>IF($A96&gt;BJ$79,"",IF(T&lt;=BJ$11,"",100*h*MAX((EXP(IRTree!BJ30*h)-1)/h -$D$6,0)))</f>
        <v/>
      </c>
    </row>
    <row r="97" spans="1:62">
      <c r="A97" s="22">
        <f t="shared" si="5"/>
        <v>17</v>
      </c>
      <c r="B97" t="str">
        <f>IF($A97&gt;B$79,"",IF(T&lt;=B$11,"",100*h*MAX((EXP(IRTree!B31*h)-1)/h -$D$6,0)))</f>
        <v/>
      </c>
      <c r="C97" t="str">
        <f>IF($A97&gt;C$79,"",IF(T&lt;=C$11,"",100*h*MAX((EXP(IRTree!C31*h)-1)/h -$D$6,0)))</f>
        <v/>
      </c>
      <c r="D97" t="str">
        <f>IF($A97&gt;D$79,"",IF(T&lt;=D$11,"",100*h*MAX((EXP(IRTree!D31*h)-1)/h -$D$6,0)))</f>
        <v/>
      </c>
      <c r="E97" t="str">
        <f>IF($A97&gt;E$79,"",IF(T&lt;=E$11,"",100*h*MAX((EXP(IRTree!E31*h)-1)/h -$D$6,0)))</f>
        <v/>
      </c>
      <c r="F97" t="str">
        <f>IF($A97&gt;F$79,"",IF(T&lt;=F$11,"",100*h*MAX((EXP(IRTree!F31*h)-1)/h -$D$6,0)))</f>
        <v/>
      </c>
      <c r="G97" t="str">
        <f>IF($A97&gt;G$79,"",IF(T&lt;=G$11,"",100*h*MAX((EXP(IRTree!G31*h)-1)/h -$D$6,0)))</f>
        <v/>
      </c>
      <c r="H97" t="str">
        <f>IF($A97&gt;H$79,"",IF(T&lt;=H$11,"",100*h*MAX((EXP(IRTree!H31*h)-1)/h -$D$6,0)))</f>
        <v/>
      </c>
      <c r="I97" t="str">
        <f>IF($A97&gt;I$79,"",IF(T&lt;=I$11,"",100*h*MAX((EXP(IRTree!I31*h)-1)/h -$D$6,0)))</f>
        <v/>
      </c>
      <c r="J97" t="str">
        <f>IF($A97&gt;J$79,"",IF(T&lt;=J$11,"",100*h*MAX((EXP(IRTree!J31*h)-1)/h -$D$6,0)))</f>
        <v/>
      </c>
      <c r="K97" t="str">
        <f>IF($A97&gt;K$79,"",IF(T&lt;=K$11,"",100*h*MAX((EXP(IRTree!K31*h)-1)/h -$D$6,0)))</f>
        <v/>
      </c>
      <c r="L97" t="str">
        <f>IF($A97&gt;L$79,"",IF(T&lt;=L$11,"",100*h*MAX((EXP(IRTree!L31*h)-1)/h -$D$6,0)))</f>
        <v/>
      </c>
      <c r="M97" t="str">
        <f>IF($A97&gt;M$79,"",IF(T&lt;=M$11,"",100*h*MAX((EXP(IRTree!M31*h)-1)/h -$D$6,0)))</f>
        <v/>
      </c>
      <c r="N97" t="str">
        <f>IF($A97&gt;N$79,"",IF(T&lt;=N$11,"",100*h*MAX((EXP(IRTree!N31*h)-1)/h -$D$6,0)))</f>
        <v/>
      </c>
      <c r="O97" t="str">
        <f>IF($A97&gt;O$79,"",IF(T&lt;=O$11,"",100*h*MAX((EXP(IRTree!O31*h)-1)/h -$D$6,0)))</f>
        <v/>
      </c>
      <c r="P97" t="str">
        <f>IF($A97&gt;P$79,"",IF(T&lt;=P$11,"",100*h*MAX((EXP(IRTree!P31*h)-1)/h -$D$6,0)))</f>
        <v/>
      </c>
      <c r="Q97" t="str">
        <f>IF($A97&gt;Q$79,"",IF(T&lt;=Q$11,"",100*h*MAX((EXP(IRTree!Q31*h)-1)/h -$D$6,0)))</f>
        <v/>
      </c>
      <c r="R97" t="str">
        <f>IF($A97&gt;R$79,"",IF(T&lt;=R$11,"",100*h*MAX((EXP(IRTree!R31*h)-1)/h -$D$6,0)))</f>
        <v/>
      </c>
      <c r="S97">
        <f>IF($A97&gt;S$79,"",IF(T&lt;=S$11,"",100*h*MAX((EXP(IRTree!S31*h)-1)/h -$D$6,0)))</f>
        <v>0</v>
      </c>
      <c r="T97">
        <f>IF($A97&gt;T$79,"",IF(T&lt;=T$11,"",100*h*MAX((EXP(IRTree!T31*h)-1)/h -$D$6,0)))</f>
        <v>0</v>
      </c>
      <c r="U97">
        <f>IF($A97&gt;U$79,"",IF(T&lt;=U$11,"",100*h*MAX((EXP(IRTree!U31*h)-1)/h -$D$6,0)))</f>
        <v>0</v>
      </c>
      <c r="V97">
        <f>IF($A97&gt;V$79,"",IF(T&lt;=V$11,"",100*h*MAX((EXP(IRTree!V31*h)-1)/h -$D$6,0)))</f>
        <v>0</v>
      </c>
      <c r="W97">
        <f>IF($A97&gt;W$79,"",IF(T&lt;=W$11,"",100*h*MAX((EXP(IRTree!W31*h)-1)/h -$D$6,0)))</f>
        <v>0</v>
      </c>
      <c r="X97">
        <f>IF($A97&gt;X$79,"",IF(T&lt;=X$11,"",100*h*MAX((EXP(IRTree!X31*h)-1)/h -$D$6,0)))</f>
        <v>0</v>
      </c>
      <c r="Y97">
        <f>IF($A97&gt;Y$79,"",IF(T&lt;=Y$11,"",100*h*MAX((EXP(IRTree!Y31*h)-1)/h -$D$6,0)))</f>
        <v>0</v>
      </c>
      <c r="Z97">
        <f>IF($A97&gt;Z$79,"",IF(T&lt;=Z$11,"",100*h*MAX((EXP(IRTree!Z31*h)-1)/h -$D$6,0)))</f>
        <v>0</v>
      </c>
      <c r="AA97">
        <f>IF($A97&gt;AA$79,"",IF(T&lt;=AA$11,"",100*h*MAX((EXP(IRTree!AA31*h)-1)/h -$D$6,0)))</f>
        <v>0</v>
      </c>
      <c r="AB97">
        <f>IF($A97&gt;AB$79,"",IF(T&lt;=AB$11,"",100*h*MAX((EXP(IRTree!AB31*h)-1)/h -$D$6,0)))</f>
        <v>0</v>
      </c>
      <c r="AC97">
        <f>IF($A97&gt;AC$79,"",IF(T&lt;=AC$11,"",100*h*MAX((EXP(IRTree!AC31*h)-1)/h -$D$6,0)))</f>
        <v>0</v>
      </c>
      <c r="AD97">
        <f>IF($A97&gt;AD$79,"",IF(T&lt;=AD$11,"",100*h*MAX((EXP(IRTree!AD31*h)-1)/h -$D$6,0)))</f>
        <v>0</v>
      </c>
      <c r="AE97">
        <f>IF($A97&gt;AE$79,"",IF(T&lt;=AE$11,"",100*h*MAX((EXP(IRTree!AE31*h)-1)/h -$D$6,0)))</f>
        <v>0</v>
      </c>
      <c r="AF97">
        <f>IF($A97&gt;AF$79,"",IF(T&lt;=AF$11,"",100*h*MAX((EXP(IRTree!AF31*h)-1)/h -$D$6,0)))</f>
        <v>0</v>
      </c>
      <c r="AG97">
        <f>IF($A97&gt;AG$79,"",IF(T&lt;=AG$11,"",100*h*MAX((EXP(IRTree!AG31*h)-1)/h -$D$6,0)))</f>
        <v>0</v>
      </c>
      <c r="AH97">
        <f>IF($A97&gt;AH$79,"",IF(T&lt;=AH$11,"",100*h*MAX((EXP(IRTree!AH31*h)-1)/h -$D$6,0)))</f>
        <v>0</v>
      </c>
      <c r="AI97">
        <f>IF($A97&gt;AI$79,"",IF(T&lt;=AI$11,"",100*h*MAX((EXP(IRTree!AI31*h)-1)/h -$D$6,0)))</f>
        <v>4.0160126433814482E-2</v>
      </c>
      <c r="AJ97">
        <f>IF($A97&gt;AJ$79,"",IF(T&lt;=AJ$11,"",100*h*MAX((EXP(IRTree!AJ31*h)-1)/h -$D$6,0)))</f>
        <v>0.18809033738972999</v>
      </c>
      <c r="AK97">
        <f>IF($A97&gt;AK$79,"",IF(T&lt;=AK$11,"",100*h*MAX((EXP(IRTree!AK31*h)-1)/h -$D$6,0)))</f>
        <v>0.34888444370663829</v>
      </c>
      <c r="AL97">
        <f>IF($A97&gt;AL$79,"",IF(T&lt;=AL$11,"",100*h*MAX((EXP(IRTree!AL31*h)-1)/h -$D$6,0)))</f>
        <v>0.51411710635147023</v>
      </c>
      <c r="AM97">
        <f>IF($A97&gt;AM$79,"",IF(T&lt;=AM$11,"",100*h*MAX((EXP(IRTree!AM31*h)-1)/h -$D$6,0)))</f>
        <v>0.69004273167402963</v>
      </c>
      <c r="AN97">
        <f>IF($A97&gt;AN$79,"",IF(T&lt;=AN$11,"",100*h*MAX((EXP(IRTree!AN31*h)-1)/h -$D$6,0)))</f>
        <v>0.86525511025059099</v>
      </c>
      <c r="AO97">
        <f>IF($A97&gt;AO$79,"",IF(T&lt;=AO$11,"",100*h*MAX((EXP(IRTree!AO31*h)-1)/h -$D$6,0)))</f>
        <v>1.0396528481189058</v>
      </c>
      <c r="AP97" t="str">
        <f>IF($A97&gt;AP$79,"",IF(T&lt;=AP$11,"",100*h*MAX((EXP(IRTree!AP31*h)-1)/h -$D$6,0)))</f>
        <v/>
      </c>
      <c r="AQ97" t="str">
        <f>IF($A97&gt;AQ$79,"",IF(T&lt;=AQ$11,"",100*h*MAX((EXP(IRTree!AQ31*h)-1)/h -$D$6,0)))</f>
        <v/>
      </c>
      <c r="AR97" t="str">
        <f>IF($A97&gt;AR$79,"",IF(T&lt;=AR$11,"",100*h*MAX((EXP(IRTree!AR31*h)-1)/h -$D$6,0)))</f>
        <v/>
      </c>
      <c r="AS97" t="str">
        <f>IF($A97&gt;AS$79,"",IF(T&lt;=AS$11,"",100*h*MAX((EXP(IRTree!AS31*h)-1)/h -$D$6,0)))</f>
        <v/>
      </c>
      <c r="AT97" t="str">
        <f>IF($A97&gt;AT$79,"",IF(T&lt;=AT$11,"",100*h*MAX((EXP(IRTree!AT31*h)-1)/h -$D$6,0)))</f>
        <v/>
      </c>
      <c r="AU97" t="str">
        <f>IF($A97&gt;AU$79,"",IF(T&lt;=AU$11,"",100*h*MAX((EXP(IRTree!AU31*h)-1)/h -$D$6,0)))</f>
        <v/>
      </c>
      <c r="AV97" t="str">
        <f>IF($A97&gt;AV$79,"",IF(T&lt;=AV$11,"",100*h*MAX((EXP(IRTree!AV31*h)-1)/h -$D$6,0)))</f>
        <v/>
      </c>
      <c r="AW97" t="str">
        <f>IF($A97&gt;AW$79,"",IF(T&lt;=AW$11,"",100*h*MAX((EXP(IRTree!AW31*h)-1)/h -$D$6,0)))</f>
        <v/>
      </c>
      <c r="AX97" t="str">
        <f>IF($A97&gt;AX$79,"",IF(T&lt;=AX$11,"",100*h*MAX((EXP(IRTree!AX31*h)-1)/h -$D$6,0)))</f>
        <v/>
      </c>
      <c r="AY97" t="str">
        <f>IF($A97&gt;AY$79,"",IF(T&lt;=AY$11,"",100*h*MAX((EXP(IRTree!AY31*h)-1)/h -$D$6,0)))</f>
        <v/>
      </c>
      <c r="AZ97" t="str">
        <f>IF($A97&gt;AZ$79,"",IF(T&lt;=AZ$11,"",100*h*MAX((EXP(IRTree!AZ31*h)-1)/h -$D$6,0)))</f>
        <v/>
      </c>
      <c r="BA97" t="str">
        <f>IF($A97&gt;BA$79,"",IF(T&lt;=BA$11,"",100*h*MAX((EXP(IRTree!BA31*h)-1)/h -$D$6,0)))</f>
        <v/>
      </c>
      <c r="BB97" t="str">
        <f>IF($A97&gt;BB$79,"",IF(T&lt;=BB$11,"",100*h*MAX((EXP(IRTree!BB31*h)-1)/h -$D$6,0)))</f>
        <v/>
      </c>
      <c r="BC97" t="str">
        <f>IF($A97&gt;BC$79,"",IF(T&lt;=BC$11,"",100*h*MAX((EXP(IRTree!BC31*h)-1)/h -$D$6,0)))</f>
        <v/>
      </c>
      <c r="BD97" t="str">
        <f>IF($A97&gt;BD$79,"",IF(T&lt;=BD$11,"",100*h*MAX((EXP(IRTree!BD31*h)-1)/h -$D$6,0)))</f>
        <v/>
      </c>
      <c r="BE97" t="str">
        <f>IF($A97&gt;BE$79,"",IF(T&lt;=BE$11,"",100*h*MAX((EXP(IRTree!BE31*h)-1)/h -$D$6,0)))</f>
        <v/>
      </c>
      <c r="BF97" t="str">
        <f>IF($A97&gt;BF$79,"",IF(T&lt;=BF$11,"",100*h*MAX((EXP(IRTree!BF31*h)-1)/h -$D$6,0)))</f>
        <v/>
      </c>
      <c r="BG97" t="str">
        <f>IF($A97&gt;BG$79,"",IF(T&lt;=BG$11,"",100*h*MAX((EXP(IRTree!BG31*h)-1)/h -$D$6,0)))</f>
        <v/>
      </c>
      <c r="BH97" t="str">
        <f>IF($A97&gt;BH$79,"",IF(T&lt;=BH$11,"",100*h*MAX((EXP(IRTree!BH31*h)-1)/h -$D$6,0)))</f>
        <v/>
      </c>
      <c r="BI97" t="str">
        <f>IF($A97&gt;BI$79,"",IF(T&lt;=BI$11,"",100*h*MAX((EXP(IRTree!BI31*h)-1)/h -$D$6,0)))</f>
        <v/>
      </c>
      <c r="BJ97" t="str">
        <f>IF($A97&gt;BJ$79,"",IF(T&lt;=BJ$11,"",100*h*MAX((EXP(IRTree!BJ31*h)-1)/h -$D$6,0)))</f>
        <v/>
      </c>
    </row>
    <row r="98" spans="1:62">
      <c r="A98" s="22">
        <f t="shared" si="5"/>
        <v>18</v>
      </c>
      <c r="B98" t="str">
        <f>IF($A98&gt;B$79,"",IF(T&lt;=B$11,"",100*h*MAX((EXP(IRTree!B32*h)-1)/h -$D$6,0)))</f>
        <v/>
      </c>
      <c r="C98" t="str">
        <f>IF($A98&gt;C$79,"",IF(T&lt;=C$11,"",100*h*MAX((EXP(IRTree!C32*h)-1)/h -$D$6,0)))</f>
        <v/>
      </c>
      <c r="D98" t="str">
        <f>IF($A98&gt;D$79,"",IF(T&lt;=D$11,"",100*h*MAX((EXP(IRTree!D32*h)-1)/h -$D$6,0)))</f>
        <v/>
      </c>
      <c r="E98" t="str">
        <f>IF($A98&gt;E$79,"",IF(T&lt;=E$11,"",100*h*MAX((EXP(IRTree!E32*h)-1)/h -$D$6,0)))</f>
        <v/>
      </c>
      <c r="F98" t="str">
        <f>IF($A98&gt;F$79,"",IF(T&lt;=F$11,"",100*h*MAX((EXP(IRTree!F32*h)-1)/h -$D$6,0)))</f>
        <v/>
      </c>
      <c r="G98" t="str">
        <f>IF($A98&gt;G$79,"",IF(T&lt;=G$11,"",100*h*MAX((EXP(IRTree!G32*h)-1)/h -$D$6,0)))</f>
        <v/>
      </c>
      <c r="H98" t="str">
        <f>IF($A98&gt;H$79,"",IF(T&lt;=H$11,"",100*h*MAX((EXP(IRTree!H32*h)-1)/h -$D$6,0)))</f>
        <v/>
      </c>
      <c r="I98" t="str">
        <f>IF($A98&gt;I$79,"",IF(T&lt;=I$11,"",100*h*MAX((EXP(IRTree!I32*h)-1)/h -$D$6,0)))</f>
        <v/>
      </c>
      <c r="J98" t="str">
        <f>IF($A98&gt;J$79,"",IF(T&lt;=J$11,"",100*h*MAX((EXP(IRTree!J32*h)-1)/h -$D$6,0)))</f>
        <v/>
      </c>
      <c r="K98" t="str">
        <f>IF($A98&gt;K$79,"",IF(T&lt;=K$11,"",100*h*MAX((EXP(IRTree!K32*h)-1)/h -$D$6,0)))</f>
        <v/>
      </c>
      <c r="L98" t="str">
        <f>IF($A98&gt;L$79,"",IF(T&lt;=L$11,"",100*h*MAX((EXP(IRTree!L32*h)-1)/h -$D$6,0)))</f>
        <v/>
      </c>
      <c r="M98" t="str">
        <f>IF($A98&gt;M$79,"",IF(T&lt;=M$11,"",100*h*MAX((EXP(IRTree!M32*h)-1)/h -$D$6,0)))</f>
        <v/>
      </c>
      <c r="N98" t="str">
        <f>IF($A98&gt;N$79,"",IF(T&lt;=N$11,"",100*h*MAX((EXP(IRTree!N32*h)-1)/h -$D$6,0)))</f>
        <v/>
      </c>
      <c r="O98" t="str">
        <f>IF($A98&gt;O$79,"",IF(T&lt;=O$11,"",100*h*MAX((EXP(IRTree!O32*h)-1)/h -$D$6,0)))</f>
        <v/>
      </c>
      <c r="P98" t="str">
        <f>IF($A98&gt;P$79,"",IF(T&lt;=P$11,"",100*h*MAX((EXP(IRTree!P32*h)-1)/h -$D$6,0)))</f>
        <v/>
      </c>
      <c r="Q98" t="str">
        <f>IF($A98&gt;Q$79,"",IF(T&lt;=Q$11,"",100*h*MAX((EXP(IRTree!Q32*h)-1)/h -$D$6,0)))</f>
        <v/>
      </c>
      <c r="R98" t="str">
        <f>IF($A98&gt;R$79,"",IF(T&lt;=R$11,"",100*h*MAX((EXP(IRTree!R32*h)-1)/h -$D$6,0)))</f>
        <v/>
      </c>
      <c r="S98" t="str">
        <f>IF($A98&gt;S$79,"",IF(T&lt;=S$11,"",100*h*MAX((EXP(IRTree!S32*h)-1)/h -$D$6,0)))</f>
        <v/>
      </c>
      <c r="T98">
        <f>IF($A98&gt;T$79,"",IF(T&lt;=T$11,"",100*h*MAX((EXP(IRTree!T32*h)-1)/h -$D$6,0)))</f>
        <v>0</v>
      </c>
      <c r="U98">
        <f>IF($A98&gt;U$79,"",IF(T&lt;=U$11,"",100*h*MAX((EXP(IRTree!U32*h)-1)/h -$D$6,0)))</f>
        <v>0</v>
      </c>
      <c r="V98">
        <f>IF($A98&gt;V$79,"",IF(T&lt;=V$11,"",100*h*MAX((EXP(IRTree!V32*h)-1)/h -$D$6,0)))</f>
        <v>0</v>
      </c>
      <c r="W98">
        <f>IF($A98&gt;W$79,"",IF(T&lt;=W$11,"",100*h*MAX((EXP(IRTree!W32*h)-1)/h -$D$6,0)))</f>
        <v>0</v>
      </c>
      <c r="X98">
        <f>IF($A98&gt;X$79,"",IF(T&lt;=X$11,"",100*h*MAX((EXP(IRTree!X32*h)-1)/h -$D$6,0)))</f>
        <v>0</v>
      </c>
      <c r="Y98">
        <f>IF($A98&gt;Y$79,"",IF(T&lt;=Y$11,"",100*h*MAX((EXP(IRTree!Y32*h)-1)/h -$D$6,0)))</f>
        <v>0</v>
      </c>
      <c r="Z98">
        <f>IF($A98&gt;Z$79,"",IF(T&lt;=Z$11,"",100*h*MAX((EXP(IRTree!Z32*h)-1)/h -$D$6,0)))</f>
        <v>0</v>
      </c>
      <c r="AA98">
        <f>IF($A98&gt;AA$79,"",IF(T&lt;=AA$11,"",100*h*MAX((EXP(IRTree!AA32*h)-1)/h -$D$6,0)))</f>
        <v>0</v>
      </c>
      <c r="AB98">
        <f>IF($A98&gt;AB$79,"",IF(T&lt;=AB$11,"",100*h*MAX((EXP(IRTree!AB32*h)-1)/h -$D$6,0)))</f>
        <v>0</v>
      </c>
      <c r="AC98">
        <f>IF($A98&gt;AC$79,"",IF(T&lt;=AC$11,"",100*h*MAX((EXP(IRTree!AC32*h)-1)/h -$D$6,0)))</f>
        <v>0</v>
      </c>
      <c r="AD98">
        <f>IF($A98&gt;AD$79,"",IF(T&lt;=AD$11,"",100*h*MAX((EXP(IRTree!AD32*h)-1)/h -$D$6,0)))</f>
        <v>0</v>
      </c>
      <c r="AE98">
        <f>IF($A98&gt;AE$79,"",IF(T&lt;=AE$11,"",100*h*MAX((EXP(IRTree!AE32*h)-1)/h -$D$6,0)))</f>
        <v>0</v>
      </c>
      <c r="AF98">
        <f>IF($A98&gt;AF$79,"",IF(T&lt;=AF$11,"",100*h*MAX((EXP(IRTree!AF32*h)-1)/h -$D$6,0)))</f>
        <v>0</v>
      </c>
      <c r="AG98">
        <f>IF($A98&gt;AG$79,"",IF(T&lt;=AG$11,"",100*h*MAX((EXP(IRTree!AG32*h)-1)/h -$D$6,0)))</f>
        <v>0</v>
      </c>
      <c r="AH98">
        <f>IF($A98&gt;AH$79,"",IF(T&lt;=AH$11,"",100*h*MAX((EXP(IRTree!AH32*h)-1)/h -$D$6,0)))</f>
        <v>0</v>
      </c>
      <c r="AI98">
        <f>IF($A98&gt;AI$79,"",IF(T&lt;=AI$11,"",100*h*MAX((EXP(IRTree!AI32*h)-1)/h -$D$6,0)))</f>
        <v>0</v>
      </c>
      <c r="AJ98">
        <f>IF($A98&gt;AJ$79,"",IF(T&lt;=AJ$11,"",100*h*MAX((EXP(IRTree!AJ32*h)-1)/h -$D$6,0)))</f>
        <v>0</v>
      </c>
      <c r="AK98">
        <f>IF($A98&gt;AK$79,"",IF(T&lt;=AK$11,"",100*h*MAX((EXP(IRTree!AK32*h)-1)/h -$D$6,0)))</f>
        <v>8.6511172387111229E-2</v>
      </c>
      <c r="AL98">
        <f>IF($A98&gt;AL$79,"",IF(T&lt;=AL$11,"",100*h*MAX((EXP(IRTree!AL32*h)-1)/h -$D$6,0)))</f>
        <v>0.22663407569456037</v>
      </c>
      <c r="AM98">
        <f>IF($A98&gt;AM$79,"",IF(T&lt;=AM$11,"",100*h*MAX((EXP(IRTree!AM32*h)-1)/h -$D$6,0)))</f>
        <v>0.38536992186688024</v>
      </c>
      <c r="AN98">
        <f>IF($A98&gt;AN$79,"",IF(T&lt;=AN$11,"",100*h*MAX((EXP(IRTree!AN32*h)-1)/h -$D$6,0)))</f>
        <v>0.54603949523345885</v>
      </c>
      <c r="AO98">
        <f>IF($A98&gt;AO$79,"",IF(T&lt;=AO$11,"",100*h*MAX((EXP(IRTree!AO32*h)-1)/h -$D$6,0)))</f>
        <v>0.70801842691605255</v>
      </c>
      <c r="AP98" t="str">
        <f>IF($A98&gt;AP$79,"",IF(T&lt;=AP$11,"",100*h*MAX((EXP(IRTree!AP32*h)-1)/h -$D$6,0)))</f>
        <v/>
      </c>
      <c r="AQ98" t="str">
        <f>IF($A98&gt;AQ$79,"",IF(T&lt;=AQ$11,"",100*h*MAX((EXP(IRTree!AQ32*h)-1)/h -$D$6,0)))</f>
        <v/>
      </c>
      <c r="AR98" t="str">
        <f>IF($A98&gt;AR$79,"",IF(T&lt;=AR$11,"",100*h*MAX((EXP(IRTree!AR32*h)-1)/h -$D$6,0)))</f>
        <v/>
      </c>
      <c r="AS98" t="str">
        <f>IF($A98&gt;AS$79,"",IF(T&lt;=AS$11,"",100*h*MAX((EXP(IRTree!AS32*h)-1)/h -$D$6,0)))</f>
        <v/>
      </c>
      <c r="AT98" t="str">
        <f>IF($A98&gt;AT$79,"",IF(T&lt;=AT$11,"",100*h*MAX((EXP(IRTree!AT32*h)-1)/h -$D$6,0)))</f>
        <v/>
      </c>
      <c r="AU98" t="str">
        <f>IF($A98&gt;AU$79,"",IF(T&lt;=AU$11,"",100*h*MAX((EXP(IRTree!AU32*h)-1)/h -$D$6,0)))</f>
        <v/>
      </c>
      <c r="AV98" t="str">
        <f>IF($A98&gt;AV$79,"",IF(T&lt;=AV$11,"",100*h*MAX((EXP(IRTree!AV32*h)-1)/h -$D$6,0)))</f>
        <v/>
      </c>
      <c r="AW98" t="str">
        <f>IF($A98&gt;AW$79,"",IF(T&lt;=AW$11,"",100*h*MAX((EXP(IRTree!AW32*h)-1)/h -$D$6,0)))</f>
        <v/>
      </c>
      <c r="AX98" t="str">
        <f>IF($A98&gt;AX$79,"",IF(T&lt;=AX$11,"",100*h*MAX((EXP(IRTree!AX32*h)-1)/h -$D$6,0)))</f>
        <v/>
      </c>
      <c r="AY98" t="str">
        <f>IF($A98&gt;AY$79,"",IF(T&lt;=AY$11,"",100*h*MAX((EXP(IRTree!AY32*h)-1)/h -$D$6,0)))</f>
        <v/>
      </c>
      <c r="AZ98" t="str">
        <f>IF($A98&gt;AZ$79,"",IF(T&lt;=AZ$11,"",100*h*MAX((EXP(IRTree!AZ32*h)-1)/h -$D$6,0)))</f>
        <v/>
      </c>
      <c r="BA98" t="str">
        <f>IF($A98&gt;BA$79,"",IF(T&lt;=BA$11,"",100*h*MAX((EXP(IRTree!BA32*h)-1)/h -$D$6,0)))</f>
        <v/>
      </c>
      <c r="BB98" t="str">
        <f>IF($A98&gt;BB$79,"",IF(T&lt;=BB$11,"",100*h*MAX((EXP(IRTree!BB32*h)-1)/h -$D$6,0)))</f>
        <v/>
      </c>
      <c r="BC98" t="str">
        <f>IF($A98&gt;BC$79,"",IF(T&lt;=BC$11,"",100*h*MAX((EXP(IRTree!BC32*h)-1)/h -$D$6,0)))</f>
        <v/>
      </c>
      <c r="BD98" t="str">
        <f>IF($A98&gt;BD$79,"",IF(T&lt;=BD$11,"",100*h*MAX((EXP(IRTree!BD32*h)-1)/h -$D$6,0)))</f>
        <v/>
      </c>
      <c r="BE98" t="str">
        <f>IF($A98&gt;BE$79,"",IF(T&lt;=BE$11,"",100*h*MAX((EXP(IRTree!BE32*h)-1)/h -$D$6,0)))</f>
        <v/>
      </c>
      <c r="BF98" t="str">
        <f>IF($A98&gt;BF$79,"",IF(T&lt;=BF$11,"",100*h*MAX((EXP(IRTree!BF32*h)-1)/h -$D$6,0)))</f>
        <v/>
      </c>
      <c r="BG98" t="str">
        <f>IF($A98&gt;BG$79,"",IF(T&lt;=BG$11,"",100*h*MAX((EXP(IRTree!BG32*h)-1)/h -$D$6,0)))</f>
        <v/>
      </c>
      <c r="BH98" t="str">
        <f>IF($A98&gt;BH$79,"",IF(T&lt;=BH$11,"",100*h*MAX((EXP(IRTree!BH32*h)-1)/h -$D$6,0)))</f>
        <v/>
      </c>
      <c r="BI98" t="str">
        <f>IF($A98&gt;BI$79,"",IF(T&lt;=BI$11,"",100*h*MAX((EXP(IRTree!BI32*h)-1)/h -$D$6,0)))</f>
        <v/>
      </c>
      <c r="BJ98" t="str">
        <f>IF($A98&gt;BJ$79,"",IF(T&lt;=BJ$11,"",100*h*MAX((EXP(IRTree!BJ32*h)-1)/h -$D$6,0)))</f>
        <v/>
      </c>
    </row>
    <row r="99" spans="1:62">
      <c r="A99" s="22">
        <f t="shared" si="5"/>
        <v>19</v>
      </c>
      <c r="B99" t="str">
        <f>IF($A99&gt;B$79,"",IF(T&lt;=B$11,"",100*h*MAX((EXP(IRTree!B33*h)-1)/h -$D$6,0)))</f>
        <v/>
      </c>
      <c r="C99" t="str">
        <f>IF($A99&gt;C$79,"",IF(T&lt;=C$11,"",100*h*MAX((EXP(IRTree!C33*h)-1)/h -$D$6,0)))</f>
        <v/>
      </c>
      <c r="D99" t="str">
        <f>IF($A99&gt;D$79,"",IF(T&lt;=D$11,"",100*h*MAX((EXP(IRTree!D33*h)-1)/h -$D$6,0)))</f>
        <v/>
      </c>
      <c r="E99" t="str">
        <f>IF($A99&gt;E$79,"",IF(T&lt;=E$11,"",100*h*MAX((EXP(IRTree!E33*h)-1)/h -$D$6,0)))</f>
        <v/>
      </c>
      <c r="F99" t="str">
        <f>IF($A99&gt;F$79,"",IF(T&lt;=F$11,"",100*h*MAX((EXP(IRTree!F33*h)-1)/h -$D$6,0)))</f>
        <v/>
      </c>
      <c r="G99" t="str">
        <f>IF($A99&gt;G$79,"",IF(T&lt;=G$11,"",100*h*MAX((EXP(IRTree!G33*h)-1)/h -$D$6,0)))</f>
        <v/>
      </c>
      <c r="H99" t="str">
        <f>IF($A99&gt;H$79,"",IF(T&lt;=H$11,"",100*h*MAX((EXP(IRTree!H33*h)-1)/h -$D$6,0)))</f>
        <v/>
      </c>
      <c r="I99" t="str">
        <f>IF($A99&gt;I$79,"",IF(T&lt;=I$11,"",100*h*MAX((EXP(IRTree!I33*h)-1)/h -$D$6,0)))</f>
        <v/>
      </c>
      <c r="J99" t="str">
        <f>IF($A99&gt;J$79,"",IF(T&lt;=J$11,"",100*h*MAX((EXP(IRTree!J33*h)-1)/h -$D$6,0)))</f>
        <v/>
      </c>
      <c r="K99" t="str">
        <f>IF($A99&gt;K$79,"",IF(T&lt;=K$11,"",100*h*MAX((EXP(IRTree!K33*h)-1)/h -$D$6,0)))</f>
        <v/>
      </c>
      <c r="L99" t="str">
        <f>IF($A99&gt;L$79,"",IF(T&lt;=L$11,"",100*h*MAX((EXP(IRTree!L33*h)-1)/h -$D$6,0)))</f>
        <v/>
      </c>
      <c r="M99" t="str">
        <f>IF($A99&gt;M$79,"",IF(T&lt;=M$11,"",100*h*MAX((EXP(IRTree!M33*h)-1)/h -$D$6,0)))</f>
        <v/>
      </c>
      <c r="N99" t="str">
        <f>IF($A99&gt;N$79,"",IF(T&lt;=N$11,"",100*h*MAX((EXP(IRTree!N33*h)-1)/h -$D$6,0)))</f>
        <v/>
      </c>
      <c r="O99" t="str">
        <f>IF($A99&gt;O$79,"",IF(T&lt;=O$11,"",100*h*MAX((EXP(IRTree!O33*h)-1)/h -$D$6,0)))</f>
        <v/>
      </c>
      <c r="P99" t="str">
        <f>IF($A99&gt;P$79,"",IF(T&lt;=P$11,"",100*h*MAX((EXP(IRTree!P33*h)-1)/h -$D$6,0)))</f>
        <v/>
      </c>
      <c r="Q99" t="str">
        <f>IF($A99&gt;Q$79,"",IF(T&lt;=Q$11,"",100*h*MAX((EXP(IRTree!Q33*h)-1)/h -$D$6,0)))</f>
        <v/>
      </c>
      <c r="R99" t="str">
        <f>IF($A99&gt;R$79,"",IF(T&lt;=R$11,"",100*h*MAX((EXP(IRTree!R33*h)-1)/h -$D$6,0)))</f>
        <v/>
      </c>
      <c r="S99" t="str">
        <f>IF($A99&gt;S$79,"",IF(T&lt;=S$11,"",100*h*MAX((EXP(IRTree!S33*h)-1)/h -$D$6,0)))</f>
        <v/>
      </c>
      <c r="T99" t="str">
        <f>IF($A99&gt;T$79,"",IF(T&lt;=T$11,"",100*h*MAX((EXP(IRTree!T33*h)-1)/h -$D$6,0)))</f>
        <v/>
      </c>
      <c r="U99">
        <f>IF($A99&gt;U$79,"",IF(T&lt;=U$11,"",100*h*MAX((EXP(IRTree!U33*h)-1)/h -$D$6,0)))</f>
        <v>0</v>
      </c>
      <c r="V99">
        <f>IF($A99&gt;V$79,"",IF(T&lt;=V$11,"",100*h*MAX((EXP(IRTree!V33*h)-1)/h -$D$6,0)))</f>
        <v>0</v>
      </c>
      <c r="W99">
        <f>IF($A99&gt;W$79,"",IF(T&lt;=W$11,"",100*h*MAX((EXP(IRTree!W33*h)-1)/h -$D$6,0)))</f>
        <v>0</v>
      </c>
      <c r="X99">
        <f>IF($A99&gt;X$79,"",IF(T&lt;=X$11,"",100*h*MAX((EXP(IRTree!X33*h)-1)/h -$D$6,0)))</f>
        <v>0</v>
      </c>
      <c r="Y99">
        <f>IF($A99&gt;Y$79,"",IF(T&lt;=Y$11,"",100*h*MAX((EXP(IRTree!Y33*h)-1)/h -$D$6,0)))</f>
        <v>0</v>
      </c>
      <c r="Z99">
        <f>IF($A99&gt;Z$79,"",IF(T&lt;=Z$11,"",100*h*MAX((EXP(IRTree!Z33*h)-1)/h -$D$6,0)))</f>
        <v>0</v>
      </c>
      <c r="AA99">
        <f>IF($A99&gt;AA$79,"",IF(T&lt;=AA$11,"",100*h*MAX((EXP(IRTree!AA33*h)-1)/h -$D$6,0)))</f>
        <v>0</v>
      </c>
      <c r="AB99">
        <f>IF($A99&gt;AB$79,"",IF(T&lt;=AB$11,"",100*h*MAX((EXP(IRTree!AB33*h)-1)/h -$D$6,0)))</f>
        <v>0</v>
      </c>
      <c r="AC99">
        <f>IF($A99&gt;AC$79,"",IF(T&lt;=AC$11,"",100*h*MAX((EXP(IRTree!AC33*h)-1)/h -$D$6,0)))</f>
        <v>0</v>
      </c>
      <c r="AD99">
        <f>IF($A99&gt;AD$79,"",IF(T&lt;=AD$11,"",100*h*MAX((EXP(IRTree!AD33*h)-1)/h -$D$6,0)))</f>
        <v>0</v>
      </c>
      <c r="AE99">
        <f>IF($A99&gt;AE$79,"",IF(T&lt;=AE$11,"",100*h*MAX((EXP(IRTree!AE33*h)-1)/h -$D$6,0)))</f>
        <v>0</v>
      </c>
      <c r="AF99">
        <f>IF($A99&gt;AF$79,"",IF(T&lt;=AF$11,"",100*h*MAX((EXP(IRTree!AF33*h)-1)/h -$D$6,0)))</f>
        <v>0</v>
      </c>
      <c r="AG99">
        <f>IF($A99&gt;AG$79,"",IF(T&lt;=AG$11,"",100*h*MAX((EXP(IRTree!AG33*h)-1)/h -$D$6,0)))</f>
        <v>0</v>
      </c>
      <c r="AH99">
        <f>IF($A99&gt;AH$79,"",IF(T&lt;=AH$11,"",100*h*MAX((EXP(IRTree!AH33*h)-1)/h -$D$6,0)))</f>
        <v>0</v>
      </c>
      <c r="AI99">
        <f>IF($A99&gt;AI$79,"",IF(T&lt;=AI$11,"",100*h*MAX((EXP(IRTree!AI33*h)-1)/h -$D$6,0)))</f>
        <v>0</v>
      </c>
      <c r="AJ99">
        <f>IF($A99&gt;AJ$79,"",IF(T&lt;=AJ$11,"",100*h*MAX((EXP(IRTree!AJ33*h)-1)/h -$D$6,0)))</f>
        <v>0</v>
      </c>
      <c r="AK99">
        <f>IF($A99&gt;AK$79,"",IF(T&lt;=AK$11,"",100*h*MAX((EXP(IRTree!AK33*h)-1)/h -$D$6,0)))</f>
        <v>0</v>
      </c>
      <c r="AL99">
        <f>IF($A99&gt;AL$79,"",IF(T&lt;=AL$11,"",100*h*MAX((EXP(IRTree!AL33*h)-1)/h -$D$6,0)))</f>
        <v>0</v>
      </c>
      <c r="AM99">
        <f>IF($A99&gt;AM$79,"",IF(T&lt;=AM$11,"",100*h*MAX((EXP(IRTree!AM33*h)-1)/h -$D$6,0)))</f>
        <v>0.13211972819346471</v>
      </c>
      <c r="AN99">
        <f>IF($A99&gt;AN$79,"",IF(T&lt;=AN$11,"",100*h*MAX((EXP(IRTree!AN33*h)-1)/h -$D$6,0)))</f>
        <v>0.27834238594372596</v>
      </c>
      <c r="AO99">
        <f>IF($A99&gt;AO$79,"",IF(T&lt;=AO$11,"",100*h*MAX((EXP(IRTree!AO33*h)-1)/h -$D$6,0)))</f>
        <v>0.42754810891091988</v>
      </c>
      <c r="AP99" t="str">
        <f>IF($A99&gt;AP$79,"",IF(T&lt;=AP$11,"",100*h*MAX((EXP(IRTree!AP33*h)-1)/h -$D$6,0)))</f>
        <v/>
      </c>
      <c r="AQ99" t="str">
        <f>IF($A99&gt;AQ$79,"",IF(T&lt;=AQ$11,"",100*h*MAX((EXP(IRTree!AQ33*h)-1)/h -$D$6,0)))</f>
        <v/>
      </c>
      <c r="AR99" t="str">
        <f>IF($A99&gt;AR$79,"",IF(T&lt;=AR$11,"",100*h*MAX((EXP(IRTree!AR33*h)-1)/h -$D$6,0)))</f>
        <v/>
      </c>
      <c r="AS99" t="str">
        <f>IF($A99&gt;AS$79,"",IF(T&lt;=AS$11,"",100*h*MAX((EXP(IRTree!AS33*h)-1)/h -$D$6,0)))</f>
        <v/>
      </c>
      <c r="AT99" t="str">
        <f>IF($A99&gt;AT$79,"",IF(T&lt;=AT$11,"",100*h*MAX((EXP(IRTree!AT33*h)-1)/h -$D$6,0)))</f>
        <v/>
      </c>
      <c r="AU99" t="str">
        <f>IF($A99&gt;AU$79,"",IF(T&lt;=AU$11,"",100*h*MAX((EXP(IRTree!AU33*h)-1)/h -$D$6,0)))</f>
        <v/>
      </c>
      <c r="AV99" t="str">
        <f>IF($A99&gt;AV$79,"",IF(T&lt;=AV$11,"",100*h*MAX((EXP(IRTree!AV33*h)-1)/h -$D$6,0)))</f>
        <v/>
      </c>
      <c r="AW99" t="str">
        <f>IF($A99&gt;AW$79,"",IF(T&lt;=AW$11,"",100*h*MAX((EXP(IRTree!AW33*h)-1)/h -$D$6,0)))</f>
        <v/>
      </c>
      <c r="AX99" t="str">
        <f>IF($A99&gt;AX$79,"",IF(T&lt;=AX$11,"",100*h*MAX((EXP(IRTree!AX33*h)-1)/h -$D$6,0)))</f>
        <v/>
      </c>
      <c r="AY99" t="str">
        <f>IF($A99&gt;AY$79,"",IF(T&lt;=AY$11,"",100*h*MAX((EXP(IRTree!AY33*h)-1)/h -$D$6,0)))</f>
        <v/>
      </c>
      <c r="AZ99" t="str">
        <f>IF($A99&gt;AZ$79,"",IF(T&lt;=AZ$11,"",100*h*MAX((EXP(IRTree!AZ33*h)-1)/h -$D$6,0)))</f>
        <v/>
      </c>
      <c r="BA99" t="str">
        <f>IF($A99&gt;BA$79,"",IF(T&lt;=BA$11,"",100*h*MAX((EXP(IRTree!BA33*h)-1)/h -$D$6,0)))</f>
        <v/>
      </c>
      <c r="BB99" t="str">
        <f>IF($A99&gt;BB$79,"",IF(T&lt;=BB$11,"",100*h*MAX((EXP(IRTree!BB33*h)-1)/h -$D$6,0)))</f>
        <v/>
      </c>
      <c r="BC99" t="str">
        <f>IF($A99&gt;BC$79,"",IF(T&lt;=BC$11,"",100*h*MAX((EXP(IRTree!BC33*h)-1)/h -$D$6,0)))</f>
        <v/>
      </c>
      <c r="BD99" t="str">
        <f>IF($A99&gt;BD$79,"",IF(T&lt;=BD$11,"",100*h*MAX((EXP(IRTree!BD33*h)-1)/h -$D$6,0)))</f>
        <v/>
      </c>
      <c r="BE99" t="str">
        <f>IF($A99&gt;BE$79,"",IF(T&lt;=BE$11,"",100*h*MAX((EXP(IRTree!BE33*h)-1)/h -$D$6,0)))</f>
        <v/>
      </c>
      <c r="BF99" t="str">
        <f>IF($A99&gt;BF$79,"",IF(T&lt;=BF$11,"",100*h*MAX((EXP(IRTree!BF33*h)-1)/h -$D$6,0)))</f>
        <v/>
      </c>
      <c r="BG99" t="str">
        <f>IF($A99&gt;BG$79,"",IF(T&lt;=BG$11,"",100*h*MAX((EXP(IRTree!BG33*h)-1)/h -$D$6,0)))</f>
        <v/>
      </c>
      <c r="BH99" t="str">
        <f>IF($A99&gt;BH$79,"",IF(T&lt;=BH$11,"",100*h*MAX((EXP(IRTree!BH33*h)-1)/h -$D$6,0)))</f>
        <v/>
      </c>
      <c r="BI99" t="str">
        <f>IF($A99&gt;BI$79,"",IF(T&lt;=BI$11,"",100*h*MAX((EXP(IRTree!BI33*h)-1)/h -$D$6,0)))</f>
        <v/>
      </c>
      <c r="BJ99" t="str">
        <f>IF($A99&gt;BJ$79,"",IF(T&lt;=BJ$11,"",100*h*MAX((EXP(IRTree!BJ33*h)-1)/h -$D$6,0)))</f>
        <v/>
      </c>
    </row>
    <row r="100" spans="1:62">
      <c r="A100" s="22">
        <f t="shared" si="5"/>
        <v>20</v>
      </c>
      <c r="B100" t="str">
        <f>IF($A100&gt;B$79,"",IF(T&lt;=B$11,"",100*h*MAX((EXP(IRTree!B34*h)-1)/h -$D$6,0)))</f>
        <v/>
      </c>
      <c r="C100" t="str">
        <f>IF($A100&gt;C$79,"",IF(T&lt;=C$11,"",100*h*MAX((EXP(IRTree!C34*h)-1)/h -$D$6,0)))</f>
        <v/>
      </c>
      <c r="D100" t="str">
        <f>IF($A100&gt;D$79,"",IF(T&lt;=D$11,"",100*h*MAX((EXP(IRTree!D34*h)-1)/h -$D$6,0)))</f>
        <v/>
      </c>
      <c r="E100" t="str">
        <f>IF($A100&gt;E$79,"",IF(T&lt;=E$11,"",100*h*MAX((EXP(IRTree!E34*h)-1)/h -$D$6,0)))</f>
        <v/>
      </c>
      <c r="F100" t="str">
        <f>IF($A100&gt;F$79,"",IF(T&lt;=F$11,"",100*h*MAX((EXP(IRTree!F34*h)-1)/h -$D$6,0)))</f>
        <v/>
      </c>
      <c r="G100" t="str">
        <f>IF($A100&gt;G$79,"",IF(T&lt;=G$11,"",100*h*MAX((EXP(IRTree!G34*h)-1)/h -$D$6,0)))</f>
        <v/>
      </c>
      <c r="H100" t="str">
        <f>IF($A100&gt;H$79,"",IF(T&lt;=H$11,"",100*h*MAX((EXP(IRTree!H34*h)-1)/h -$D$6,0)))</f>
        <v/>
      </c>
      <c r="I100" t="str">
        <f>IF($A100&gt;I$79,"",IF(T&lt;=I$11,"",100*h*MAX((EXP(IRTree!I34*h)-1)/h -$D$6,0)))</f>
        <v/>
      </c>
      <c r="J100" t="str">
        <f>IF($A100&gt;J$79,"",IF(T&lt;=J$11,"",100*h*MAX((EXP(IRTree!J34*h)-1)/h -$D$6,0)))</f>
        <v/>
      </c>
      <c r="K100" t="str">
        <f>IF($A100&gt;K$79,"",IF(T&lt;=K$11,"",100*h*MAX((EXP(IRTree!K34*h)-1)/h -$D$6,0)))</f>
        <v/>
      </c>
      <c r="L100" t="str">
        <f>IF($A100&gt;L$79,"",IF(T&lt;=L$11,"",100*h*MAX((EXP(IRTree!L34*h)-1)/h -$D$6,0)))</f>
        <v/>
      </c>
      <c r="M100" t="str">
        <f>IF($A100&gt;M$79,"",IF(T&lt;=M$11,"",100*h*MAX((EXP(IRTree!M34*h)-1)/h -$D$6,0)))</f>
        <v/>
      </c>
      <c r="N100" t="str">
        <f>IF($A100&gt;N$79,"",IF(T&lt;=N$11,"",100*h*MAX((EXP(IRTree!N34*h)-1)/h -$D$6,0)))</f>
        <v/>
      </c>
      <c r="O100" t="str">
        <f>IF($A100&gt;O$79,"",IF(T&lt;=O$11,"",100*h*MAX((EXP(IRTree!O34*h)-1)/h -$D$6,0)))</f>
        <v/>
      </c>
      <c r="P100" t="str">
        <f>IF($A100&gt;P$79,"",IF(T&lt;=P$11,"",100*h*MAX((EXP(IRTree!P34*h)-1)/h -$D$6,0)))</f>
        <v/>
      </c>
      <c r="Q100" t="str">
        <f>IF($A100&gt;Q$79,"",IF(T&lt;=Q$11,"",100*h*MAX((EXP(IRTree!Q34*h)-1)/h -$D$6,0)))</f>
        <v/>
      </c>
      <c r="R100" t="str">
        <f>IF($A100&gt;R$79,"",IF(T&lt;=R$11,"",100*h*MAX((EXP(IRTree!R34*h)-1)/h -$D$6,0)))</f>
        <v/>
      </c>
      <c r="S100" t="str">
        <f>IF($A100&gt;S$79,"",IF(T&lt;=S$11,"",100*h*MAX((EXP(IRTree!S34*h)-1)/h -$D$6,0)))</f>
        <v/>
      </c>
      <c r="T100" t="str">
        <f>IF($A100&gt;T$79,"",IF(T&lt;=T$11,"",100*h*MAX((EXP(IRTree!T34*h)-1)/h -$D$6,0)))</f>
        <v/>
      </c>
      <c r="U100" t="str">
        <f>IF($A100&gt;U$79,"",IF(T&lt;=U$11,"",100*h*MAX((EXP(IRTree!U34*h)-1)/h -$D$6,0)))</f>
        <v/>
      </c>
      <c r="V100">
        <f>IF($A100&gt;V$79,"",IF(T&lt;=V$11,"",100*h*MAX((EXP(IRTree!V34*h)-1)/h -$D$6,0)))</f>
        <v>0</v>
      </c>
      <c r="W100">
        <f>IF($A100&gt;W$79,"",IF(T&lt;=W$11,"",100*h*MAX((EXP(IRTree!W34*h)-1)/h -$D$6,0)))</f>
        <v>0</v>
      </c>
      <c r="X100">
        <f>IF($A100&gt;X$79,"",IF(T&lt;=X$11,"",100*h*MAX((EXP(IRTree!X34*h)-1)/h -$D$6,0)))</f>
        <v>0</v>
      </c>
      <c r="Y100">
        <f>IF($A100&gt;Y$79,"",IF(T&lt;=Y$11,"",100*h*MAX((EXP(IRTree!Y34*h)-1)/h -$D$6,0)))</f>
        <v>0</v>
      </c>
      <c r="Z100">
        <f>IF($A100&gt;Z$79,"",IF(T&lt;=Z$11,"",100*h*MAX((EXP(IRTree!Z34*h)-1)/h -$D$6,0)))</f>
        <v>0</v>
      </c>
      <c r="AA100">
        <f>IF($A100&gt;AA$79,"",IF(T&lt;=AA$11,"",100*h*MAX((EXP(IRTree!AA34*h)-1)/h -$D$6,0)))</f>
        <v>0</v>
      </c>
      <c r="AB100">
        <f>IF($A100&gt;AB$79,"",IF(T&lt;=AB$11,"",100*h*MAX((EXP(IRTree!AB34*h)-1)/h -$D$6,0)))</f>
        <v>0</v>
      </c>
      <c r="AC100">
        <f>IF($A100&gt;AC$79,"",IF(T&lt;=AC$11,"",100*h*MAX((EXP(IRTree!AC34*h)-1)/h -$D$6,0)))</f>
        <v>0</v>
      </c>
      <c r="AD100">
        <f>IF($A100&gt;AD$79,"",IF(T&lt;=AD$11,"",100*h*MAX((EXP(IRTree!AD34*h)-1)/h -$D$6,0)))</f>
        <v>0</v>
      </c>
      <c r="AE100">
        <f>IF($A100&gt;AE$79,"",IF(T&lt;=AE$11,"",100*h*MAX((EXP(IRTree!AE34*h)-1)/h -$D$6,0)))</f>
        <v>0</v>
      </c>
      <c r="AF100">
        <f>IF($A100&gt;AF$79,"",IF(T&lt;=AF$11,"",100*h*MAX((EXP(IRTree!AF34*h)-1)/h -$D$6,0)))</f>
        <v>0</v>
      </c>
      <c r="AG100">
        <f>IF($A100&gt;AG$79,"",IF(T&lt;=AG$11,"",100*h*MAX((EXP(IRTree!AG34*h)-1)/h -$D$6,0)))</f>
        <v>0</v>
      </c>
      <c r="AH100">
        <f>IF($A100&gt;AH$79,"",IF(T&lt;=AH$11,"",100*h*MAX((EXP(IRTree!AH34*h)-1)/h -$D$6,0)))</f>
        <v>0</v>
      </c>
      <c r="AI100">
        <f>IF($A100&gt;AI$79,"",IF(T&lt;=AI$11,"",100*h*MAX((EXP(IRTree!AI34*h)-1)/h -$D$6,0)))</f>
        <v>0</v>
      </c>
      <c r="AJ100">
        <f>IF($A100&gt;AJ$79,"",IF(T&lt;=AJ$11,"",100*h*MAX((EXP(IRTree!AJ34*h)-1)/h -$D$6,0)))</f>
        <v>0</v>
      </c>
      <c r="AK100">
        <f>IF($A100&gt;AK$79,"",IF(T&lt;=AK$11,"",100*h*MAX((EXP(IRTree!AK34*h)-1)/h -$D$6,0)))</f>
        <v>0</v>
      </c>
      <c r="AL100">
        <f>IF($A100&gt;AL$79,"",IF(T&lt;=AL$11,"",100*h*MAX((EXP(IRTree!AL34*h)-1)/h -$D$6,0)))</f>
        <v>0</v>
      </c>
      <c r="AM100">
        <f>IF($A100&gt;AM$79,"",IF(T&lt;=AM$11,"",100*h*MAX((EXP(IRTree!AM34*h)-1)/h -$D$6,0)))</f>
        <v>0</v>
      </c>
      <c r="AN100">
        <f>IF($A100&gt;AN$79,"",IF(T&lt;=AN$11,"",100*h*MAX((EXP(IRTree!AN34*h)-1)/h -$D$6,0)))</f>
        <v>5.3746153410178833E-2</v>
      </c>
      <c r="AO100">
        <f>IF($A100&gt;AO$79,"",IF(T&lt;=AO$11,"",100*h*MAX((EXP(IRTree!AO34*h)-1)/h -$D$6,0)))</f>
        <v>0.19024019272448431</v>
      </c>
      <c r="AP100" t="str">
        <f>IF($A100&gt;AP$79,"",IF(T&lt;=AP$11,"",100*h*MAX((EXP(IRTree!AP34*h)-1)/h -$D$6,0)))</f>
        <v/>
      </c>
      <c r="AQ100" t="str">
        <f>IF($A100&gt;AQ$79,"",IF(T&lt;=AQ$11,"",100*h*MAX((EXP(IRTree!AQ34*h)-1)/h -$D$6,0)))</f>
        <v/>
      </c>
      <c r="AR100" t="str">
        <f>IF($A100&gt;AR$79,"",IF(T&lt;=AR$11,"",100*h*MAX((EXP(IRTree!AR34*h)-1)/h -$D$6,0)))</f>
        <v/>
      </c>
      <c r="AS100" t="str">
        <f>IF($A100&gt;AS$79,"",IF(T&lt;=AS$11,"",100*h*MAX((EXP(IRTree!AS34*h)-1)/h -$D$6,0)))</f>
        <v/>
      </c>
      <c r="AT100" t="str">
        <f>IF($A100&gt;AT$79,"",IF(T&lt;=AT$11,"",100*h*MAX((EXP(IRTree!AT34*h)-1)/h -$D$6,0)))</f>
        <v/>
      </c>
      <c r="AU100" t="str">
        <f>IF($A100&gt;AU$79,"",IF(T&lt;=AU$11,"",100*h*MAX((EXP(IRTree!AU34*h)-1)/h -$D$6,0)))</f>
        <v/>
      </c>
      <c r="AV100" t="str">
        <f>IF($A100&gt;AV$79,"",IF(T&lt;=AV$11,"",100*h*MAX((EXP(IRTree!AV34*h)-1)/h -$D$6,0)))</f>
        <v/>
      </c>
      <c r="AW100" t="str">
        <f>IF($A100&gt;AW$79,"",IF(T&lt;=AW$11,"",100*h*MAX((EXP(IRTree!AW34*h)-1)/h -$D$6,0)))</f>
        <v/>
      </c>
      <c r="AX100" t="str">
        <f>IF($A100&gt;AX$79,"",IF(T&lt;=AX$11,"",100*h*MAX((EXP(IRTree!AX34*h)-1)/h -$D$6,0)))</f>
        <v/>
      </c>
      <c r="AY100" t="str">
        <f>IF($A100&gt;AY$79,"",IF(T&lt;=AY$11,"",100*h*MAX((EXP(IRTree!AY34*h)-1)/h -$D$6,0)))</f>
        <v/>
      </c>
      <c r="AZ100" t="str">
        <f>IF($A100&gt;AZ$79,"",IF(T&lt;=AZ$11,"",100*h*MAX((EXP(IRTree!AZ34*h)-1)/h -$D$6,0)))</f>
        <v/>
      </c>
      <c r="BA100" t="str">
        <f>IF($A100&gt;BA$79,"",IF(T&lt;=BA$11,"",100*h*MAX((EXP(IRTree!BA34*h)-1)/h -$D$6,0)))</f>
        <v/>
      </c>
      <c r="BB100" t="str">
        <f>IF($A100&gt;BB$79,"",IF(T&lt;=BB$11,"",100*h*MAX((EXP(IRTree!BB34*h)-1)/h -$D$6,0)))</f>
        <v/>
      </c>
      <c r="BC100" t="str">
        <f>IF($A100&gt;BC$79,"",IF(T&lt;=BC$11,"",100*h*MAX((EXP(IRTree!BC34*h)-1)/h -$D$6,0)))</f>
        <v/>
      </c>
      <c r="BD100" t="str">
        <f>IF($A100&gt;BD$79,"",IF(T&lt;=BD$11,"",100*h*MAX((EXP(IRTree!BD34*h)-1)/h -$D$6,0)))</f>
        <v/>
      </c>
      <c r="BE100" t="str">
        <f>IF($A100&gt;BE$79,"",IF(T&lt;=BE$11,"",100*h*MAX((EXP(IRTree!BE34*h)-1)/h -$D$6,0)))</f>
        <v/>
      </c>
      <c r="BF100" t="str">
        <f>IF($A100&gt;BF$79,"",IF(T&lt;=BF$11,"",100*h*MAX((EXP(IRTree!BF34*h)-1)/h -$D$6,0)))</f>
        <v/>
      </c>
      <c r="BG100" t="str">
        <f>IF($A100&gt;BG$79,"",IF(T&lt;=BG$11,"",100*h*MAX((EXP(IRTree!BG34*h)-1)/h -$D$6,0)))</f>
        <v/>
      </c>
      <c r="BH100" t="str">
        <f>IF($A100&gt;BH$79,"",IF(T&lt;=BH$11,"",100*h*MAX((EXP(IRTree!BH34*h)-1)/h -$D$6,0)))</f>
        <v/>
      </c>
      <c r="BI100" t="str">
        <f>IF($A100&gt;BI$79,"",IF(T&lt;=BI$11,"",100*h*MAX((EXP(IRTree!BI34*h)-1)/h -$D$6,0)))</f>
        <v/>
      </c>
      <c r="BJ100" t="str">
        <f>IF($A100&gt;BJ$79,"",IF(T&lt;=BJ$11,"",100*h*MAX((EXP(IRTree!BJ34*h)-1)/h -$D$6,0)))</f>
        <v/>
      </c>
    </row>
    <row r="101" spans="1:62">
      <c r="A101" s="22">
        <f t="shared" si="5"/>
        <v>21</v>
      </c>
      <c r="B101" t="str">
        <f>IF($A101&gt;B$79,"",IF(T&lt;=B$11,"",100*h*MAX((EXP(IRTree!B35*h)-1)/h -$D$6,0)))</f>
        <v/>
      </c>
      <c r="C101" t="str">
        <f>IF($A101&gt;C$79,"",IF(T&lt;=C$11,"",100*h*MAX((EXP(IRTree!C35*h)-1)/h -$D$6,0)))</f>
        <v/>
      </c>
      <c r="D101" t="str">
        <f>IF($A101&gt;D$79,"",IF(T&lt;=D$11,"",100*h*MAX((EXP(IRTree!D35*h)-1)/h -$D$6,0)))</f>
        <v/>
      </c>
      <c r="E101" t="str">
        <f>IF($A101&gt;E$79,"",IF(T&lt;=E$11,"",100*h*MAX((EXP(IRTree!E35*h)-1)/h -$D$6,0)))</f>
        <v/>
      </c>
      <c r="F101" t="str">
        <f>IF($A101&gt;F$79,"",IF(T&lt;=F$11,"",100*h*MAX((EXP(IRTree!F35*h)-1)/h -$D$6,0)))</f>
        <v/>
      </c>
      <c r="G101" t="str">
        <f>IF($A101&gt;G$79,"",IF(T&lt;=G$11,"",100*h*MAX((EXP(IRTree!G35*h)-1)/h -$D$6,0)))</f>
        <v/>
      </c>
      <c r="H101" t="str">
        <f>IF($A101&gt;H$79,"",IF(T&lt;=H$11,"",100*h*MAX((EXP(IRTree!H35*h)-1)/h -$D$6,0)))</f>
        <v/>
      </c>
      <c r="I101" t="str">
        <f>IF($A101&gt;I$79,"",IF(T&lt;=I$11,"",100*h*MAX((EXP(IRTree!I35*h)-1)/h -$D$6,0)))</f>
        <v/>
      </c>
      <c r="J101" t="str">
        <f>IF($A101&gt;J$79,"",IF(T&lt;=J$11,"",100*h*MAX((EXP(IRTree!J35*h)-1)/h -$D$6,0)))</f>
        <v/>
      </c>
      <c r="K101" t="str">
        <f>IF($A101&gt;K$79,"",IF(T&lt;=K$11,"",100*h*MAX((EXP(IRTree!K35*h)-1)/h -$D$6,0)))</f>
        <v/>
      </c>
      <c r="L101" t="str">
        <f>IF($A101&gt;L$79,"",IF(T&lt;=L$11,"",100*h*MAX((EXP(IRTree!L35*h)-1)/h -$D$6,0)))</f>
        <v/>
      </c>
      <c r="M101" t="str">
        <f>IF($A101&gt;M$79,"",IF(T&lt;=M$11,"",100*h*MAX((EXP(IRTree!M35*h)-1)/h -$D$6,0)))</f>
        <v/>
      </c>
      <c r="N101" t="str">
        <f>IF($A101&gt;N$79,"",IF(T&lt;=N$11,"",100*h*MAX((EXP(IRTree!N35*h)-1)/h -$D$6,0)))</f>
        <v/>
      </c>
      <c r="O101" t="str">
        <f>IF($A101&gt;O$79,"",IF(T&lt;=O$11,"",100*h*MAX((EXP(IRTree!O35*h)-1)/h -$D$6,0)))</f>
        <v/>
      </c>
      <c r="P101" t="str">
        <f>IF($A101&gt;P$79,"",IF(T&lt;=P$11,"",100*h*MAX((EXP(IRTree!P35*h)-1)/h -$D$6,0)))</f>
        <v/>
      </c>
      <c r="Q101" t="str">
        <f>IF($A101&gt;Q$79,"",IF(T&lt;=Q$11,"",100*h*MAX((EXP(IRTree!Q35*h)-1)/h -$D$6,0)))</f>
        <v/>
      </c>
      <c r="R101" t="str">
        <f>IF($A101&gt;R$79,"",IF(T&lt;=R$11,"",100*h*MAX((EXP(IRTree!R35*h)-1)/h -$D$6,0)))</f>
        <v/>
      </c>
      <c r="S101" t="str">
        <f>IF($A101&gt;S$79,"",IF(T&lt;=S$11,"",100*h*MAX((EXP(IRTree!S35*h)-1)/h -$D$6,0)))</f>
        <v/>
      </c>
      <c r="T101" t="str">
        <f>IF($A101&gt;T$79,"",IF(T&lt;=T$11,"",100*h*MAX((EXP(IRTree!T35*h)-1)/h -$D$6,0)))</f>
        <v/>
      </c>
      <c r="U101" t="str">
        <f>IF($A101&gt;U$79,"",IF(T&lt;=U$11,"",100*h*MAX((EXP(IRTree!U35*h)-1)/h -$D$6,0)))</f>
        <v/>
      </c>
      <c r="V101" t="str">
        <f>IF($A101&gt;V$79,"",IF(T&lt;=V$11,"",100*h*MAX((EXP(IRTree!V35*h)-1)/h -$D$6,0)))</f>
        <v/>
      </c>
      <c r="W101">
        <f>IF($A101&gt;W$79,"",IF(T&lt;=W$11,"",100*h*MAX((EXP(IRTree!W35*h)-1)/h -$D$6,0)))</f>
        <v>0</v>
      </c>
      <c r="X101">
        <f>IF($A101&gt;X$79,"",IF(T&lt;=X$11,"",100*h*MAX((EXP(IRTree!X35*h)-1)/h -$D$6,0)))</f>
        <v>0</v>
      </c>
      <c r="Y101">
        <f>IF($A101&gt;Y$79,"",IF(T&lt;=Y$11,"",100*h*MAX((EXP(IRTree!Y35*h)-1)/h -$D$6,0)))</f>
        <v>0</v>
      </c>
      <c r="Z101">
        <f>IF($A101&gt;Z$79,"",IF(T&lt;=Z$11,"",100*h*MAX((EXP(IRTree!Z35*h)-1)/h -$D$6,0)))</f>
        <v>0</v>
      </c>
      <c r="AA101">
        <f>IF($A101&gt;AA$79,"",IF(T&lt;=AA$11,"",100*h*MAX((EXP(IRTree!AA35*h)-1)/h -$D$6,0)))</f>
        <v>0</v>
      </c>
      <c r="AB101">
        <f>IF($A101&gt;AB$79,"",IF(T&lt;=AB$11,"",100*h*MAX((EXP(IRTree!AB35*h)-1)/h -$D$6,0)))</f>
        <v>0</v>
      </c>
      <c r="AC101">
        <f>IF($A101&gt;AC$79,"",IF(T&lt;=AC$11,"",100*h*MAX((EXP(IRTree!AC35*h)-1)/h -$D$6,0)))</f>
        <v>0</v>
      </c>
      <c r="AD101">
        <f>IF($A101&gt;AD$79,"",IF(T&lt;=AD$11,"",100*h*MAX((EXP(IRTree!AD35*h)-1)/h -$D$6,0)))</f>
        <v>0</v>
      </c>
      <c r="AE101">
        <f>IF($A101&gt;AE$79,"",IF(T&lt;=AE$11,"",100*h*MAX((EXP(IRTree!AE35*h)-1)/h -$D$6,0)))</f>
        <v>0</v>
      </c>
      <c r="AF101">
        <f>IF($A101&gt;AF$79,"",IF(T&lt;=AF$11,"",100*h*MAX((EXP(IRTree!AF35*h)-1)/h -$D$6,0)))</f>
        <v>0</v>
      </c>
      <c r="AG101">
        <f>IF($A101&gt;AG$79,"",IF(T&lt;=AG$11,"",100*h*MAX((EXP(IRTree!AG35*h)-1)/h -$D$6,0)))</f>
        <v>0</v>
      </c>
      <c r="AH101">
        <f>IF($A101&gt;AH$79,"",IF(T&lt;=AH$11,"",100*h*MAX((EXP(IRTree!AH35*h)-1)/h -$D$6,0)))</f>
        <v>0</v>
      </c>
      <c r="AI101">
        <f>IF($A101&gt;AI$79,"",IF(T&lt;=AI$11,"",100*h*MAX((EXP(IRTree!AI35*h)-1)/h -$D$6,0)))</f>
        <v>0</v>
      </c>
      <c r="AJ101">
        <f>IF($A101&gt;AJ$79,"",IF(T&lt;=AJ$11,"",100*h*MAX((EXP(IRTree!AJ35*h)-1)/h -$D$6,0)))</f>
        <v>0</v>
      </c>
      <c r="AK101">
        <f>IF($A101&gt;AK$79,"",IF(T&lt;=AK$11,"",100*h*MAX((EXP(IRTree!AK35*h)-1)/h -$D$6,0)))</f>
        <v>0</v>
      </c>
      <c r="AL101">
        <f>IF($A101&gt;AL$79,"",IF(T&lt;=AL$11,"",100*h*MAX((EXP(IRTree!AL35*h)-1)/h -$D$6,0)))</f>
        <v>0</v>
      </c>
      <c r="AM101">
        <f>IF($A101&gt;AM$79,"",IF(T&lt;=AM$11,"",100*h*MAX((EXP(IRTree!AM35*h)-1)/h -$D$6,0)))</f>
        <v>0</v>
      </c>
      <c r="AN101">
        <f>IF($A101&gt;AN$79,"",IF(T&lt;=AN$11,"",100*h*MAX((EXP(IRTree!AN35*h)-1)/h -$D$6,0)))</f>
        <v>0</v>
      </c>
      <c r="AO101">
        <f>IF($A101&gt;AO$79,"",IF(T&lt;=AO$11,"",100*h*MAX((EXP(IRTree!AO35*h)-1)/h -$D$6,0)))</f>
        <v>0</v>
      </c>
      <c r="AP101" t="str">
        <f>IF($A101&gt;AP$79,"",IF(T&lt;=AP$11,"",100*h*MAX((EXP(IRTree!AP35*h)-1)/h -$D$6,0)))</f>
        <v/>
      </c>
      <c r="AQ101" t="str">
        <f>IF($A101&gt;AQ$79,"",IF(T&lt;=AQ$11,"",100*h*MAX((EXP(IRTree!AQ35*h)-1)/h -$D$6,0)))</f>
        <v/>
      </c>
      <c r="AR101" t="str">
        <f>IF($A101&gt;AR$79,"",IF(T&lt;=AR$11,"",100*h*MAX((EXP(IRTree!AR35*h)-1)/h -$D$6,0)))</f>
        <v/>
      </c>
      <c r="AS101" t="str">
        <f>IF($A101&gt;AS$79,"",IF(T&lt;=AS$11,"",100*h*MAX((EXP(IRTree!AS35*h)-1)/h -$D$6,0)))</f>
        <v/>
      </c>
      <c r="AT101" t="str">
        <f>IF($A101&gt;AT$79,"",IF(T&lt;=AT$11,"",100*h*MAX((EXP(IRTree!AT35*h)-1)/h -$D$6,0)))</f>
        <v/>
      </c>
      <c r="AU101" t="str">
        <f>IF($A101&gt;AU$79,"",IF(T&lt;=AU$11,"",100*h*MAX((EXP(IRTree!AU35*h)-1)/h -$D$6,0)))</f>
        <v/>
      </c>
      <c r="AV101" t="str">
        <f>IF($A101&gt;AV$79,"",IF(T&lt;=AV$11,"",100*h*MAX((EXP(IRTree!AV35*h)-1)/h -$D$6,0)))</f>
        <v/>
      </c>
      <c r="AW101" t="str">
        <f>IF($A101&gt;AW$79,"",IF(T&lt;=AW$11,"",100*h*MAX((EXP(IRTree!AW35*h)-1)/h -$D$6,0)))</f>
        <v/>
      </c>
      <c r="AX101" t="str">
        <f>IF($A101&gt;AX$79,"",IF(T&lt;=AX$11,"",100*h*MAX((EXP(IRTree!AX35*h)-1)/h -$D$6,0)))</f>
        <v/>
      </c>
      <c r="AY101" t="str">
        <f>IF($A101&gt;AY$79,"",IF(T&lt;=AY$11,"",100*h*MAX((EXP(IRTree!AY35*h)-1)/h -$D$6,0)))</f>
        <v/>
      </c>
      <c r="AZ101" t="str">
        <f>IF($A101&gt;AZ$79,"",IF(T&lt;=AZ$11,"",100*h*MAX((EXP(IRTree!AZ35*h)-1)/h -$D$6,0)))</f>
        <v/>
      </c>
      <c r="BA101" t="str">
        <f>IF($A101&gt;BA$79,"",IF(T&lt;=BA$11,"",100*h*MAX((EXP(IRTree!BA35*h)-1)/h -$D$6,0)))</f>
        <v/>
      </c>
      <c r="BB101" t="str">
        <f>IF($A101&gt;BB$79,"",IF(T&lt;=BB$11,"",100*h*MAX((EXP(IRTree!BB35*h)-1)/h -$D$6,0)))</f>
        <v/>
      </c>
      <c r="BC101" t="str">
        <f>IF($A101&gt;BC$79,"",IF(T&lt;=BC$11,"",100*h*MAX((EXP(IRTree!BC35*h)-1)/h -$D$6,0)))</f>
        <v/>
      </c>
      <c r="BD101" t="str">
        <f>IF($A101&gt;BD$79,"",IF(T&lt;=BD$11,"",100*h*MAX((EXP(IRTree!BD35*h)-1)/h -$D$6,0)))</f>
        <v/>
      </c>
      <c r="BE101" t="str">
        <f>IF($A101&gt;BE$79,"",IF(T&lt;=BE$11,"",100*h*MAX((EXP(IRTree!BE35*h)-1)/h -$D$6,0)))</f>
        <v/>
      </c>
      <c r="BF101" t="str">
        <f>IF($A101&gt;BF$79,"",IF(T&lt;=BF$11,"",100*h*MAX((EXP(IRTree!BF35*h)-1)/h -$D$6,0)))</f>
        <v/>
      </c>
      <c r="BG101" t="str">
        <f>IF($A101&gt;BG$79,"",IF(T&lt;=BG$11,"",100*h*MAX((EXP(IRTree!BG35*h)-1)/h -$D$6,0)))</f>
        <v/>
      </c>
      <c r="BH101" t="str">
        <f>IF($A101&gt;BH$79,"",IF(T&lt;=BH$11,"",100*h*MAX((EXP(IRTree!BH35*h)-1)/h -$D$6,0)))</f>
        <v/>
      </c>
      <c r="BI101" t="str">
        <f>IF($A101&gt;BI$79,"",IF(T&lt;=BI$11,"",100*h*MAX((EXP(IRTree!BI35*h)-1)/h -$D$6,0)))</f>
        <v/>
      </c>
      <c r="BJ101" t="str">
        <f>IF($A101&gt;BJ$79,"",IF(T&lt;=BJ$11,"",100*h*MAX((EXP(IRTree!BJ35*h)-1)/h -$D$6,0)))</f>
        <v/>
      </c>
    </row>
    <row r="102" spans="1:62">
      <c r="A102" s="22">
        <f t="shared" si="5"/>
        <v>22</v>
      </c>
      <c r="B102" t="str">
        <f>IF($A102&gt;B$79,"",IF(T&lt;=B$11,"",100*h*MAX((EXP(IRTree!B36*h)-1)/h -$D$6,0)))</f>
        <v/>
      </c>
      <c r="C102" t="str">
        <f>IF($A102&gt;C$79,"",IF(T&lt;=C$11,"",100*h*MAX((EXP(IRTree!C36*h)-1)/h -$D$6,0)))</f>
        <v/>
      </c>
      <c r="D102" t="str">
        <f>IF($A102&gt;D$79,"",IF(T&lt;=D$11,"",100*h*MAX((EXP(IRTree!D36*h)-1)/h -$D$6,0)))</f>
        <v/>
      </c>
      <c r="E102" t="str">
        <f>IF($A102&gt;E$79,"",IF(T&lt;=E$11,"",100*h*MAX((EXP(IRTree!E36*h)-1)/h -$D$6,0)))</f>
        <v/>
      </c>
      <c r="F102" t="str">
        <f>IF($A102&gt;F$79,"",IF(T&lt;=F$11,"",100*h*MAX((EXP(IRTree!F36*h)-1)/h -$D$6,0)))</f>
        <v/>
      </c>
      <c r="G102" t="str">
        <f>IF($A102&gt;G$79,"",IF(T&lt;=G$11,"",100*h*MAX((EXP(IRTree!G36*h)-1)/h -$D$6,0)))</f>
        <v/>
      </c>
      <c r="H102" t="str">
        <f>IF($A102&gt;H$79,"",IF(T&lt;=H$11,"",100*h*MAX((EXP(IRTree!H36*h)-1)/h -$D$6,0)))</f>
        <v/>
      </c>
      <c r="I102" t="str">
        <f>IF($A102&gt;I$79,"",IF(T&lt;=I$11,"",100*h*MAX((EXP(IRTree!I36*h)-1)/h -$D$6,0)))</f>
        <v/>
      </c>
      <c r="J102" t="str">
        <f>IF($A102&gt;J$79,"",IF(T&lt;=J$11,"",100*h*MAX((EXP(IRTree!J36*h)-1)/h -$D$6,0)))</f>
        <v/>
      </c>
      <c r="K102" t="str">
        <f>IF($A102&gt;K$79,"",IF(T&lt;=K$11,"",100*h*MAX((EXP(IRTree!K36*h)-1)/h -$D$6,0)))</f>
        <v/>
      </c>
      <c r="L102" t="str">
        <f>IF($A102&gt;L$79,"",IF(T&lt;=L$11,"",100*h*MAX((EXP(IRTree!L36*h)-1)/h -$D$6,0)))</f>
        <v/>
      </c>
      <c r="M102" t="str">
        <f>IF($A102&gt;M$79,"",IF(T&lt;=M$11,"",100*h*MAX((EXP(IRTree!M36*h)-1)/h -$D$6,0)))</f>
        <v/>
      </c>
      <c r="N102" t="str">
        <f>IF($A102&gt;N$79,"",IF(T&lt;=N$11,"",100*h*MAX((EXP(IRTree!N36*h)-1)/h -$D$6,0)))</f>
        <v/>
      </c>
      <c r="O102" t="str">
        <f>IF($A102&gt;O$79,"",IF(T&lt;=O$11,"",100*h*MAX((EXP(IRTree!O36*h)-1)/h -$D$6,0)))</f>
        <v/>
      </c>
      <c r="P102" t="str">
        <f>IF($A102&gt;P$79,"",IF(T&lt;=P$11,"",100*h*MAX((EXP(IRTree!P36*h)-1)/h -$D$6,0)))</f>
        <v/>
      </c>
      <c r="Q102" t="str">
        <f>IF($A102&gt;Q$79,"",IF(T&lt;=Q$11,"",100*h*MAX((EXP(IRTree!Q36*h)-1)/h -$D$6,0)))</f>
        <v/>
      </c>
      <c r="R102" t="str">
        <f>IF($A102&gt;R$79,"",IF(T&lt;=R$11,"",100*h*MAX((EXP(IRTree!R36*h)-1)/h -$D$6,0)))</f>
        <v/>
      </c>
      <c r="S102" t="str">
        <f>IF($A102&gt;S$79,"",IF(T&lt;=S$11,"",100*h*MAX((EXP(IRTree!S36*h)-1)/h -$D$6,0)))</f>
        <v/>
      </c>
      <c r="T102" t="str">
        <f>IF($A102&gt;T$79,"",IF(T&lt;=T$11,"",100*h*MAX((EXP(IRTree!T36*h)-1)/h -$D$6,0)))</f>
        <v/>
      </c>
      <c r="U102" t="str">
        <f>IF($A102&gt;U$79,"",IF(T&lt;=U$11,"",100*h*MAX((EXP(IRTree!U36*h)-1)/h -$D$6,0)))</f>
        <v/>
      </c>
      <c r="V102" t="str">
        <f>IF($A102&gt;V$79,"",IF(T&lt;=V$11,"",100*h*MAX((EXP(IRTree!V36*h)-1)/h -$D$6,0)))</f>
        <v/>
      </c>
      <c r="W102" t="str">
        <f>IF($A102&gt;W$79,"",IF(T&lt;=W$11,"",100*h*MAX((EXP(IRTree!W36*h)-1)/h -$D$6,0)))</f>
        <v/>
      </c>
      <c r="X102">
        <f>IF($A102&gt;X$79,"",IF(T&lt;=X$11,"",100*h*MAX((EXP(IRTree!X36*h)-1)/h -$D$6,0)))</f>
        <v>0</v>
      </c>
      <c r="Y102">
        <f>IF($A102&gt;Y$79,"",IF(T&lt;=Y$11,"",100*h*MAX((EXP(IRTree!Y36*h)-1)/h -$D$6,0)))</f>
        <v>0</v>
      </c>
      <c r="Z102">
        <f>IF($A102&gt;Z$79,"",IF(T&lt;=Z$11,"",100*h*MAX((EXP(IRTree!Z36*h)-1)/h -$D$6,0)))</f>
        <v>0</v>
      </c>
      <c r="AA102">
        <f>IF($A102&gt;AA$79,"",IF(T&lt;=AA$11,"",100*h*MAX((EXP(IRTree!AA36*h)-1)/h -$D$6,0)))</f>
        <v>0</v>
      </c>
      <c r="AB102">
        <f>IF($A102&gt;AB$79,"",IF(T&lt;=AB$11,"",100*h*MAX((EXP(IRTree!AB36*h)-1)/h -$D$6,0)))</f>
        <v>0</v>
      </c>
      <c r="AC102">
        <f>IF($A102&gt;AC$79,"",IF(T&lt;=AC$11,"",100*h*MAX((EXP(IRTree!AC36*h)-1)/h -$D$6,0)))</f>
        <v>0</v>
      </c>
      <c r="AD102">
        <f>IF($A102&gt;AD$79,"",IF(T&lt;=AD$11,"",100*h*MAX((EXP(IRTree!AD36*h)-1)/h -$D$6,0)))</f>
        <v>0</v>
      </c>
      <c r="AE102">
        <f>IF($A102&gt;AE$79,"",IF(T&lt;=AE$11,"",100*h*MAX((EXP(IRTree!AE36*h)-1)/h -$D$6,0)))</f>
        <v>0</v>
      </c>
      <c r="AF102">
        <f>IF($A102&gt;AF$79,"",IF(T&lt;=AF$11,"",100*h*MAX((EXP(IRTree!AF36*h)-1)/h -$D$6,0)))</f>
        <v>0</v>
      </c>
      <c r="AG102">
        <f>IF($A102&gt;AG$79,"",IF(T&lt;=AG$11,"",100*h*MAX((EXP(IRTree!AG36*h)-1)/h -$D$6,0)))</f>
        <v>0</v>
      </c>
      <c r="AH102">
        <f>IF($A102&gt;AH$79,"",IF(T&lt;=AH$11,"",100*h*MAX((EXP(IRTree!AH36*h)-1)/h -$D$6,0)))</f>
        <v>0</v>
      </c>
      <c r="AI102">
        <f>IF($A102&gt;AI$79,"",IF(T&lt;=AI$11,"",100*h*MAX((EXP(IRTree!AI36*h)-1)/h -$D$6,0)))</f>
        <v>0</v>
      </c>
      <c r="AJ102">
        <f>IF($A102&gt;AJ$79,"",IF(T&lt;=AJ$11,"",100*h*MAX((EXP(IRTree!AJ36*h)-1)/h -$D$6,0)))</f>
        <v>0</v>
      </c>
      <c r="AK102">
        <f>IF($A102&gt;AK$79,"",IF(T&lt;=AK$11,"",100*h*MAX((EXP(IRTree!AK36*h)-1)/h -$D$6,0)))</f>
        <v>0</v>
      </c>
      <c r="AL102">
        <f>IF($A102&gt;AL$79,"",IF(T&lt;=AL$11,"",100*h*MAX((EXP(IRTree!AL36*h)-1)/h -$D$6,0)))</f>
        <v>0</v>
      </c>
      <c r="AM102">
        <f>IF($A102&gt;AM$79,"",IF(T&lt;=AM$11,"",100*h*MAX((EXP(IRTree!AM36*h)-1)/h -$D$6,0)))</f>
        <v>0</v>
      </c>
      <c r="AN102">
        <f>IF($A102&gt;AN$79,"",IF(T&lt;=AN$11,"",100*h*MAX((EXP(IRTree!AN36*h)-1)/h -$D$6,0)))</f>
        <v>0</v>
      </c>
      <c r="AO102">
        <f>IF($A102&gt;AO$79,"",IF(T&lt;=AO$11,"",100*h*MAX((EXP(IRTree!AO36*h)-1)/h -$D$6,0)))</f>
        <v>0</v>
      </c>
      <c r="AP102" t="str">
        <f>IF($A102&gt;AP$79,"",IF(T&lt;=AP$11,"",100*h*MAX((EXP(IRTree!AP36*h)-1)/h -$D$6,0)))</f>
        <v/>
      </c>
      <c r="AQ102" t="str">
        <f>IF($A102&gt;AQ$79,"",IF(T&lt;=AQ$11,"",100*h*MAX((EXP(IRTree!AQ36*h)-1)/h -$D$6,0)))</f>
        <v/>
      </c>
      <c r="AR102" t="str">
        <f>IF($A102&gt;AR$79,"",IF(T&lt;=AR$11,"",100*h*MAX((EXP(IRTree!AR36*h)-1)/h -$D$6,0)))</f>
        <v/>
      </c>
      <c r="AS102" t="str">
        <f>IF($A102&gt;AS$79,"",IF(T&lt;=AS$11,"",100*h*MAX((EXP(IRTree!AS36*h)-1)/h -$D$6,0)))</f>
        <v/>
      </c>
      <c r="AT102" t="str">
        <f>IF($A102&gt;AT$79,"",IF(T&lt;=AT$11,"",100*h*MAX((EXP(IRTree!AT36*h)-1)/h -$D$6,0)))</f>
        <v/>
      </c>
      <c r="AU102" t="str">
        <f>IF($A102&gt;AU$79,"",IF(T&lt;=AU$11,"",100*h*MAX((EXP(IRTree!AU36*h)-1)/h -$D$6,0)))</f>
        <v/>
      </c>
      <c r="AV102" t="str">
        <f>IF($A102&gt;AV$79,"",IF(T&lt;=AV$11,"",100*h*MAX((EXP(IRTree!AV36*h)-1)/h -$D$6,0)))</f>
        <v/>
      </c>
      <c r="AW102" t="str">
        <f>IF($A102&gt;AW$79,"",IF(T&lt;=AW$11,"",100*h*MAX((EXP(IRTree!AW36*h)-1)/h -$D$6,0)))</f>
        <v/>
      </c>
      <c r="AX102" t="str">
        <f>IF($A102&gt;AX$79,"",IF(T&lt;=AX$11,"",100*h*MAX((EXP(IRTree!AX36*h)-1)/h -$D$6,0)))</f>
        <v/>
      </c>
      <c r="AY102" t="str">
        <f>IF($A102&gt;AY$79,"",IF(T&lt;=AY$11,"",100*h*MAX((EXP(IRTree!AY36*h)-1)/h -$D$6,0)))</f>
        <v/>
      </c>
      <c r="AZ102" t="str">
        <f>IF($A102&gt;AZ$79,"",IF(T&lt;=AZ$11,"",100*h*MAX((EXP(IRTree!AZ36*h)-1)/h -$D$6,0)))</f>
        <v/>
      </c>
      <c r="BA102" t="str">
        <f>IF($A102&gt;BA$79,"",IF(T&lt;=BA$11,"",100*h*MAX((EXP(IRTree!BA36*h)-1)/h -$D$6,0)))</f>
        <v/>
      </c>
      <c r="BB102" t="str">
        <f>IF($A102&gt;BB$79,"",IF(T&lt;=BB$11,"",100*h*MAX((EXP(IRTree!BB36*h)-1)/h -$D$6,0)))</f>
        <v/>
      </c>
      <c r="BC102" t="str">
        <f>IF($A102&gt;BC$79,"",IF(T&lt;=BC$11,"",100*h*MAX((EXP(IRTree!BC36*h)-1)/h -$D$6,0)))</f>
        <v/>
      </c>
      <c r="BD102" t="str">
        <f>IF($A102&gt;BD$79,"",IF(T&lt;=BD$11,"",100*h*MAX((EXP(IRTree!BD36*h)-1)/h -$D$6,0)))</f>
        <v/>
      </c>
      <c r="BE102" t="str">
        <f>IF($A102&gt;BE$79,"",IF(T&lt;=BE$11,"",100*h*MAX((EXP(IRTree!BE36*h)-1)/h -$D$6,0)))</f>
        <v/>
      </c>
      <c r="BF102" t="str">
        <f>IF($A102&gt;BF$79,"",IF(T&lt;=BF$11,"",100*h*MAX((EXP(IRTree!BF36*h)-1)/h -$D$6,0)))</f>
        <v/>
      </c>
      <c r="BG102" t="str">
        <f>IF($A102&gt;BG$79,"",IF(T&lt;=BG$11,"",100*h*MAX((EXP(IRTree!BG36*h)-1)/h -$D$6,0)))</f>
        <v/>
      </c>
      <c r="BH102" t="str">
        <f>IF($A102&gt;BH$79,"",IF(T&lt;=BH$11,"",100*h*MAX((EXP(IRTree!BH36*h)-1)/h -$D$6,0)))</f>
        <v/>
      </c>
      <c r="BI102" t="str">
        <f>IF($A102&gt;BI$79,"",IF(T&lt;=BI$11,"",100*h*MAX((EXP(IRTree!BI36*h)-1)/h -$D$6,0)))</f>
        <v/>
      </c>
      <c r="BJ102" t="str">
        <f>IF($A102&gt;BJ$79,"",IF(T&lt;=BJ$11,"",100*h*MAX((EXP(IRTree!BJ36*h)-1)/h -$D$6,0)))</f>
        <v/>
      </c>
    </row>
    <row r="103" spans="1:62">
      <c r="A103" s="22">
        <f t="shared" si="5"/>
        <v>23</v>
      </c>
      <c r="B103" t="str">
        <f>IF($A103&gt;B$79,"",IF(T&lt;=B$11,"",100*h*MAX((EXP(IRTree!B37*h)-1)/h -$D$6,0)))</f>
        <v/>
      </c>
      <c r="C103" t="str">
        <f>IF($A103&gt;C$79,"",IF(T&lt;=C$11,"",100*h*MAX((EXP(IRTree!C37*h)-1)/h -$D$6,0)))</f>
        <v/>
      </c>
      <c r="D103" t="str">
        <f>IF($A103&gt;D$79,"",IF(T&lt;=D$11,"",100*h*MAX((EXP(IRTree!D37*h)-1)/h -$D$6,0)))</f>
        <v/>
      </c>
      <c r="E103" t="str">
        <f>IF($A103&gt;E$79,"",IF(T&lt;=E$11,"",100*h*MAX((EXP(IRTree!E37*h)-1)/h -$D$6,0)))</f>
        <v/>
      </c>
      <c r="F103" t="str">
        <f>IF($A103&gt;F$79,"",IF(T&lt;=F$11,"",100*h*MAX((EXP(IRTree!F37*h)-1)/h -$D$6,0)))</f>
        <v/>
      </c>
      <c r="G103" t="str">
        <f>IF($A103&gt;G$79,"",IF(T&lt;=G$11,"",100*h*MAX((EXP(IRTree!G37*h)-1)/h -$D$6,0)))</f>
        <v/>
      </c>
      <c r="H103" t="str">
        <f>IF($A103&gt;H$79,"",IF(T&lt;=H$11,"",100*h*MAX((EXP(IRTree!H37*h)-1)/h -$D$6,0)))</f>
        <v/>
      </c>
      <c r="I103" t="str">
        <f>IF($A103&gt;I$79,"",IF(T&lt;=I$11,"",100*h*MAX((EXP(IRTree!I37*h)-1)/h -$D$6,0)))</f>
        <v/>
      </c>
      <c r="J103" t="str">
        <f>IF($A103&gt;J$79,"",IF(T&lt;=J$11,"",100*h*MAX((EXP(IRTree!J37*h)-1)/h -$D$6,0)))</f>
        <v/>
      </c>
      <c r="K103" t="str">
        <f>IF($A103&gt;K$79,"",IF(T&lt;=K$11,"",100*h*MAX((EXP(IRTree!K37*h)-1)/h -$D$6,0)))</f>
        <v/>
      </c>
      <c r="L103" t="str">
        <f>IF($A103&gt;L$79,"",IF(T&lt;=L$11,"",100*h*MAX((EXP(IRTree!L37*h)-1)/h -$D$6,0)))</f>
        <v/>
      </c>
      <c r="M103" t="str">
        <f>IF($A103&gt;M$79,"",IF(T&lt;=M$11,"",100*h*MAX((EXP(IRTree!M37*h)-1)/h -$D$6,0)))</f>
        <v/>
      </c>
      <c r="N103" t="str">
        <f>IF($A103&gt;N$79,"",IF(T&lt;=N$11,"",100*h*MAX((EXP(IRTree!N37*h)-1)/h -$D$6,0)))</f>
        <v/>
      </c>
      <c r="O103" t="str">
        <f>IF($A103&gt;O$79,"",IF(T&lt;=O$11,"",100*h*MAX((EXP(IRTree!O37*h)-1)/h -$D$6,0)))</f>
        <v/>
      </c>
      <c r="P103" t="str">
        <f>IF($A103&gt;P$79,"",IF(T&lt;=P$11,"",100*h*MAX((EXP(IRTree!P37*h)-1)/h -$D$6,0)))</f>
        <v/>
      </c>
      <c r="Q103" t="str">
        <f>IF($A103&gt;Q$79,"",IF(T&lt;=Q$11,"",100*h*MAX((EXP(IRTree!Q37*h)-1)/h -$D$6,0)))</f>
        <v/>
      </c>
      <c r="R103" t="str">
        <f>IF($A103&gt;R$79,"",IF(T&lt;=R$11,"",100*h*MAX((EXP(IRTree!R37*h)-1)/h -$D$6,0)))</f>
        <v/>
      </c>
      <c r="S103" t="str">
        <f>IF($A103&gt;S$79,"",IF(T&lt;=S$11,"",100*h*MAX((EXP(IRTree!S37*h)-1)/h -$D$6,0)))</f>
        <v/>
      </c>
      <c r="T103" t="str">
        <f>IF($A103&gt;T$79,"",IF(T&lt;=T$11,"",100*h*MAX((EXP(IRTree!T37*h)-1)/h -$D$6,0)))</f>
        <v/>
      </c>
      <c r="U103" t="str">
        <f>IF($A103&gt;U$79,"",IF(T&lt;=U$11,"",100*h*MAX((EXP(IRTree!U37*h)-1)/h -$D$6,0)))</f>
        <v/>
      </c>
      <c r="V103" t="str">
        <f>IF($A103&gt;V$79,"",IF(T&lt;=V$11,"",100*h*MAX((EXP(IRTree!V37*h)-1)/h -$D$6,0)))</f>
        <v/>
      </c>
      <c r="W103" t="str">
        <f>IF($A103&gt;W$79,"",IF(T&lt;=W$11,"",100*h*MAX((EXP(IRTree!W37*h)-1)/h -$D$6,0)))</f>
        <v/>
      </c>
      <c r="X103" t="str">
        <f>IF($A103&gt;X$79,"",IF(T&lt;=X$11,"",100*h*MAX((EXP(IRTree!X37*h)-1)/h -$D$6,0)))</f>
        <v/>
      </c>
      <c r="Y103">
        <f>IF($A103&gt;Y$79,"",IF(T&lt;=Y$11,"",100*h*MAX((EXP(IRTree!Y37*h)-1)/h -$D$6,0)))</f>
        <v>0</v>
      </c>
      <c r="Z103">
        <f>IF($A103&gt;Z$79,"",IF(T&lt;=Z$11,"",100*h*MAX((EXP(IRTree!Z37*h)-1)/h -$D$6,0)))</f>
        <v>0</v>
      </c>
      <c r="AA103">
        <f>IF($A103&gt;AA$79,"",IF(T&lt;=AA$11,"",100*h*MAX((EXP(IRTree!AA37*h)-1)/h -$D$6,0)))</f>
        <v>0</v>
      </c>
      <c r="AB103">
        <f>IF($A103&gt;AB$79,"",IF(T&lt;=AB$11,"",100*h*MAX((EXP(IRTree!AB37*h)-1)/h -$D$6,0)))</f>
        <v>0</v>
      </c>
      <c r="AC103">
        <f>IF($A103&gt;AC$79,"",IF(T&lt;=AC$11,"",100*h*MAX((EXP(IRTree!AC37*h)-1)/h -$D$6,0)))</f>
        <v>0</v>
      </c>
      <c r="AD103">
        <f>IF($A103&gt;AD$79,"",IF(T&lt;=AD$11,"",100*h*MAX((EXP(IRTree!AD37*h)-1)/h -$D$6,0)))</f>
        <v>0</v>
      </c>
      <c r="AE103">
        <f>IF($A103&gt;AE$79,"",IF(T&lt;=AE$11,"",100*h*MAX((EXP(IRTree!AE37*h)-1)/h -$D$6,0)))</f>
        <v>0</v>
      </c>
      <c r="AF103">
        <f>IF($A103&gt;AF$79,"",IF(T&lt;=AF$11,"",100*h*MAX((EXP(IRTree!AF37*h)-1)/h -$D$6,0)))</f>
        <v>0</v>
      </c>
      <c r="AG103">
        <f>IF($A103&gt;AG$79,"",IF(T&lt;=AG$11,"",100*h*MAX((EXP(IRTree!AG37*h)-1)/h -$D$6,0)))</f>
        <v>0</v>
      </c>
      <c r="AH103">
        <f>IF($A103&gt;AH$79,"",IF(T&lt;=AH$11,"",100*h*MAX((EXP(IRTree!AH37*h)-1)/h -$D$6,0)))</f>
        <v>0</v>
      </c>
      <c r="AI103">
        <f>IF($A103&gt;AI$79,"",IF(T&lt;=AI$11,"",100*h*MAX((EXP(IRTree!AI37*h)-1)/h -$D$6,0)))</f>
        <v>0</v>
      </c>
      <c r="AJ103">
        <f>IF($A103&gt;AJ$79,"",IF(T&lt;=AJ$11,"",100*h*MAX((EXP(IRTree!AJ37*h)-1)/h -$D$6,0)))</f>
        <v>0</v>
      </c>
      <c r="AK103">
        <f>IF($A103&gt;AK$79,"",IF(T&lt;=AK$11,"",100*h*MAX((EXP(IRTree!AK37*h)-1)/h -$D$6,0)))</f>
        <v>0</v>
      </c>
      <c r="AL103">
        <f>IF($A103&gt;AL$79,"",IF(T&lt;=AL$11,"",100*h*MAX((EXP(IRTree!AL37*h)-1)/h -$D$6,0)))</f>
        <v>0</v>
      </c>
      <c r="AM103">
        <f>IF($A103&gt;AM$79,"",IF(T&lt;=AM$11,"",100*h*MAX((EXP(IRTree!AM37*h)-1)/h -$D$6,0)))</f>
        <v>0</v>
      </c>
      <c r="AN103">
        <f>IF($A103&gt;AN$79,"",IF(T&lt;=AN$11,"",100*h*MAX((EXP(IRTree!AN37*h)-1)/h -$D$6,0)))</f>
        <v>0</v>
      </c>
      <c r="AO103">
        <f>IF($A103&gt;AO$79,"",IF(T&lt;=AO$11,"",100*h*MAX((EXP(IRTree!AO37*h)-1)/h -$D$6,0)))</f>
        <v>0</v>
      </c>
      <c r="AP103" t="str">
        <f>IF($A103&gt;AP$79,"",IF(T&lt;=AP$11,"",100*h*MAX((EXP(IRTree!AP37*h)-1)/h -$D$6,0)))</f>
        <v/>
      </c>
      <c r="AQ103" t="str">
        <f>IF($A103&gt;AQ$79,"",IF(T&lt;=AQ$11,"",100*h*MAX((EXP(IRTree!AQ37*h)-1)/h -$D$6,0)))</f>
        <v/>
      </c>
      <c r="AR103" t="str">
        <f>IF($A103&gt;AR$79,"",IF(T&lt;=AR$11,"",100*h*MAX((EXP(IRTree!AR37*h)-1)/h -$D$6,0)))</f>
        <v/>
      </c>
      <c r="AS103" t="str">
        <f>IF($A103&gt;AS$79,"",IF(T&lt;=AS$11,"",100*h*MAX((EXP(IRTree!AS37*h)-1)/h -$D$6,0)))</f>
        <v/>
      </c>
      <c r="AT103" t="str">
        <f>IF($A103&gt;AT$79,"",IF(T&lt;=AT$11,"",100*h*MAX((EXP(IRTree!AT37*h)-1)/h -$D$6,0)))</f>
        <v/>
      </c>
      <c r="AU103" t="str">
        <f>IF($A103&gt;AU$79,"",IF(T&lt;=AU$11,"",100*h*MAX((EXP(IRTree!AU37*h)-1)/h -$D$6,0)))</f>
        <v/>
      </c>
      <c r="AV103" t="str">
        <f>IF($A103&gt;AV$79,"",IF(T&lt;=AV$11,"",100*h*MAX((EXP(IRTree!AV37*h)-1)/h -$D$6,0)))</f>
        <v/>
      </c>
      <c r="AW103" t="str">
        <f>IF($A103&gt;AW$79,"",IF(T&lt;=AW$11,"",100*h*MAX((EXP(IRTree!AW37*h)-1)/h -$D$6,0)))</f>
        <v/>
      </c>
      <c r="AX103" t="str">
        <f>IF($A103&gt;AX$79,"",IF(T&lt;=AX$11,"",100*h*MAX((EXP(IRTree!AX37*h)-1)/h -$D$6,0)))</f>
        <v/>
      </c>
      <c r="AY103" t="str">
        <f>IF($A103&gt;AY$79,"",IF(T&lt;=AY$11,"",100*h*MAX((EXP(IRTree!AY37*h)-1)/h -$D$6,0)))</f>
        <v/>
      </c>
      <c r="AZ103" t="str">
        <f>IF($A103&gt;AZ$79,"",IF(T&lt;=AZ$11,"",100*h*MAX((EXP(IRTree!AZ37*h)-1)/h -$D$6,0)))</f>
        <v/>
      </c>
      <c r="BA103" t="str">
        <f>IF($A103&gt;BA$79,"",IF(T&lt;=BA$11,"",100*h*MAX((EXP(IRTree!BA37*h)-1)/h -$D$6,0)))</f>
        <v/>
      </c>
      <c r="BB103" t="str">
        <f>IF($A103&gt;BB$79,"",IF(T&lt;=BB$11,"",100*h*MAX((EXP(IRTree!BB37*h)-1)/h -$D$6,0)))</f>
        <v/>
      </c>
      <c r="BC103" t="str">
        <f>IF($A103&gt;BC$79,"",IF(T&lt;=BC$11,"",100*h*MAX((EXP(IRTree!BC37*h)-1)/h -$D$6,0)))</f>
        <v/>
      </c>
      <c r="BD103" t="str">
        <f>IF($A103&gt;BD$79,"",IF(T&lt;=BD$11,"",100*h*MAX((EXP(IRTree!BD37*h)-1)/h -$D$6,0)))</f>
        <v/>
      </c>
      <c r="BE103" t="str">
        <f>IF($A103&gt;BE$79,"",IF(T&lt;=BE$11,"",100*h*MAX((EXP(IRTree!BE37*h)-1)/h -$D$6,0)))</f>
        <v/>
      </c>
      <c r="BF103" t="str">
        <f>IF($A103&gt;BF$79,"",IF(T&lt;=BF$11,"",100*h*MAX((EXP(IRTree!BF37*h)-1)/h -$D$6,0)))</f>
        <v/>
      </c>
      <c r="BG103" t="str">
        <f>IF($A103&gt;BG$79,"",IF(T&lt;=BG$11,"",100*h*MAX((EXP(IRTree!BG37*h)-1)/h -$D$6,0)))</f>
        <v/>
      </c>
      <c r="BH103" t="str">
        <f>IF($A103&gt;BH$79,"",IF(T&lt;=BH$11,"",100*h*MAX((EXP(IRTree!BH37*h)-1)/h -$D$6,0)))</f>
        <v/>
      </c>
      <c r="BI103" t="str">
        <f>IF($A103&gt;BI$79,"",IF(T&lt;=BI$11,"",100*h*MAX((EXP(IRTree!BI37*h)-1)/h -$D$6,0)))</f>
        <v/>
      </c>
      <c r="BJ103" t="str">
        <f>IF($A103&gt;BJ$79,"",IF(T&lt;=BJ$11,"",100*h*MAX((EXP(IRTree!BJ37*h)-1)/h -$D$6,0)))</f>
        <v/>
      </c>
    </row>
    <row r="104" spans="1:62">
      <c r="A104" s="22">
        <f t="shared" si="5"/>
        <v>24</v>
      </c>
      <c r="B104" t="str">
        <f>IF($A104&gt;B$79,"",IF(T&lt;=B$11,"",100*h*MAX((EXP(IRTree!B38*h)-1)/h -$D$6,0)))</f>
        <v/>
      </c>
      <c r="C104" t="str">
        <f>IF($A104&gt;C$79,"",IF(T&lt;=C$11,"",100*h*MAX((EXP(IRTree!C38*h)-1)/h -$D$6,0)))</f>
        <v/>
      </c>
      <c r="D104" t="str">
        <f>IF($A104&gt;D$79,"",IF(T&lt;=D$11,"",100*h*MAX((EXP(IRTree!D38*h)-1)/h -$D$6,0)))</f>
        <v/>
      </c>
      <c r="E104" t="str">
        <f>IF($A104&gt;E$79,"",IF(T&lt;=E$11,"",100*h*MAX((EXP(IRTree!E38*h)-1)/h -$D$6,0)))</f>
        <v/>
      </c>
      <c r="F104" t="str">
        <f>IF($A104&gt;F$79,"",IF(T&lt;=F$11,"",100*h*MAX((EXP(IRTree!F38*h)-1)/h -$D$6,0)))</f>
        <v/>
      </c>
      <c r="G104" t="str">
        <f>IF($A104&gt;G$79,"",IF(T&lt;=G$11,"",100*h*MAX((EXP(IRTree!G38*h)-1)/h -$D$6,0)))</f>
        <v/>
      </c>
      <c r="H104" t="str">
        <f>IF($A104&gt;H$79,"",IF(T&lt;=H$11,"",100*h*MAX((EXP(IRTree!H38*h)-1)/h -$D$6,0)))</f>
        <v/>
      </c>
      <c r="I104" t="str">
        <f>IF($A104&gt;I$79,"",IF(T&lt;=I$11,"",100*h*MAX((EXP(IRTree!I38*h)-1)/h -$D$6,0)))</f>
        <v/>
      </c>
      <c r="J104" t="str">
        <f>IF($A104&gt;J$79,"",IF(T&lt;=J$11,"",100*h*MAX((EXP(IRTree!J38*h)-1)/h -$D$6,0)))</f>
        <v/>
      </c>
      <c r="K104" t="str">
        <f>IF($A104&gt;K$79,"",IF(T&lt;=K$11,"",100*h*MAX((EXP(IRTree!K38*h)-1)/h -$D$6,0)))</f>
        <v/>
      </c>
      <c r="L104" t="str">
        <f>IF($A104&gt;L$79,"",IF(T&lt;=L$11,"",100*h*MAX((EXP(IRTree!L38*h)-1)/h -$D$6,0)))</f>
        <v/>
      </c>
      <c r="M104" t="str">
        <f>IF($A104&gt;M$79,"",IF(T&lt;=M$11,"",100*h*MAX((EXP(IRTree!M38*h)-1)/h -$D$6,0)))</f>
        <v/>
      </c>
      <c r="N104" t="str">
        <f>IF($A104&gt;N$79,"",IF(T&lt;=N$11,"",100*h*MAX((EXP(IRTree!N38*h)-1)/h -$D$6,0)))</f>
        <v/>
      </c>
      <c r="O104" t="str">
        <f>IF($A104&gt;O$79,"",IF(T&lt;=O$11,"",100*h*MAX((EXP(IRTree!O38*h)-1)/h -$D$6,0)))</f>
        <v/>
      </c>
      <c r="P104" t="str">
        <f>IF($A104&gt;P$79,"",IF(T&lt;=P$11,"",100*h*MAX((EXP(IRTree!P38*h)-1)/h -$D$6,0)))</f>
        <v/>
      </c>
      <c r="Q104" t="str">
        <f>IF($A104&gt;Q$79,"",IF(T&lt;=Q$11,"",100*h*MAX((EXP(IRTree!Q38*h)-1)/h -$D$6,0)))</f>
        <v/>
      </c>
      <c r="R104" t="str">
        <f>IF($A104&gt;R$79,"",IF(T&lt;=R$11,"",100*h*MAX((EXP(IRTree!R38*h)-1)/h -$D$6,0)))</f>
        <v/>
      </c>
      <c r="S104" t="str">
        <f>IF($A104&gt;S$79,"",IF(T&lt;=S$11,"",100*h*MAX((EXP(IRTree!S38*h)-1)/h -$D$6,0)))</f>
        <v/>
      </c>
      <c r="T104" t="str">
        <f>IF($A104&gt;T$79,"",IF(T&lt;=T$11,"",100*h*MAX((EXP(IRTree!T38*h)-1)/h -$D$6,0)))</f>
        <v/>
      </c>
      <c r="U104" t="str">
        <f>IF($A104&gt;U$79,"",IF(T&lt;=U$11,"",100*h*MAX((EXP(IRTree!U38*h)-1)/h -$D$6,0)))</f>
        <v/>
      </c>
      <c r="V104" t="str">
        <f>IF($A104&gt;V$79,"",IF(T&lt;=V$11,"",100*h*MAX((EXP(IRTree!V38*h)-1)/h -$D$6,0)))</f>
        <v/>
      </c>
      <c r="W104" t="str">
        <f>IF($A104&gt;W$79,"",IF(T&lt;=W$11,"",100*h*MAX((EXP(IRTree!W38*h)-1)/h -$D$6,0)))</f>
        <v/>
      </c>
      <c r="X104" t="str">
        <f>IF($A104&gt;X$79,"",IF(T&lt;=X$11,"",100*h*MAX((EXP(IRTree!X38*h)-1)/h -$D$6,0)))</f>
        <v/>
      </c>
      <c r="Y104" t="str">
        <f>IF($A104&gt;Y$79,"",IF(T&lt;=Y$11,"",100*h*MAX((EXP(IRTree!Y38*h)-1)/h -$D$6,0)))</f>
        <v/>
      </c>
      <c r="Z104">
        <f>IF($A104&gt;Z$79,"",IF(T&lt;=Z$11,"",100*h*MAX((EXP(IRTree!Z38*h)-1)/h -$D$6,0)))</f>
        <v>0</v>
      </c>
      <c r="AA104">
        <f>IF($A104&gt;AA$79,"",IF(T&lt;=AA$11,"",100*h*MAX((EXP(IRTree!AA38*h)-1)/h -$D$6,0)))</f>
        <v>0</v>
      </c>
      <c r="AB104">
        <f>IF($A104&gt;AB$79,"",IF(T&lt;=AB$11,"",100*h*MAX((EXP(IRTree!AB38*h)-1)/h -$D$6,0)))</f>
        <v>0</v>
      </c>
      <c r="AC104">
        <f>IF($A104&gt;AC$79,"",IF(T&lt;=AC$11,"",100*h*MAX((EXP(IRTree!AC38*h)-1)/h -$D$6,0)))</f>
        <v>0</v>
      </c>
      <c r="AD104">
        <f>IF($A104&gt;AD$79,"",IF(T&lt;=AD$11,"",100*h*MAX((EXP(IRTree!AD38*h)-1)/h -$D$6,0)))</f>
        <v>0</v>
      </c>
      <c r="AE104">
        <f>IF($A104&gt;AE$79,"",IF(T&lt;=AE$11,"",100*h*MAX((EXP(IRTree!AE38*h)-1)/h -$D$6,0)))</f>
        <v>0</v>
      </c>
      <c r="AF104">
        <f>IF($A104&gt;AF$79,"",IF(T&lt;=AF$11,"",100*h*MAX((EXP(IRTree!AF38*h)-1)/h -$D$6,0)))</f>
        <v>0</v>
      </c>
      <c r="AG104">
        <f>IF($A104&gt;AG$79,"",IF(T&lt;=AG$11,"",100*h*MAX((EXP(IRTree!AG38*h)-1)/h -$D$6,0)))</f>
        <v>0</v>
      </c>
      <c r="AH104">
        <f>IF($A104&gt;AH$79,"",IF(T&lt;=AH$11,"",100*h*MAX((EXP(IRTree!AH38*h)-1)/h -$D$6,0)))</f>
        <v>0</v>
      </c>
      <c r="AI104">
        <f>IF($A104&gt;AI$79,"",IF(T&lt;=AI$11,"",100*h*MAX((EXP(IRTree!AI38*h)-1)/h -$D$6,0)))</f>
        <v>0</v>
      </c>
      <c r="AJ104">
        <f>IF($A104&gt;AJ$79,"",IF(T&lt;=AJ$11,"",100*h*MAX((EXP(IRTree!AJ38*h)-1)/h -$D$6,0)))</f>
        <v>0</v>
      </c>
      <c r="AK104">
        <f>IF($A104&gt;AK$79,"",IF(T&lt;=AK$11,"",100*h*MAX((EXP(IRTree!AK38*h)-1)/h -$D$6,0)))</f>
        <v>0</v>
      </c>
      <c r="AL104">
        <f>IF($A104&gt;AL$79,"",IF(T&lt;=AL$11,"",100*h*MAX((EXP(IRTree!AL38*h)-1)/h -$D$6,0)))</f>
        <v>0</v>
      </c>
      <c r="AM104">
        <f>IF($A104&gt;AM$79,"",IF(T&lt;=AM$11,"",100*h*MAX((EXP(IRTree!AM38*h)-1)/h -$D$6,0)))</f>
        <v>0</v>
      </c>
      <c r="AN104">
        <f>IF($A104&gt;AN$79,"",IF(T&lt;=AN$11,"",100*h*MAX((EXP(IRTree!AN38*h)-1)/h -$D$6,0)))</f>
        <v>0</v>
      </c>
      <c r="AO104">
        <f>IF($A104&gt;AO$79,"",IF(T&lt;=AO$11,"",100*h*MAX((EXP(IRTree!AO38*h)-1)/h -$D$6,0)))</f>
        <v>0</v>
      </c>
      <c r="AP104" t="str">
        <f>IF($A104&gt;AP$79,"",IF(T&lt;=AP$11,"",100*h*MAX((EXP(IRTree!AP38*h)-1)/h -$D$6,0)))</f>
        <v/>
      </c>
      <c r="AQ104" t="str">
        <f>IF($A104&gt;AQ$79,"",IF(T&lt;=AQ$11,"",100*h*MAX((EXP(IRTree!AQ38*h)-1)/h -$D$6,0)))</f>
        <v/>
      </c>
      <c r="AR104" t="str">
        <f>IF($A104&gt;AR$79,"",IF(T&lt;=AR$11,"",100*h*MAX((EXP(IRTree!AR38*h)-1)/h -$D$6,0)))</f>
        <v/>
      </c>
      <c r="AS104" t="str">
        <f>IF($A104&gt;AS$79,"",IF(T&lt;=AS$11,"",100*h*MAX((EXP(IRTree!AS38*h)-1)/h -$D$6,0)))</f>
        <v/>
      </c>
      <c r="AT104" t="str">
        <f>IF($A104&gt;AT$79,"",IF(T&lt;=AT$11,"",100*h*MAX((EXP(IRTree!AT38*h)-1)/h -$D$6,0)))</f>
        <v/>
      </c>
      <c r="AU104" t="str">
        <f>IF($A104&gt;AU$79,"",IF(T&lt;=AU$11,"",100*h*MAX((EXP(IRTree!AU38*h)-1)/h -$D$6,0)))</f>
        <v/>
      </c>
      <c r="AV104" t="str">
        <f>IF($A104&gt;AV$79,"",IF(T&lt;=AV$11,"",100*h*MAX((EXP(IRTree!AV38*h)-1)/h -$D$6,0)))</f>
        <v/>
      </c>
      <c r="AW104" t="str">
        <f>IF($A104&gt;AW$79,"",IF(T&lt;=AW$11,"",100*h*MAX((EXP(IRTree!AW38*h)-1)/h -$D$6,0)))</f>
        <v/>
      </c>
      <c r="AX104" t="str">
        <f>IF($A104&gt;AX$79,"",IF(T&lt;=AX$11,"",100*h*MAX((EXP(IRTree!AX38*h)-1)/h -$D$6,0)))</f>
        <v/>
      </c>
      <c r="AY104" t="str">
        <f>IF($A104&gt;AY$79,"",IF(T&lt;=AY$11,"",100*h*MAX((EXP(IRTree!AY38*h)-1)/h -$D$6,0)))</f>
        <v/>
      </c>
      <c r="AZ104" t="str">
        <f>IF($A104&gt;AZ$79,"",IF(T&lt;=AZ$11,"",100*h*MAX((EXP(IRTree!AZ38*h)-1)/h -$D$6,0)))</f>
        <v/>
      </c>
      <c r="BA104" t="str">
        <f>IF($A104&gt;BA$79,"",IF(T&lt;=BA$11,"",100*h*MAX((EXP(IRTree!BA38*h)-1)/h -$D$6,0)))</f>
        <v/>
      </c>
      <c r="BB104" t="str">
        <f>IF($A104&gt;BB$79,"",IF(T&lt;=BB$11,"",100*h*MAX((EXP(IRTree!BB38*h)-1)/h -$D$6,0)))</f>
        <v/>
      </c>
      <c r="BC104" t="str">
        <f>IF($A104&gt;BC$79,"",IF(T&lt;=BC$11,"",100*h*MAX((EXP(IRTree!BC38*h)-1)/h -$D$6,0)))</f>
        <v/>
      </c>
      <c r="BD104" t="str">
        <f>IF($A104&gt;BD$79,"",IF(T&lt;=BD$11,"",100*h*MAX((EXP(IRTree!BD38*h)-1)/h -$D$6,0)))</f>
        <v/>
      </c>
      <c r="BE104" t="str">
        <f>IF($A104&gt;BE$79,"",IF(T&lt;=BE$11,"",100*h*MAX((EXP(IRTree!BE38*h)-1)/h -$D$6,0)))</f>
        <v/>
      </c>
      <c r="BF104" t="str">
        <f>IF($A104&gt;BF$79,"",IF(T&lt;=BF$11,"",100*h*MAX((EXP(IRTree!BF38*h)-1)/h -$D$6,0)))</f>
        <v/>
      </c>
      <c r="BG104" t="str">
        <f>IF($A104&gt;BG$79,"",IF(T&lt;=BG$11,"",100*h*MAX((EXP(IRTree!BG38*h)-1)/h -$D$6,0)))</f>
        <v/>
      </c>
      <c r="BH104" t="str">
        <f>IF($A104&gt;BH$79,"",IF(T&lt;=BH$11,"",100*h*MAX((EXP(IRTree!BH38*h)-1)/h -$D$6,0)))</f>
        <v/>
      </c>
      <c r="BI104" t="str">
        <f>IF($A104&gt;BI$79,"",IF(T&lt;=BI$11,"",100*h*MAX((EXP(IRTree!BI38*h)-1)/h -$D$6,0)))</f>
        <v/>
      </c>
      <c r="BJ104" t="str">
        <f>IF($A104&gt;BJ$79,"",IF(T&lt;=BJ$11,"",100*h*MAX((EXP(IRTree!BJ38*h)-1)/h -$D$6,0)))</f>
        <v/>
      </c>
    </row>
    <row r="105" spans="1:62">
      <c r="A105" s="22">
        <f t="shared" si="5"/>
        <v>25</v>
      </c>
      <c r="B105" t="str">
        <f>IF($A105&gt;B$79,"",IF(T&lt;=B$11,"",100*h*MAX((EXP(IRTree!B39*h)-1)/h -$D$6,0)))</f>
        <v/>
      </c>
      <c r="C105" t="str">
        <f>IF($A105&gt;C$79,"",IF(T&lt;=C$11,"",100*h*MAX((EXP(IRTree!C39*h)-1)/h -$D$6,0)))</f>
        <v/>
      </c>
      <c r="D105" t="str">
        <f>IF($A105&gt;D$79,"",IF(T&lt;=D$11,"",100*h*MAX((EXP(IRTree!D39*h)-1)/h -$D$6,0)))</f>
        <v/>
      </c>
      <c r="E105" t="str">
        <f>IF($A105&gt;E$79,"",IF(T&lt;=E$11,"",100*h*MAX((EXP(IRTree!E39*h)-1)/h -$D$6,0)))</f>
        <v/>
      </c>
      <c r="F105" t="str">
        <f>IF($A105&gt;F$79,"",IF(T&lt;=F$11,"",100*h*MAX((EXP(IRTree!F39*h)-1)/h -$D$6,0)))</f>
        <v/>
      </c>
      <c r="G105" t="str">
        <f>IF($A105&gt;G$79,"",IF(T&lt;=G$11,"",100*h*MAX((EXP(IRTree!G39*h)-1)/h -$D$6,0)))</f>
        <v/>
      </c>
      <c r="H105" t="str">
        <f>IF($A105&gt;H$79,"",IF(T&lt;=H$11,"",100*h*MAX((EXP(IRTree!H39*h)-1)/h -$D$6,0)))</f>
        <v/>
      </c>
      <c r="I105" t="str">
        <f>IF($A105&gt;I$79,"",IF(T&lt;=I$11,"",100*h*MAX((EXP(IRTree!I39*h)-1)/h -$D$6,0)))</f>
        <v/>
      </c>
      <c r="J105" t="str">
        <f>IF($A105&gt;J$79,"",IF(T&lt;=J$11,"",100*h*MAX((EXP(IRTree!J39*h)-1)/h -$D$6,0)))</f>
        <v/>
      </c>
      <c r="K105" t="str">
        <f>IF($A105&gt;K$79,"",IF(T&lt;=K$11,"",100*h*MAX((EXP(IRTree!K39*h)-1)/h -$D$6,0)))</f>
        <v/>
      </c>
      <c r="L105" t="str">
        <f>IF($A105&gt;L$79,"",IF(T&lt;=L$11,"",100*h*MAX((EXP(IRTree!L39*h)-1)/h -$D$6,0)))</f>
        <v/>
      </c>
      <c r="M105" t="str">
        <f>IF($A105&gt;M$79,"",IF(T&lt;=M$11,"",100*h*MAX((EXP(IRTree!M39*h)-1)/h -$D$6,0)))</f>
        <v/>
      </c>
      <c r="N105" t="str">
        <f>IF($A105&gt;N$79,"",IF(T&lt;=N$11,"",100*h*MAX((EXP(IRTree!N39*h)-1)/h -$D$6,0)))</f>
        <v/>
      </c>
      <c r="O105" t="str">
        <f>IF($A105&gt;O$79,"",IF(T&lt;=O$11,"",100*h*MAX((EXP(IRTree!O39*h)-1)/h -$D$6,0)))</f>
        <v/>
      </c>
      <c r="P105" t="str">
        <f>IF($A105&gt;P$79,"",IF(T&lt;=P$11,"",100*h*MAX((EXP(IRTree!P39*h)-1)/h -$D$6,0)))</f>
        <v/>
      </c>
      <c r="Q105" t="str">
        <f>IF($A105&gt;Q$79,"",IF(T&lt;=Q$11,"",100*h*MAX((EXP(IRTree!Q39*h)-1)/h -$D$6,0)))</f>
        <v/>
      </c>
      <c r="R105" t="str">
        <f>IF($A105&gt;R$79,"",IF(T&lt;=R$11,"",100*h*MAX((EXP(IRTree!R39*h)-1)/h -$D$6,0)))</f>
        <v/>
      </c>
      <c r="S105" t="str">
        <f>IF($A105&gt;S$79,"",IF(T&lt;=S$11,"",100*h*MAX((EXP(IRTree!S39*h)-1)/h -$D$6,0)))</f>
        <v/>
      </c>
      <c r="T105" t="str">
        <f>IF($A105&gt;T$79,"",IF(T&lt;=T$11,"",100*h*MAX((EXP(IRTree!T39*h)-1)/h -$D$6,0)))</f>
        <v/>
      </c>
      <c r="U105" t="str">
        <f>IF($A105&gt;U$79,"",IF(T&lt;=U$11,"",100*h*MAX((EXP(IRTree!U39*h)-1)/h -$D$6,0)))</f>
        <v/>
      </c>
      <c r="V105" t="str">
        <f>IF($A105&gt;V$79,"",IF(T&lt;=V$11,"",100*h*MAX((EXP(IRTree!V39*h)-1)/h -$D$6,0)))</f>
        <v/>
      </c>
      <c r="W105" t="str">
        <f>IF($A105&gt;W$79,"",IF(T&lt;=W$11,"",100*h*MAX((EXP(IRTree!W39*h)-1)/h -$D$6,0)))</f>
        <v/>
      </c>
      <c r="X105" t="str">
        <f>IF($A105&gt;X$79,"",IF(T&lt;=X$11,"",100*h*MAX((EXP(IRTree!X39*h)-1)/h -$D$6,0)))</f>
        <v/>
      </c>
      <c r="Y105" t="str">
        <f>IF($A105&gt;Y$79,"",IF(T&lt;=Y$11,"",100*h*MAX((EXP(IRTree!Y39*h)-1)/h -$D$6,0)))</f>
        <v/>
      </c>
      <c r="Z105" t="str">
        <f>IF($A105&gt;Z$79,"",IF(T&lt;=Z$11,"",100*h*MAX((EXP(IRTree!Z39*h)-1)/h -$D$6,0)))</f>
        <v/>
      </c>
      <c r="AA105">
        <f>IF($A105&gt;AA$79,"",IF(T&lt;=AA$11,"",100*h*MAX((EXP(IRTree!AA39*h)-1)/h -$D$6,0)))</f>
        <v>0</v>
      </c>
      <c r="AB105">
        <f>IF($A105&gt;AB$79,"",IF(T&lt;=AB$11,"",100*h*MAX((EXP(IRTree!AB39*h)-1)/h -$D$6,0)))</f>
        <v>0</v>
      </c>
      <c r="AC105">
        <f>IF($A105&gt;AC$79,"",IF(T&lt;=AC$11,"",100*h*MAX((EXP(IRTree!AC39*h)-1)/h -$D$6,0)))</f>
        <v>0</v>
      </c>
      <c r="AD105">
        <f>IF($A105&gt;AD$79,"",IF(T&lt;=AD$11,"",100*h*MAX((EXP(IRTree!AD39*h)-1)/h -$D$6,0)))</f>
        <v>0</v>
      </c>
      <c r="AE105">
        <f>IF($A105&gt;AE$79,"",IF(T&lt;=AE$11,"",100*h*MAX((EXP(IRTree!AE39*h)-1)/h -$D$6,0)))</f>
        <v>0</v>
      </c>
      <c r="AF105">
        <f>IF($A105&gt;AF$79,"",IF(T&lt;=AF$11,"",100*h*MAX((EXP(IRTree!AF39*h)-1)/h -$D$6,0)))</f>
        <v>0</v>
      </c>
      <c r="AG105">
        <f>IF($A105&gt;AG$79,"",IF(T&lt;=AG$11,"",100*h*MAX((EXP(IRTree!AG39*h)-1)/h -$D$6,0)))</f>
        <v>0</v>
      </c>
      <c r="AH105">
        <f>IF($A105&gt;AH$79,"",IF(T&lt;=AH$11,"",100*h*MAX((EXP(IRTree!AH39*h)-1)/h -$D$6,0)))</f>
        <v>0</v>
      </c>
      <c r="AI105">
        <f>IF($A105&gt;AI$79,"",IF(T&lt;=AI$11,"",100*h*MAX((EXP(IRTree!AI39*h)-1)/h -$D$6,0)))</f>
        <v>0</v>
      </c>
      <c r="AJ105">
        <f>IF($A105&gt;AJ$79,"",IF(T&lt;=AJ$11,"",100*h*MAX((EXP(IRTree!AJ39*h)-1)/h -$D$6,0)))</f>
        <v>0</v>
      </c>
      <c r="AK105">
        <f>IF($A105&gt;AK$79,"",IF(T&lt;=AK$11,"",100*h*MAX((EXP(IRTree!AK39*h)-1)/h -$D$6,0)))</f>
        <v>0</v>
      </c>
      <c r="AL105">
        <f>IF($A105&gt;AL$79,"",IF(T&lt;=AL$11,"",100*h*MAX((EXP(IRTree!AL39*h)-1)/h -$D$6,0)))</f>
        <v>0</v>
      </c>
      <c r="AM105">
        <f>IF($A105&gt;AM$79,"",IF(T&lt;=AM$11,"",100*h*MAX((EXP(IRTree!AM39*h)-1)/h -$D$6,0)))</f>
        <v>0</v>
      </c>
      <c r="AN105">
        <f>IF($A105&gt;AN$79,"",IF(T&lt;=AN$11,"",100*h*MAX((EXP(IRTree!AN39*h)-1)/h -$D$6,0)))</f>
        <v>0</v>
      </c>
      <c r="AO105">
        <f>IF($A105&gt;AO$79,"",IF(T&lt;=AO$11,"",100*h*MAX((EXP(IRTree!AO39*h)-1)/h -$D$6,0)))</f>
        <v>0</v>
      </c>
      <c r="AP105" t="str">
        <f>IF($A105&gt;AP$79,"",IF(T&lt;=AP$11,"",100*h*MAX((EXP(IRTree!AP39*h)-1)/h -$D$6,0)))</f>
        <v/>
      </c>
      <c r="AQ105" t="str">
        <f>IF($A105&gt;AQ$79,"",IF(T&lt;=AQ$11,"",100*h*MAX((EXP(IRTree!AQ39*h)-1)/h -$D$6,0)))</f>
        <v/>
      </c>
      <c r="AR105" t="str">
        <f>IF($A105&gt;AR$79,"",IF(T&lt;=AR$11,"",100*h*MAX((EXP(IRTree!AR39*h)-1)/h -$D$6,0)))</f>
        <v/>
      </c>
      <c r="AS105" t="str">
        <f>IF($A105&gt;AS$79,"",IF(T&lt;=AS$11,"",100*h*MAX((EXP(IRTree!AS39*h)-1)/h -$D$6,0)))</f>
        <v/>
      </c>
      <c r="AT105" t="str">
        <f>IF($A105&gt;AT$79,"",IF(T&lt;=AT$11,"",100*h*MAX((EXP(IRTree!AT39*h)-1)/h -$D$6,0)))</f>
        <v/>
      </c>
      <c r="AU105" t="str">
        <f>IF($A105&gt;AU$79,"",IF(T&lt;=AU$11,"",100*h*MAX((EXP(IRTree!AU39*h)-1)/h -$D$6,0)))</f>
        <v/>
      </c>
      <c r="AV105" t="str">
        <f>IF($A105&gt;AV$79,"",IF(T&lt;=AV$11,"",100*h*MAX((EXP(IRTree!AV39*h)-1)/h -$D$6,0)))</f>
        <v/>
      </c>
      <c r="AW105" t="str">
        <f>IF($A105&gt;AW$79,"",IF(T&lt;=AW$11,"",100*h*MAX((EXP(IRTree!AW39*h)-1)/h -$D$6,0)))</f>
        <v/>
      </c>
      <c r="AX105" t="str">
        <f>IF($A105&gt;AX$79,"",IF(T&lt;=AX$11,"",100*h*MAX((EXP(IRTree!AX39*h)-1)/h -$D$6,0)))</f>
        <v/>
      </c>
      <c r="AY105" t="str">
        <f>IF($A105&gt;AY$79,"",IF(T&lt;=AY$11,"",100*h*MAX((EXP(IRTree!AY39*h)-1)/h -$D$6,0)))</f>
        <v/>
      </c>
      <c r="AZ105" t="str">
        <f>IF($A105&gt;AZ$79,"",IF(T&lt;=AZ$11,"",100*h*MAX((EXP(IRTree!AZ39*h)-1)/h -$D$6,0)))</f>
        <v/>
      </c>
      <c r="BA105" t="str">
        <f>IF($A105&gt;BA$79,"",IF(T&lt;=BA$11,"",100*h*MAX((EXP(IRTree!BA39*h)-1)/h -$D$6,0)))</f>
        <v/>
      </c>
      <c r="BB105" t="str">
        <f>IF($A105&gt;BB$79,"",IF(T&lt;=BB$11,"",100*h*MAX((EXP(IRTree!BB39*h)-1)/h -$D$6,0)))</f>
        <v/>
      </c>
      <c r="BC105" t="str">
        <f>IF($A105&gt;BC$79,"",IF(T&lt;=BC$11,"",100*h*MAX((EXP(IRTree!BC39*h)-1)/h -$D$6,0)))</f>
        <v/>
      </c>
      <c r="BD105" t="str">
        <f>IF($A105&gt;BD$79,"",IF(T&lt;=BD$11,"",100*h*MAX((EXP(IRTree!BD39*h)-1)/h -$D$6,0)))</f>
        <v/>
      </c>
      <c r="BE105" t="str">
        <f>IF($A105&gt;BE$79,"",IF(T&lt;=BE$11,"",100*h*MAX((EXP(IRTree!BE39*h)-1)/h -$D$6,0)))</f>
        <v/>
      </c>
      <c r="BF105" t="str">
        <f>IF($A105&gt;BF$79,"",IF(T&lt;=BF$11,"",100*h*MAX((EXP(IRTree!BF39*h)-1)/h -$D$6,0)))</f>
        <v/>
      </c>
      <c r="BG105" t="str">
        <f>IF($A105&gt;BG$79,"",IF(T&lt;=BG$11,"",100*h*MAX((EXP(IRTree!BG39*h)-1)/h -$D$6,0)))</f>
        <v/>
      </c>
      <c r="BH105" t="str">
        <f>IF($A105&gt;BH$79,"",IF(T&lt;=BH$11,"",100*h*MAX((EXP(IRTree!BH39*h)-1)/h -$D$6,0)))</f>
        <v/>
      </c>
      <c r="BI105" t="str">
        <f>IF($A105&gt;BI$79,"",IF(T&lt;=BI$11,"",100*h*MAX((EXP(IRTree!BI39*h)-1)/h -$D$6,0)))</f>
        <v/>
      </c>
      <c r="BJ105" t="str">
        <f>IF($A105&gt;BJ$79,"",IF(T&lt;=BJ$11,"",100*h*MAX((EXP(IRTree!BJ39*h)-1)/h -$D$6,0)))</f>
        <v/>
      </c>
    </row>
    <row r="106" spans="1:62">
      <c r="A106" s="22">
        <f t="shared" si="5"/>
        <v>26</v>
      </c>
      <c r="B106" t="str">
        <f>IF($A106&gt;B$79,"",IF(T&lt;=B$11,"",100*h*MAX((EXP(IRTree!B40*h)-1)/h -$D$6,0)))</f>
        <v/>
      </c>
      <c r="C106" t="str">
        <f>IF($A106&gt;C$79,"",IF(T&lt;=C$11,"",100*h*MAX((EXP(IRTree!C40*h)-1)/h -$D$6,0)))</f>
        <v/>
      </c>
      <c r="D106" t="str">
        <f>IF($A106&gt;D$79,"",IF(T&lt;=D$11,"",100*h*MAX((EXP(IRTree!D40*h)-1)/h -$D$6,0)))</f>
        <v/>
      </c>
      <c r="E106" t="str">
        <f>IF($A106&gt;E$79,"",IF(T&lt;=E$11,"",100*h*MAX((EXP(IRTree!E40*h)-1)/h -$D$6,0)))</f>
        <v/>
      </c>
      <c r="F106" t="str">
        <f>IF($A106&gt;F$79,"",IF(T&lt;=F$11,"",100*h*MAX((EXP(IRTree!F40*h)-1)/h -$D$6,0)))</f>
        <v/>
      </c>
      <c r="G106" t="str">
        <f>IF($A106&gt;G$79,"",IF(T&lt;=G$11,"",100*h*MAX((EXP(IRTree!G40*h)-1)/h -$D$6,0)))</f>
        <v/>
      </c>
      <c r="H106" t="str">
        <f>IF($A106&gt;H$79,"",IF(T&lt;=H$11,"",100*h*MAX((EXP(IRTree!H40*h)-1)/h -$D$6,0)))</f>
        <v/>
      </c>
      <c r="I106" t="str">
        <f>IF($A106&gt;I$79,"",IF(T&lt;=I$11,"",100*h*MAX((EXP(IRTree!I40*h)-1)/h -$D$6,0)))</f>
        <v/>
      </c>
      <c r="J106" t="str">
        <f>IF($A106&gt;J$79,"",IF(T&lt;=J$11,"",100*h*MAX((EXP(IRTree!J40*h)-1)/h -$D$6,0)))</f>
        <v/>
      </c>
      <c r="K106" t="str">
        <f>IF($A106&gt;K$79,"",IF(T&lt;=K$11,"",100*h*MAX((EXP(IRTree!K40*h)-1)/h -$D$6,0)))</f>
        <v/>
      </c>
      <c r="L106" t="str">
        <f>IF($A106&gt;L$79,"",IF(T&lt;=L$11,"",100*h*MAX((EXP(IRTree!L40*h)-1)/h -$D$6,0)))</f>
        <v/>
      </c>
      <c r="M106" t="str">
        <f>IF($A106&gt;M$79,"",IF(T&lt;=M$11,"",100*h*MAX((EXP(IRTree!M40*h)-1)/h -$D$6,0)))</f>
        <v/>
      </c>
      <c r="N106" t="str">
        <f>IF($A106&gt;N$79,"",IF(T&lt;=N$11,"",100*h*MAX((EXP(IRTree!N40*h)-1)/h -$D$6,0)))</f>
        <v/>
      </c>
      <c r="O106" t="str">
        <f>IF($A106&gt;O$79,"",IF(T&lt;=O$11,"",100*h*MAX((EXP(IRTree!O40*h)-1)/h -$D$6,0)))</f>
        <v/>
      </c>
      <c r="P106" t="str">
        <f>IF($A106&gt;P$79,"",IF(T&lt;=P$11,"",100*h*MAX((EXP(IRTree!P40*h)-1)/h -$D$6,0)))</f>
        <v/>
      </c>
      <c r="Q106" t="str">
        <f>IF($A106&gt;Q$79,"",IF(T&lt;=Q$11,"",100*h*MAX((EXP(IRTree!Q40*h)-1)/h -$D$6,0)))</f>
        <v/>
      </c>
      <c r="R106" t="str">
        <f>IF($A106&gt;R$79,"",IF(T&lt;=R$11,"",100*h*MAX((EXP(IRTree!R40*h)-1)/h -$D$6,0)))</f>
        <v/>
      </c>
      <c r="S106" t="str">
        <f>IF($A106&gt;S$79,"",IF(T&lt;=S$11,"",100*h*MAX((EXP(IRTree!S40*h)-1)/h -$D$6,0)))</f>
        <v/>
      </c>
      <c r="T106" t="str">
        <f>IF($A106&gt;T$79,"",IF(T&lt;=T$11,"",100*h*MAX((EXP(IRTree!T40*h)-1)/h -$D$6,0)))</f>
        <v/>
      </c>
      <c r="U106" t="str">
        <f>IF($A106&gt;U$79,"",IF(T&lt;=U$11,"",100*h*MAX((EXP(IRTree!U40*h)-1)/h -$D$6,0)))</f>
        <v/>
      </c>
      <c r="V106" t="str">
        <f>IF($A106&gt;V$79,"",IF(T&lt;=V$11,"",100*h*MAX((EXP(IRTree!V40*h)-1)/h -$D$6,0)))</f>
        <v/>
      </c>
      <c r="W106" t="str">
        <f>IF($A106&gt;W$79,"",IF(T&lt;=W$11,"",100*h*MAX((EXP(IRTree!W40*h)-1)/h -$D$6,0)))</f>
        <v/>
      </c>
      <c r="X106" t="str">
        <f>IF($A106&gt;X$79,"",IF(T&lt;=X$11,"",100*h*MAX((EXP(IRTree!X40*h)-1)/h -$D$6,0)))</f>
        <v/>
      </c>
      <c r="Y106" t="str">
        <f>IF($A106&gt;Y$79,"",IF(T&lt;=Y$11,"",100*h*MAX((EXP(IRTree!Y40*h)-1)/h -$D$6,0)))</f>
        <v/>
      </c>
      <c r="Z106" t="str">
        <f>IF($A106&gt;Z$79,"",IF(T&lt;=Z$11,"",100*h*MAX((EXP(IRTree!Z40*h)-1)/h -$D$6,0)))</f>
        <v/>
      </c>
      <c r="AA106" t="str">
        <f>IF($A106&gt;AA$79,"",IF(T&lt;=AA$11,"",100*h*MAX((EXP(IRTree!AA40*h)-1)/h -$D$6,0)))</f>
        <v/>
      </c>
      <c r="AB106">
        <f>IF($A106&gt;AB$79,"",IF(T&lt;=AB$11,"",100*h*MAX((EXP(IRTree!AB40*h)-1)/h -$D$6,0)))</f>
        <v>0</v>
      </c>
      <c r="AC106">
        <f>IF($A106&gt;AC$79,"",IF(T&lt;=AC$11,"",100*h*MAX((EXP(IRTree!AC40*h)-1)/h -$D$6,0)))</f>
        <v>0</v>
      </c>
      <c r="AD106">
        <f>IF($A106&gt;AD$79,"",IF(T&lt;=AD$11,"",100*h*MAX((EXP(IRTree!AD40*h)-1)/h -$D$6,0)))</f>
        <v>0</v>
      </c>
      <c r="AE106">
        <f>IF($A106&gt;AE$79,"",IF(T&lt;=AE$11,"",100*h*MAX((EXP(IRTree!AE40*h)-1)/h -$D$6,0)))</f>
        <v>0</v>
      </c>
      <c r="AF106">
        <f>IF($A106&gt;AF$79,"",IF(T&lt;=AF$11,"",100*h*MAX((EXP(IRTree!AF40*h)-1)/h -$D$6,0)))</f>
        <v>0</v>
      </c>
      <c r="AG106">
        <f>IF($A106&gt;AG$79,"",IF(T&lt;=AG$11,"",100*h*MAX((EXP(IRTree!AG40*h)-1)/h -$D$6,0)))</f>
        <v>0</v>
      </c>
      <c r="AH106">
        <f>IF($A106&gt;AH$79,"",IF(T&lt;=AH$11,"",100*h*MAX((EXP(IRTree!AH40*h)-1)/h -$D$6,0)))</f>
        <v>0</v>
      </c>
      <c r="AI106">
        <f>IF($A106&gt;AI$79,"",IF(T&lt;=AI$11,"",100*h*MAX((EXP(IRTree!AI40*h)-1)/h -$D$6,0)))</f>
        <v>0</v>
      </c>
      <c r="AJ106">
        <f>IF($A106&gt;AJ$79,"",IF(T&lt;=AJ$11,"",100*h*MAX((EXP(IRTree!AJ40*h)-1)/h -$D$6,0)))</f>
        <v>0</v>
      </c>
      <c r="AK106">
        <f>IF($A106&gt;AK$79,"",IF(T&lt;=AK$11,"",100*h*MAX((EXP(IRTree!AK40*h)-1)/h -$D$6,0)))</f>
        <v>0</v>
      </c>
      <c r="AL106">
        <f>IF($A106&gt;AL$79,"",IF(T&lt;=AL$11,"",100*h*MAX((EXP(IRTree!AL40*h)-1)/h -$D$6,0)))</f>
        <v>0</v>
      </c>
      <c r="AM106">
        <f>IF($A106&gt;AM$79,"",IF(T&lt;=AM$11,"",100*h*MAX((EXP(IRTree!AM40*h)-1)/h -$D$6,0)))</f>
        <v>0</v>
      </c>
      <c r="AN106">
        <f>IF($A106&gt;AN$79,"",IF(T&lt;=AN$11,"",100*h*MAX((EXP(IRTree!AN40*h)-1)/h -$D$6,0)))</f>
        <v>0</v>
      </c>
      <c r="AO106">
        <f>IF($A106&gt;AO$79,"",IF(T&lt;=AO$11,"",100*h*MAX((EXP(IRTree!AO40*h)-1)/h -$D$6,0)))</f>
        <v>0</v>
      </c>
      <c r="AP106" t="str">
        <f>IF($A106&gt;AP$79,"",IF(T&lt;=AP$11,"",100*h*MAX((EXP(IRTree!AP40*h)-1)/h -$D$6,0)))</f>
        <v/>
      </c>
      <c r="AQ106" t="str">
        <f>IF($A106&gt;AQ$79,"",IF(T&lt;=AQ$11,"",100*h*MAX((EXP(IRTree!AQ40*h)-1)/h -$D$6,0)))</f>
        <v/>
      </c>
      <c r="AR106" t="str">
        <f>IF($A106&gt;AR$79,"",IF(T&lt;=AR$11,"",100*h*MAX((EXP(IRTree!AR40*h)-1)/h -$D$6,0)))</f>
        <v/>
      </c>
      <c r="AS106" t="str">
        <f>IF($A106&gt;AS$79,"",IF(T&lt;=AS$11,"",100*h*MAX((EXP(IRTree!AS40*h)-1)/h -$D$6,0)))</f>
        <v/>
      </c>
      <c r="AT106" t="str">
        <f>IF($A106&gt;AT$79,"",IF(T&lt;=AT$11,"",100*h*MAX((EXP(IRTree!AT40*h)-1)/h -$D$6,0)))</f>
        <v/>
      </c>
      <c r="AU106" t="str">
        <f>IF($A106&gt;AU$79,"",IF(T&lt;=AU$11,"",100*h*MAX((EXP(IRTree!AU40*h)-1)/h -$D$6,0)))</f>
        <v/>
      </c>
      <c r="AV106" t="str">
        <f>IF($A106&gt;AV$79,"",IF(T&lt;=AV$11,"",100*h*MAX((EXP(IRTree!AV40*h)-1)/h -$D$6,0)))</f>
        <v/>
      </c>
      <c r="AW106" t="str">
        <f>IF($A106&gt;AW$79,"",IF(T&lt;=AW$11,"",100*h*MAX((EXP(IRTree!AW40*h)-1)/h -$D$6,0)))</f>
        <v/>
      </c>
      <c r="AX106" t="str">
        <f>IF($A106&gt;AX$79,"",IF(T&lt;=AX$11,"",100*h*MAX((EXP(IRTree!AX40*h)-1)/h -$D$6,0)))</f>
        <v/>
      </c>
      <c r="AY106" t="str">
        <f>IF($A106&gt;AY$79,"",IF(T&lt;=AY$11,"",100*h*MAX((EXP(IRTree!AY40*h)-1)/h -$D$6,0)))</f>
        <v/>
      </c>
      <c r="AZ106" t="str">
        <f>IF($A106&gt;AZ$79,"",IF(T&lt;=AZ$11,"",100*h*MAX((EXP(IRTree!AZ40*h)-1)/h -$D$6,0)))</f>
        <v/>
      </c>
      <c r="BA106" t="str">
        <f>IF($A106&gt;BA$79,"",IF(T&lt;=BA$11,"",100*h*MAX((EXP(IRTree!BA40*h)-1)/h -$D$6,0)))</f>
        <v/>
      </c>
      <c r="BB106" t="str">
        <f>IF($A106&gt;BB$79,"",IF(T&lt;=BB$11,"",100*h*MAX((EXP(IRTree!BB40*h)-1)/h -$D$6,0)))</f>
        <v/>
      </c>
      <c r="BC106" t="str">
        <f>IF($A106&gt;BC$79,"",IF(T&lt;=BC$11,"",100*h*MAX((EXP(IRTree!BC40*h)-1)/h -$D$6,0)))</f>
        <v/>
      </c>
      <c r="BD106" t="str">
        <f>IF($A106&gt;BD$79,"",IF(T&lt;=BD$11,"",100*h*MAX((EXP(IRTree!BD40*h)-1)/h -$D$6,0)))</f>
        <v/>
      </c>
      <c r="BE106" t="str">
        <f>IF($A106&gt;BE$79,"",IF(T&lt;=BE$11,"",100*h*MAX((EXP(IRTree!BE40*h)-1)/h -$D$6,0)))</f>
        <v/>
      </c>
      <c r="BF106" t="str">
        <f>IF($A106&gt;BF$79,"",IF(T&lt;=BF$11,"",100*h*MAX((EXP(IRTree!BF40*h)-1)/h -$D$6,0)))</f>
        <v/>
      </c>
      <c r="BG106" t="str">
        <f>IF($A106&gt;BG$79,"",IF(T&lt;=BG$11,"",100*h*MAX((EXP(IRTree!BG40*h)-1)/h -$D$6,0)))</f>
        <v/>
      </c>
      <c r="BH106" t="str">
        <f>IF($A106&gt;BH$79,"",IF(T&lt;=BH$11,"",100*h*MAX((EXP(IRTree!BH40*h)-1)/h -$D$6,0)))</f>
        <v/>
      </c>
      <c r="BI106" t="str">
        <f>IF($A106&gt;BI$79,"",IF(T&lt;=BI$11,"",100*h*MAX((EXP(IRTree!BI40*h)-1)/h -$D$6,0)))</f>
        <v/>
      </c>
      <c r="BJ106" t="str">
        <f>IF($A106&gt;BJ$79,"",IF(T&lt;=BJ$11,"",100*h*MAX((EXP(IRTree!BJ40*h)-1)/h -$D$6,0)))</f>
        <v/>
      </c>
    </row>
    <row r="107" spans="1:62">
      <c r="A107" s="22">
        <f t="shared" si="5"/>
        <v>27</v>
      </c>
      <c r="B107" t="str">
        <f>IF($A107&gt;B$79,"",IF(T&lt;=B$11,"",100*h*MAX((EXP(IRTree!B41*h)-1)/h -$D$6,0)))</f>
        <v/>
      </c>
      <c r="C107" t="str">
        <f>IF($A107&gt;C$79,"",IF(T&lt;=C$11,"",100*h*MAX((EXP(IRTree!C41*h)-1)/h -$D$6,0)))</f>
        <v/>
      </c>
      <c r="D107" t="str">
        <f>IF($A107&gt;D$79,"",IF(T&lt;=D$11,"",100*h*MAX((EXP(IRTree!D41*h)-1)/h -$D$6,0)))</f>
        <v/>
      </c>
      <c r="E107" t="str">
        <f>IF($A107&gt;E$79,"",IF(T&lt;=E$11,"",100*h*MAX((EXP(IRTree!E41*h)-1)/h -$D$6,0)))</f>
        <v/>
      </c>
      <c r="F107" t="str">
        <f>IF($A107&gt;F$79,"",IF(T&lt;=F$11,"",100*h*MAX((EXP(IRTree!F41*h)-1)/h -$D$6,0)))</f>
        <v/>
      </c>
      <c r="G107" t="str">
        <f>IF($A107&gt;G$79,"",IF(T&lt;=G$11,"",100*h*MAX((EXP(IRTree!G41*h)-1)/h -$D$6,0)))</f>
        <v/>
      </c>
      <c r="H107" t="str">
        <f>IF($A107&gt;H$79,"",IF(T&lt;=H$11,"",100*h*MAX((EXP(IRTree!H41*h)-1)/h -$D$6,0)))</f>
        <v/>
      </c>
      <c r="I107" t="str">
        <f>IF($A107&gt;I$79,"",IF(T&lt;=I$11,"",100*h*MAX((EXP(IRTree!I41*h)-1)/h -$D$6,0)))</f>
        <v/>
      </c>
      <c r="J107" t="str">
        <f>IF($A107&gt;J$79,"",IF(T&lt;=J$11,"",100*h*MAX((EXP(IRTree!J41*h)-1)/h -$D$6,0)))</f>
        <v/>
      </c>
      <c r="K107" t="str">
        <f>IF($A107&gt;K$79,"",IF(T&lt;=K$11,"",100*h*MAX((EXP(IRTree!K41*h)-1)/h -$D$6,0)))</f>
        <v/>
      </c>
      <c r="L107" t="str">
        <f>IF($A107&gt;L$79,"",IF(T&lt;=L$11,"",100*h*MAX((EXP(IRTree!L41*h)-1)/h -$D$6,0)))</f>
        <v/>
      </c>
      <c r="M107" t="str">
        <f>IF($A107&gt;M$79,"",IF(T&lt;=M$11,"",100*h*MAX((EXP(IRTree!M41*h)-1)/h -$D$6,0)))</f>
        <v/>
      </c>
      <c r="N107" t="str">
        <f>IF($A107&gt;N$79,"",IF(T&lt;=N$11,"",100*h*MAX((EXP(IRTree!N41*h)-1)/h -$D$6,0)))</f>
        <v/>
      </c>
      <c r="O107" t="str">
        <f>IF($A107&gt;O$79,"",IF(T&lt;=O$11,"",100*h*MAX((EXP(IRTree!O41*h)-1)/h -$D$6,0)))</f>
        <v/>
      </c>
      <c r="P107" t="str">
        <f>IF($A107&gt;P$79,"",IF(T&lt;=P$11,"",100*h*MAX((EXP(IRTree!P41*h)-1)/h -$D$6,0)))</f>
        <v/>
      </c>
      <c r="Q107" t="str">
        <f>IF($A107&gt;Q$79,"",IF(T&lt;=Q$11,"",100*h*MAX((EXP(IRTree!Q41*h)-1)/h -$D$6,0)))</f>
        <v/>
      </c>
      <c r="R107" t="str">
        <f>IF($A107&gt;R$79,"",IF(T&lt;=R$11,"",100*h*MAX((EXP(IRTree!R41*h)-1)/h -$D$6,0)))</f>
        <v/>
      </c>
      <c r="S107" t="str">
        <f>IF($A107&gt;S$79,"",IF(T&lt;=S$11,"",100*h*MAX((EXP(IRTree!S41*h)-1)/h -$D$6,0)))</f>
        <v/>
      </c>
      <c r="T107" t="str">
        <f>IF($A107&gt;T$79,"",IF(T&lt;=T$11,"",100*h*MAX((EXP(IRTree!T41*h)-1)/h -$D$6,0)))</f>
        <v/>
      </c>
      <c r="U107" t="str">
        <f>IF($A107&gt;U$79,"",IF(T&lt;=U$11,"",100*h*MAX((EXP(IRTree!U41*h)-1)/h -$D$6,0)))</f>
        <v/>
      </c>
      <c r="V107" t="str">
        <f>IF($A107&gt;V$79,"",IF(T&lt;=V$11,"",100*h*MAX((EXP(IRTree!V41*h)-1)/h -$D$6,0)))</f>
        <v/>
      </c>
      <c r="W107" t="str">
        <f>IF($A107&gt;W$79,"",IF(T&lt;=W$11,"",100*h*MAX((EXP(IRTree!W41*h)-1)/h -$D$6,0)))</f>
        <v/>
      </c>
      <c r="X107" t="str">
        <f>IF($A107&gt;X$79,"",IF(T&lt;=X$11,"",100*h*MAX((EXP(IRTree!X41*h)-1)/h -$D$6,0)))</f>
        <v/>
      </c>
      <c r="Y107" t="str">
        <f>IF($A107&gt;Y$79,"",IF(T&lt;=Y$11,"",100*h*MAX((EXP(IRTree!Y41*h)-1)/h -$D$6,0)))</f>
        <v/>
      </c>
      <c r="Z107" t="str">
        <f>IF($A107&gt;Z$79,"",IF(T&lt;=Z$11,"",100*h*MAX((EXP(IRTree!Z41*h)-1)/h -$D$6,0)))</f>
        <v/>
      </c>
      <c r="AA107" t="str">
        <f>IF($A107&gt;AA$79,"",IF(T&lt;=AA$11,"",100*h*MAX((EXP(IRTree!AA41*h)-1)/h -$D$6,0)))</f>
        <v/>
      </c>
      <c r="AB107" t="str">
        <f>IF($A107&gt;AB$79,"",IF(T&lt;=AB$11,"",100*h*MAX((EXP(IRTree!AB41*h)-1)/h -$D$6,0)))</f>
        <v/>
      </c>
      <c r="AC107">
        <f>IF($A107&gt;AC$79,"",IF(T&lt;=AC$11,"",100*h*MAX((EXP(IRTree!AC41*h)-1)/h -$D$6,0)))</f>
        <v>0</v>
      </c>
      <c r="AD107">
        <f>IF($A107&gt;AD$79,"",IF(T&lt;=AD$11,"",100*h*MAX((EXP(IRTree!AD41*h)-1)/h -$D$6,0)))</f>
        <v>0</v>
      </c>
      <c r="AE107">
        <f>IF($A107&gt;AE$79,"",IF(T&lt;=AE$11,"",100*h*MAX((EXP(IRTree!AE41*h)-1)/h -$D$6,0)))</f>
        <v>0</v>
      </c>
      <c r="AF107">
        <f>IF($A107&gt;AF$79,"",IF(T&lt;=AF$11,"",100*h*MAX((EXP(IRTree!AF41*h)-1)/h -$D$6,0)))</f>
        <v>0</v>
      </c>
      <c r="AG107">
        <f>IF($A107&gt;AG$79,"",IF(T&lt;=AG$11,"",100*h*MAX((EXP(IRTree!AG41*h)-1)/h -$D$6,0)))</f>
        <v>0</v>
      </c>
      <c r="AH107">
        <f>IF($A107&gt;AH$79,"",IF(T&lt;=AH$11,"",100*h*MAX((EXP(IRTree!AH41*h)-1)/h -$D$6,0)))</f>
        <v>0</v>
      </c>
      <c r="AI107">
        <f>IF($A107&gt;AI$79,"",IF(T&lt;=AI$11,"",100*h*MAX((EXP(IRTree!AI41*h)-1)/h -$D$6,0)))</f>
        <v>0</v>
      </c>
      <c r="AJ107">
        <f>IF($A107&gt;AJ$79,"",IF(T&lt;=AJ$11,"",100*h*MAX((EXP(IRTree!AJ41*h)-1)/h -$D$6,0)))</f>
        <v>0</v>
      </c>
      <c r="AK107">
        <f>IF($A107&gt;AK$79,"",IF(T&lt;=AK$11,"",100*h*MAX((EXP(IRTree!AK41*h)-1)/h -$D$6,0)))</f>
        <v>0</v>
      </c>
      <c r="AL107">
        <f>IF($A107&gt;AL$79,"",IF(T&lt;=AL$11,"",100*h*MAX((EXP(IRTree!AL41*h)-1)/h -$D$6,0)))</f>
        <v>0</v>
      </c>
      <c r="AM107">
        <f>IF($A107&gt;AM$79,"",IF(T&lt;=AM$11,"",100*h*MAX((EXP(IRTree!AM41*h)-1)/h -$D$6,0)))</f>
        <v>0</v>
      </c>
      <c r="AN107">
        <f>IF($A107&gt;AN$79,"",IF(T&lt;=AN$11,"",100*h*MAX((EXP(IRTree!AN41*h)-1)/h -$D$6,0)))</f>
        <v>0</v>
      </c>
      <c r="AO107">
        <f>IF($A107&gt;AO$79,"",IF(T&lt;=AO$11,"",100*h*MAX((EXP(IRTree!AO41*h)-1)/h -$D$6,0)))</f>
        <v>0</v>
      </c>
      <c r="AP107" t="str">
        <f>IF($A107&gt;AP$79,"",IF(T&lt;=AP$11,"",100*h*MAX((EXP(IRTree!AP41*h)-1)/h -$D$6,0)))</f>
        <v/>
      </c>
      <c r="AQ107" t="str">
        <f>IF($A107&gt;AQ$79,"",IF(T&lt;=AQ$11,"",100*h*MAX((EXP(IRTree!AQ41*h)-1)/h -$D$6,0)))</f>
        <v/>
      </c>
      <c r="AR107" t="str">
        <f>IF($A107&gt;AR$79,"",IF(T&lt;=AR$11,"",100*h*MAX((EXP(IRTree!AR41*h)-1)/h -$D$6,0)))</f>
        <v/>
      </c>
      <c r="AS107" t="str">
        <f>IF($A107&gt;AS$79,"",IF(T&lt;=AS$11,"",100*h*MAX((EXP(IRTree!AS41*h)-1)/h -$D$6,0)))</f>
        <v/>
      </c>
      <c r="AT107" t="str">
        <f>IF($A107&gt;AT$79,"",IF(T&lt;=AT$11,"",100*h*MAX((EXP(IRTree!AT41*h)-1)/h -$D$6,0)))</f>
        <v/>
      </c>
      <c r="AU107" t="str">
        <f>IF($A107&gt;AU$79,"",IF(T&lt;=AU$11,"",100*h*MAX((EXP(IRTree!AU41*h)-1)/h -$D$6,0)))</f>
        <v/>
      </c>
      <c r="AV107" t="str">
        <f>IF($A107&gt;AV$79,"",IF(T&lt;=AV$11,"",100*h*MAX((EXP(IRTree!AV41*h)-1)/h -$D$6,0)))</f>
        <v/>
      </c>
      <c r="AW107" t="str">
        <f>IF($A107&gt;AW$79,"",IF(T&lt;=AW$11,"",100*h*MAX((EXP(IRTree!AW41*h)-1)/h -$D$6,0)))</f>
        <v/>
      </c>
      <c r="AX107" t="str">
        <f>IF($A107&gt;AX$79,"",IF(T&lt;=AX$11,"",100*h*MAX((EXP(IRTree!AX41*h)-1)/h -$D$6,0)))</f>
        <v/>
      </c>
      <c r="AY107" t="str">
        <f>IF($A107&gt;AY$79,"",IF(T&lt;=AY$11,"",100*h*MAX((EXP(IRTree!AY41*h)-1)/h -$D$6,0)))</f>
        <v/>
      </c>
      <c r="AZ107" t="str">
        <f>IF($A107&gt;AZ$79,"",IF(T&lt;=AZ$11,"",100*h*MAX((EXP(IRTree!AZ41*h)-1)/h -$D$6,0)))</f>
        <v/>
      </c>
      <c r="BA107" t="str">
        <f>IF($A107&gt;BA$79,"",IF(T&lt;=BA$11,"",100*h*MAX((EXP(IRTree!BA41*h)-1)/h -$D$6,0)))</f>
        <v/>
      </c>
      <c r="BB107" t="str">
        <f>IF($A107&gt;BB$79,"",IF(T&lt;=BB$11,"",100*h*MAX((EXP(IRTree!BB41*h)-1)/h -$D$6,0)))</f>
        <v/>
      </c>
      <c r="BC107" t="str">
        <f>IF($A107&gt;BC$79,"",IF(T&lt;=BC$11,"",100*h*MAX((EXP(IRTree!BC41*h)-1)/h -$D$6,0)))</f>
        <v/>
      </c>
      <c r="BD107" t="str">
        <f>IF($A107&gt;BD$79,"",IF(T&lt;=BD$11,"",100*h*MAX((EXP(IRTree!BD41*h)-1)/h -$D$6,0)))</f>
        <v/>
      </c>
      <c r="BE107" t="str">
        <f>IF($A107&gt;BE$79,"",IF(T&lt;=BE$11,"",100*h*MAX((EXP(IRTree!BE41*h)-1)/h -$D$6,0)))</f>
        <v/>
      </c>
      <c r="BF107" t="str">
        <f>IF($A107&gt;BF$79,"",IF(T&lt;=BF$11,"",100*h*MAX((EXP(IRTree!BF41*h)-1)/h -$D$6,0)))</f>
        <v/>
      </c>
      <c r="BG107" t="str">
        <f>IF($A107&gt;BG$79,"",IF(T&lt;=BG$11,"",100*h*MAX((EXP(IRTree!BG41*h)-1)/h -$D$6,0)))</f>
        <v/>
      </c>
      <c r="BH107" t="str">
        <f>IF($A107&gt;BH$79,"",IF(T&lt;=BH$11,"",100*h*MAX((EXP(IRTree!BH41*h)-1)/h -$D$6,0)))</f>
        <v/>
      </c>
      <c r="BI107" t="str">
        <f>IF($A107&gt;BI$79,"",IF(T&lt;=BI$11,"",100*h*MAX((EXP(IRTree!BI41*h)-1)/h -$D$6,0)))</f>
        <v/>
      </c>
      <c r="BJ107" t="str">
        <f>IF($A107&gt;BJ$79,"",IF(T&lt;=BJ$11,"",100*h*MAX((EXP(IRTree!BJ41*h)-1)/h -$D$6,0)))</f>
        <v/>
      </c>
    </row>
    <row r="108" spans="1:62">
      <c r="A108" s="22">
        <f t="shared" si="5"/>
        <v>28</v>
      </c>
      <c r="B108" t="str">
        <f>IF($A108&gt;B$79,"",IF(T&lt;=B$11,"",100*h*MAX((EXP(IRTree!B42*h)-1)/h -$D$6,0)))</f>
        <v/>
      </c>
      <c r="C108" t="str">
        <f>IF($A108&gt;C$79,"",IF(T&lt;=C$11,"",100*h*MAX((EXP(IRTree!C42*h)-1)/h -$D$6,0)))</f>
        <v/>
      </c>
      <c r="D108" t="str">
        <f>IF($A108&gt;D$79,"",IF(T&lt;=D$11,"",100*h*MAX((EXP(IRTree!D42*h)-1)/h -$D$6,0)))</f>
        <v/>
      </c>
      <c r="E108" t="str">
        <f>IF($A108&gt;E$79,"",IF(T&lt;=E$11,"",100*h*MAX((EXP(IRTree!E42*h)-1)/h -$D$6,0)))</f>
        <v/>
      </c>
      <c r="F108" t="str">
        <f>IF($A108&gt;F$79,"",IF(T&lt;=F$11,"",100*h*MAX((EXP(IRTree!F42*h)-1)/h -$D$6,0)))</f>
        <v/>
      </c>
      <c r="G108" t="str">
        <f>IF($A108&gt;G$79,"",IF(T&lt;=G$11,"",100*h*MAX((EXP(IRTree!G42*h)-1)/h -$D$6,0)))</f>
        <v/>
      </c>
      <c r="H108" t="str">
        <f>IF($A108&gt;H$79,"",IF(T&lt;=H$11,"",100*h*MAX((EXP(IRTree!H42*h)-1)/h -$D$6,0)))</f>
        <v/>
      </c>
      <c r="I108" t="str">
        <f>IF($A108&gt;I$79,"",IF(T&lt;=I$11,"",100*h*MAX((EXP(IRTree!I42*h)-1)/h -$D$6,0)))</f>
        <v/>
      </c>
      <c r="J108" t="str">
        <f>IF($A108&gt;J$79,"",IF(T&lt;=J$11,"",100*h*MAX((EXP(IRTree!J42*h)-1)/h -$D$6,0)))</f>
        <v/>
      </c>
      <c r="K108" t="str">
        <f>IF($A108&gt;K$79,"",IF(T&lt;=K$11,"",100*h*MAX((EXP(IRTree!K42*h)-1)/h -$D$6,0)))</f>
        <v/>
      </c>
      <c r="L108" t="str">
        <f>IF($A108&gt;L$79,"",IF(T&lt;=L$11,"",100*h*MAX((EXP(IRTree!L42*h)-1)/h -$D$6,0)))</f>
        <v/>
      </c>
      <c r="M108" t="str">
        <f>IF($A108&gt;M$79,"",IF(T&lt;=M$11,"",100*h*MAX((EXP(IRTree!M42*h)-1)/h -$D$6,0)))</f>
        <v/>
      </c>
      <c r="N108" t="str">
        <f>IF($A108&gt;N$79,"",IF(T&lt;=N$11,"",100*h*MAX((EXP(IRTree!N42*h)-1)/h -$D$6,0)))</f>
        <v/>
      </c>
      <c r="O108" t="str">
        <f>IF($A108&gt;O$79,"",IF(T&lt;=O$11,"",100*h*MAX((EXP(IRTree!O42*h)-1)/h -$D$6,0)))</f>
        <v/>
      </c>
      <c r="P108" t="str">
        <f>IF($A108&gt;P$79,"",IF(T&lt;=P$11,"",100*h*MAX((EXP(IRTree!P42*h)-1)/h -$D$6,0)))</f>
        <v/>
      </c>
      <c r="Q108" t="str">
        <f>IF($A108&gt;Q$79,"",IF(T&lt;=Q$11,"",100*h*MAX((EXP(IRTree!Q42*h)-1)/h -$D$6,0)))</f>
        <v/>
      </c>
      <c r="R108" t="str">
        <f>IF($A108&gt;R$79,"",IF(T&lt;=R$11,"",100*h*MAX((EXP(IRTree!R42*h)-1)/h -$D$6,0)))</f>
        <v/>
      </c>
      <c r="S108" t="str">
        <f>IF($A108&gt;S$79,"",IF(T&lt;=S$11,"",100*h*MAX((EXP(IRTree!S42*h)-1)/h -$D$6,0)))</f>
        <v/>
      </c>
      <c r="T108" t="str">
        <f>IF($A108&gt;T$79,"",IF(T&lt;=T$11,"",100*h*MAX((EXP(IRTree!T42*h)-1)/h -$D$6,0)))</f>
        <v/>
      </c>
      <c r="U108" t="str">
        <f>IF($A108&gt;U$79,"",IF(T&lt;=U$11,"",100*h*MAX((EXP(IRTree!U42*h)-1)/h -$D$6,0)))</f>
        <v/>
      </c>
      <c r="V108" t="str">
        <f>IF($A108&gt;V$79,"",IF(T&lt;=V$11,"",100*h*MAX((EXP(IRTree!V42*h)-1)/h -$D$6,0)))</f>
        <v/>
      </c>
      <c r="W108" t="str">
        <f>IF($A108&gt;W$79,"",IF(T&lt;=W$11,"",100*h*MAX((EXP(IRTree!W42*h)-1)/h -$D$6,0)))</f>
        <v/>
      </c>
      <c r="X108" t="str">
        <f>IF($A108&gt;X$79,"",IF(T&lt;=X$11,"",100*h*MAX((EXP(IRTree!X42*h)-1)/h -$D$6,0)))</f>
        <v/>
      </c>
      <c r="Y108" t="str">
        <f>IF($A108&gt;Y$79,"",IF(T&lt;=Y$11,"",100*h*MAX((EXP(IRTree!Y42*h)-1)/h -$D$6,0)))</f>
        <v/>
      </c>
      <c r="Z108" t="str">
        <f>IF($A108&gt;Z$79,"",IF(T&lt;=Z$11,"",100*h*MAX((EXP(IRTree!Z42*h)-1)/h -$D$6,0)))</f>
        <v/>
      </c>
      <c r="AA108" t="str">
        <f>IF($A108&gt;AA$79,"",IF(T&lt;=AA$11,"",100*h*MAX((EXP(IRTree!AA42*h)-1)/h -$D$6,0)))</f>
        <v/>
      </c>
      <c r="AB108" t="str">
        <f>IF($A108&gt;AB$79,"",IF(T&lt;=AB$11,"",100*h*MAX((EXP(IRTree!AB42*h)-1)/h -$D$6,0)))</f>
        <v/>
      </c>
      <c r="AC108" t="str">
        <f>IF($A108&gt;AC$79,"",IF(T&lt;=AC$11,"",100*h*MAX((EXP(IRTree!AC42*h)-1)/h -$D$6,0)))</f>
        <v/>
      </c>
      <c r="AD108">
        <f>IF($A108&gt;AD$79,"",IF(T&lt;=AD$11,"",100*h*MAX((EXP(IRTree!AD42*h)-1)/h -$D$6,0)))</f>
        <v>0</v>
      </c>
      <c r="AE108">
        <f>IF($A108&gt;AE$79,"",IF(T&lt;=AE$11,"",100*h*MAX((EXP(IRTree!AE42*h)-1)/h -$D$6,0)))</f>
        <v>0</v>
      </c>
      <c r="AF108">
        <f>IF($A108&gt;AF$79,"",IF(T&lt;=AF$11,"",100*h*MAX((EXP(IRTree!AF42*h)-1)/h -$D$6,0)))</f>
        <v>0</v>
      </c>
      <c r="AG108">
        <f>IF($A108&gt;AG$79,"",IF(T&lt;=AG$11,"",100*h*MAX((EXP(IRTree!AG42*h)-1)/h -$D$6,0)))</f>
        <v>0</v>
      </c>
      <c r="AH108">
        <f>IF($A108&gt;AH$79,"",IF(T&lt;=AH$11,"",100*h*MAX((EXP(IRTree!AH42*h)-1)/h -$D$6,0)))</f>
        <v>0</v>
      </c>
      <c r="AI108">
        <f>IF($A108&gt;AI$79,"",IF(T&lt;=AI$11,"",100*h*MAX((EXP(IRTree!AI42*h)-1)/h -$D$6,0)))</f>
        <v>0</v>
      </c>
      <c r="AJ108">
        <f>IF($A108&gt;AJ$79,"",IF(T&lt;=AJ$11,"",100*h*MAX((EXP(IRTree!AJ42*h)-1)/h -$D$6,0)))</f>
        <v>0</v>
      </c>
      <c r="AK108">
        <f>IF($A108&gt;AK$79,"",IF(T&lt;=AK$11,"",100*h*MAX((EXP(IRTree!AK42*h)-1)/h -$D$6,0)))</f>
        <v>0</v>
      </c>
      <c r="AL108">
        <f>IF($A108&gt;AL$79,"",IF(T&lt;=AL$11,"",100*h*MAX((EXP(IRTree!AL42*h)-1)/h -$D$6,0)))</f>
        <v>0</v>
      </c>
      <c r="AM108">
        <f>IF($A108&gt;AM$79,"",IF(T&lt;=AM$11,"",100*h*MAX((EXP(IRTree!AM42*h)-1)/h -$D$6,0)))</f>
        <v>0</v>
      </c>
      <c r="AN108">
        <f>IF($A108&gt;AN$79,"",IF(T&lt;=AN$11,"",100*h*MAX((EXP(IRTree!AN42*h)-1)/h -$D$6,0)))</f>
        <v>0</v>
      </c>
      <c r="AO108">
        <f>IF($A108&gt;AO$79,"",IF(T&lt;=AO$11,"",100*h*MAX((EXP(IRTree!AO42*h)-1)/h -$D$6,0)))</f>
        <v>0</v>
      </c>
      <c r="AP108" t="str">
        <f>IF($A108&gt;AP$79,"",IF(T&lt;=AP$11,"",100*h*MAX((EXP(IRTree!AP42*h)-1)/h -$D$6,0)))</f>
        <v/>
      </c>
      <c r="AQ108" t="str">
        <f>IF($A108&gt;AQ$79,"",IF(T&lt;=AQ$11,"",100*h*MAX((EXP(IRTree!AQ42*h)-1)/h -$D$6,0)))</f>
        <v/>
      </c>
      <c r="AR108" t="str">
        <f>IF($A108&gt;AR$79,"",IF(T&lt;=AR$11,"",100*h*MAX((EXP(IRTree!AR42*h)-1)/h -$D$6,0)))</f>
        <v/>
      </c>
      <c r="AS108" t="str">
        <f>IF($A108&gt;AS$79,"",IF(T&lt;=AS$11,"",100*h*MAX((EXP(IRTree!AS42*h)-1)/h -$D$6,0)))</f>
        <v/>
      </c>
      <c r="AT108" t="str">
        <f>IF($A108&gt;AT$79,"",IF(T&lt;=AT$11,"",100*h*MAX((EXP(IRTree!AT42*h)-1)/h -$D$6,0)))</f>
        <v/>
      </c>
      <c r="AU108" t="str">
        <f>IF($A108&gt;AU$79,"",IF(T&lt;=AU$11,"",100*h*MAX((EXP(IRTree!AU42*h)-1)/h -$D$6,0)))</f>
        <v/>
      </c>
      <c r="AV108" t="str">
        <f>IF($A108&gt;AV$79,"",IF(T&lt;=AV$11,"",100*h*MAX((EXP(IRTree!AV42*h)-1)/h -$D$6,0)))</f>
        <v/>
      </c>
      <c r="AW108" t="str">
        <f>IF($A108&gt;AW$79,"",IF(T&lt;=AW$11,"",100*h*MAX((EXP(IRTree!AW42*h)-1)/h -$D$6,0)))</f>
        <v/>
      </c>
      <c r="AX108" t="str">
        <f>IF($A108&gt;AX$79,"",IF(T&lt;=AX$11,"",100*h*MAX((EXP(IRTree!AX42*h)-1)/h -$D$6,0)))</f>
        <v/>
      </c>
      <c r="AY108" t="str">
        <f>IF($A108&gt;AY$79,"",IF(T&lt;=AY$11,"",100*h*MAX((EXP(IRTree!AY42*h)-1)/h -$D$6,0)))</f>
        <v/>
      </c>
      <c r="AZ108" t="str">
        <f>IF($A108&gt;AZ$79,"",IF(T&lt;=AZ$11,"",100*h*MAX((EXP(IRTree!AZ42*h)-1)/h -$D$6,0)))</f>
        <v/>
      </c>
      <c r="BA108" t="str">
        <f>IF($A108&gt;BA$79,"",IF(T&lt;=BA$11,"",100*h*MAX((EXP(IRTree!BA42*h)-1)/h -$D$6,0)))</f>
        <v/>
      </c>
      <c r="BB108" t="str">
        <f>IF($A108&gt;BB$79,"",IF(T&lt;=BB$11,"",100*h*MAX((EXP(IRTree!BB42*h)-1)/h -$D$6,0)))</f>
        <v/>
      </c>
      <c r="BC108" t="str">
        <f>IF($A108&gt;BC$79,"",IF(T&lt;=BC$11,"",100*h*MAX((EXP(IRTree!BC42*h)-1)/h -$D$6,0)))</f>
        <v/>
      </c>
      <c r="BD108" t="str">
        <f>IF($A108&gt;BD$79,"",IF(T&lt;=BD$11,"",100*h*MAX((EXP(IRTree!BD42*h)-1)/h -$D$6,0)))</f>
        <v/>
      </c>
      <c r="BE108" t="str">
        <f>IF($A108&gt;BE$79,"",IF(T&lt;=BE$11,"",100*h*MAX((EXP(IRTree!BE42*h)-1)/h -$D$6,0)))</f>
        <v/>
      </c>
      <c r="BF108" t="str">
        <f>IF($A108&gt;BF$79,"",IF(T&lt;=BF$11,"",100*h*MAX((EXP(IRTree!BF42*h)-1)/h -$D$6,0)))</f>
        <v/>
      </c>
      <c r="BG108" t="str">
        <f>IF($A108&gt;BG$79,"",IF(T&lt;=BG$11,"",100*h*MAX((EXP(IRTree!BG42*h)-1)/h -$D$6,0)))</f>
        <v/>
      </c>
      <c r="BH108" t="str">
        <f>IF($A108&gt;BH$79,"",IF(T&lt;=BH$11,"",100*h*MAX((EXP(IRTree!BH42*h)-1)/h -$D$6,0)))</f>
        <v/>
      </c>
      <c r="BI108" t="str">
        <f>IF($A108&gt;BI$79,"",IF(T&lt;=BI$11,"",100*h*MAX((EXP(IRTree!BI42*h)-1)/h -$D$6,0)))</f>
        <v/>
      </c>
      <c r="BJ108" t="str">
        <f>IF($A108&gt;BJ$79,"",IF(T&lt;=BJ$11,"",100*h*MAX((EXP(IRTree!BJ42*h)-1)/h -$D$6,0)))</f>
        <v/>
      </c>
    </row>
    <row r="109" spans="1:62">
      <c r="A109" s="22">
        <f t="shared" si="5"/>
        <v>29</v>
      </c>
      <c r="B109" t="str">
        <f>IF($A109&gt;B$79,"",IF(T&lt;=B$11,"",100*h*MAX((EXP(IRTree!B43*h)-1)/h -$D$6,0)))</f>
        <v/>
      </c>
      <c r="C109" t="str">
        <f>IF($A109&gt;C$79,"",IF(T&lt;=C$11,"",100*h*MAX((EXP(IRTree!C43*h)-1)/h -$D$6,0)))</f>
        <v/>
      </c>
      <c r="D109" t="str">
        <f>IF($A109&gt;D$79,"",IF(T&lt;=D$11,"",100*h*MAX((EXP(IRTree!D43*h)-1)/h -$D$6,0)))</f>
        <v/>
      </c>
      <c r="E109" t="str">
        <f>IF($A109&gt;E$79,"",IF(T&lt;=E$11,"",100*h*MAX((EXP(IRTree!E43*h)-1)/h -$D$6,0)))</f>
        <v/>
      </c>
      <c r="F109" t="str">
        <f>IF($A109&gt;F$79,"",IF(T&lt;=F$11,"",100*h*MAX((EXP(IRTree!F43*h)-1)/h -$D$6,0)))</f>
        <v/>
      </c>
      <c r="G109" t="str">
        <f>IF($A109&gt;G$79,"",IF(T&lt;=G$11,"",100*h*MAX((EXP(IRTree!G43*h)-1)/h -$D$6,0)))</f>
        <v/>
      </c>
      <c r="H109" t="str">
        <f>IF($A109&gt;H$79,"",IF(T&lt;=H$11,"",100*h*MAX((EXP(IRTree!H43*h)-1)/h -$D$6,0)))</f>
        <v/>
      </c>
      <c r="I109" t="str">
        <f>IF($A109&gt;I$79,"",IF(T&lt;=I$11,"",100*h*MAX((EXP(IRTree!I43*h)-1)/h -$D$6,0)))</f>
        <v/>
      </c>
      <c r="J109" t="str">
        <f>IF($A109&gt;J$79,"",IF(T&lt;=J$11,"",100*h*MAX((EXP(IRTree!J43*h)-1)/h -$D$6,0)))</f>
        <v/>
      </c>
      <c r="K109" t="str">
        <f>IF($A109&gt;K$79,"",IF(T&lt;=K$11,"",100*h*MAX((EXP(IRTree!K43*h)-1)/h -$D$6,0)))</f>
        <v/>
      </c>
      <c r="L109" t="str">
        <f>IF($A109&gt;L$79,"",IF(T&lt;=L$11,"",100*h*MAX((EXP(IRTree!L43*h)-1)/h -$D$6,0)))</f>
        <v/>
      </c>
      <c r="M109" t="str">
        <f>IF($A109&gt;M$79,"",IF(T&lt;=M$11,"",100*h*MAX((EXP(IRTree!M43*h)-1)/h -$D$6,0)))</f>
        <v/>
      </c>
      <c r="N109" t="str">
        <f>IF($A109&gt;N$79,"",IF(T&lt;=N$11,"",100*h*MAX((EXP(IRTree!N43*h)-1)/h -$D$6,0)))</f>
        <v/>
      </c>
      <c r="O109" t="str">
        <f>IF($A109&gt;O$79,"",IF(T&lt;=O$11,"",100*h*MAX((EXP(IRTree!O43*h)-1)/h -$D$6,0)))</f>
        <v/>
      </c>
      <c r="P109" t="str">
        <f>IF($A109&gt;P$79,"",IF(T&lt;=P$11,"",100*h*MAX((EXP(IRTree!P43*h)-1)/h -$D$6,0)))</f>
        <v/>
      </c>
      <c r="Q109" t="str">
        <f>IF($A109&gt;Q$79,"",IF(T&lt;=Q$11,"",100*h*MAX((EXP(IRTree!Q43*h)-1)/h -$D$6,0)))</f>
        <v/>
      </c>
      <c r="R109" t="str">
        <f>IF($A109&gt;R$79,"",IF(T&lt;=R$11,"",100*h*MAX((EXP(IRTree!R43*h)-1)/h -$D$6,0)))</f>
        <v/>
      </c>
      <c r="S109" t="str">
        <f>IF($A109&gt;S$79,"",IF(T&lt;=S$11,"",100*h*MAX((EXP(IRTree!S43*h)-1)/h -$D$6,0)))</f>
        <v/>
      </c>
      <c r="T109" t="str">
        <f>IF($A109&gt;T$79,"",IF(T&lt;=T$11,"",100*h*MAX((EXP(IRTree!T43*h)-1)/h -$D$6,0)))</f>
        <v/>
      </c>
      <c r="U109" t="str">
        <f>IF($A109&gt;U$79,"",IF(T&lt;=U$11,"",100*h*MAX((EXP(IRTree!U43*h)-1)/h -$D$6,0)))</f>
        <v/>
      </c>
      <c r="V109" t="str">
        <f>IF($A109&gt;V$79,"",IF(T&lt;=V$11,"",100*h*MAX((EXP(IRTree!V43*h)-1)/h -$D$6,0)))</f>
        <v/>
      </c>
      <c r="W109" t="str">
        <f>IF($A109&gt;W$79,"",IF(T&lt;=W$11,"",100*h*MAX((EXP(IRTree!W43*h)-1)/h -$D$6,0)))</f>
        <v/>
      </c>
      <c r="X109" t="str">
        <f>IF($A109&gt;X$79,"",IF(T&lt;=X$11,"",100*h*MAX((EXP(IRTree!X43*h)-1)/h -$D$6,0)))</f>
        <v/>
      </c>
      <c r="Y109" t="str">
        <f>IF($A109&gt;Y$79,"",IF(T&lt;=Y$11,"",100*h*MAX((EXP(IRTree!Y43*h)-1)/h -$D$6,0)))</f>
        <v/>
      </c>
      <c r="Z109" t="str">
        <f>IF($A109&gt;Z$79,"",IF(T&lt;=Z$11,"",100*h*MAX((EXP(IRTree!Z43*h)-1)/h -$D$6,0)))</f>
        <v/>
      </c>
      <c r="AA109" t="str">
        <f>IF($A109&gt;AA$79,"",IF(T&lt;=AA$11,"",100*h*MAX((EXP(IRTree!AA43*h)-1)/h -$D$6,0)))</f>
        <v/>
      </c>
      <c r="AB109" t="str">
        <f>IF($A109&gt;AB$79,"",IF(T&lt;=AB$11,"",100*h*MAX((EXP(IRTree!AB43*h)-1)/h -$D$6,0)))</f>
        <v/>
      </c>
      <c r="AC109" t="str">
        <f>IF($A109&gt;AC$79,"",IF(T&lt;=AC$11,"",100*h*MAX((EXP(IRTree!AC43*h)-1)/h -$D$6,0)))</f>
        <v/>
      </c>
      <c r="AD109" t="str">
        <f>IF($A109&gt;AD$79,"",IF(T&lt;=AD$11,"",100*h*MAX((EXP(IRTree!AD43*h)-1)/h -$D$6,0)))</f>
        <v/>
      </c>
      <c r="AE109">
        <f>IF($A109&gt;AE$79,"",IF(T&lt;=AE$11,"",100*h*MAX((EXP(IRTree!AE43*h)-1)/h -$D$6,0)))</f>
        <v>0</v>
      </c>
      <c r="AF109">
        <f>IF($A109&gt;AF$79,"",IF(T&lt;=AF$11,"",100*h*MAX((EXP(IRTree!AF43*h)-1)/h -$D$6,0)))</f>
        <v>0</v>
      </c>
      <c r="AG109">
        <f>IF($A109&gt;AG$79,"",IF(T&lt;=AG$11,"",100*h*MAX((EXP(IRTree!AG43*h)-1)/h -$D$6,0)))</f>
        <v>0</v>
      </c>
      <c r="AH109">
        <f>IF($A109&gt;AH$79,"",IF(T&lt;=AH$11,"",100*h*MAX((EXP(IRTree!AH43*h)-1)/h -$D$6,0)))</f>
        <v>0</v>
      </c>
      <c r="AI109">
        <f>IF($A109&gt;AI$79,"",IF(T&lt;=AI$11,"",100*h*MAX((EXP(IRTree!AI43*h)-1)/h -$D$6,0)))</f>
        <v>0</v>
      </c>
      <c r="AJ109">
        <f>IF($A109&gt;AJ$79,"",IF(T&lt;=AJ$11,"",100*h*MAX((EXP(IRTree!AJ43*h)-1)/h -$D$6,0)))</f>
        <v>0</v>
      </c>
      <c r="AK109">
        <f>IF($A109&gt;AK$79,"",IF(T&lt;=AK$11,"",100*h*MAX((EXP(IRTree!AK43*h)-1)/h -$D$6,0)))</f>
        <v>0</v>
      </c>
      <c r="AL109">
        <f>IF($A109&gt;AL$79,"",IF(T&lt;=AL$11,"",100*h*MAX((EXP(IRTree!AL43*h)-1)/h -$D$6,0)))</f>
        <v>0</v>
      </c>
      <c r="AM109">
        <f>IF($A109&gt;AM$79,"",IF(T&lt;=AM$11,"",100*h*MAX((EXP(IRTree!AM43*h)-1)/h -$D$6,0)))</f>
        <v>0</v>
      </c>
      <c r="AN109">
        <f>IF($A109&gt;AN$79,"",IF(T&lt;=AN$11,"",100*h*MAX((EXP(IRTree!AN43*h)-1)/h -$D$6,0)))</f>
        <v>0</v>
      </c>
      <c r="AO109">
        <f>IF($A109&gt;AO$79,"",IF(T&lt;=AO$11,"",100*h*MAX((EXP(IRTree!AO43*h)-1)/h -$D$6,0)))</f>
        <v>0</v>
      </c>
      <c r="AP109" t="str">
        <f>IF($A109&gt;AP$79,"",IF(T&lt;=AP$11,"",100*h*MAX((EXP(IRTree!AP43*h)-1)/h -$D$6,0)))</f>
        <v/>
      </c>
      <c r="AQ109" t="str">
        <f>IF($A109&gt;AQ$79,"",IF(T&lt;=AQ$11,"",100*h*MAX((EXP(IRTree!AQ43*h)-1)/h -$D$6,0)))</f>
        <v/>
      </c>
      <c r="AR109" t="str">
        <f>IF($A109&gt;AR$79,"",IF(T&lt;=AR$11,"",100*h*MAX((EXP(IRTree!AR43*h)-1)/h -$D$6,0)))</f>
        <v/>
      </c>
      <c r="AS109" t="str">
        <f>IF($A109&gt;AS$79,"",IF(T&lt;=AS$11,"",100*h*MAX((EXP(IRTree!AS43*h)-1)/h -$D$6,0)))</f>
        <v/>
      </c>
      <c r="AT109" t="str">
        <f>IF($A109&gt;AT$79,"",IF(T&lt;=AT$11,"",100*h*MAX((EXP(IRTree!AT43*h)-1)/h -$D$6,0)))</f>
        <v/>
      </c>
      <c r="AU109" t="str">
        <f>IF($A109&gt;AU$79,"",IF(T&lt;=AU$11,"",100*h*MAX((EXP(IRTree!AU43*h)-1)/h -$D$6,0)))</f>
        <v/>
      </c>
      <c r="AV109" t="str">
        <f>IF($A109&gt;AV$79,"",IF(T&lt;=AV$11,"",100*h*MAX((EXP(IRTree!AV43*h)-1)/h -$D$6,0)))</f>
        <v/>
      </c>
      <c r="AW109" t="str">
        <f>IF($A109&gt;AW$79,"",IF(T&lt;=AW$11,"",100*h*MAX((EXP(IRTree!AW43*h)-1)/h -$D$6,0)))</f>
        <v/>
      </c>
      <c r="AX109" t="str">
        <f>IF($A109&gt;AX$79,"",IF(T&lt;=AX$11,"",100*h*MAX((EXP(IRTree!AX43*h)-1)/h -$D$6,0)))</f>
        <v/>
      </c>
      <c r="AY109" t="str">
        <f>IF($A109&gt;AY$79,"",IF(T&lt;=AY$11,"",100*h*MAX((EXP(IRTree!AY43*h)-1)/h -$D$6,0)))</f>
        <v/>
      </c>
      <c r="AZ109" t="str">
        <f>IF($A109&gt;AZ$79,"",IF(T&lt;=AZ$11,"",100*h*MAX((EXP(IRTree!AZ43*h)-1)/h -$D$6,0)))</f>
        <v/>
      </c>
      <c r="BA109" t="str">
        <f>IF($A109&gt;BA$79,"",IF(T&lt;=BA$11,"",100*h*MAX((EXP(IRTree!BA43*h)-1)/h -$D$6,0)))</f>
        <v/>
      </c>
      <c r="BB109" t="str">
        <f>IF($A109&gt;BB$79,"",IF(T&lt;=BB$11,"",100*h*MAX((EXP(IRTree!BB43*h)-1)/h -$D$6,0)))</f>
        <v/>
      </c>
      <c r="BC109" t="str">
        <f>IF($A109&gt;BC$79,"",IF(T&lt;=BC$11,"",100*h*MAX((EXP(IRTree!BC43*h)-1)/h -$D$6,0)))</f>
        <v/>
      </c>
      <c r="BD109" t="str">
        <f>IF($A109&gt;BD$79,"",IF(T&lt;=BD$11,"",100*h*MAX((EXP(IRTree!BD43*h)-1)/h -$D$6,0)))</f>
        <v/>
      </c>
      <c r="BE109" t="str">
        <f>IF($A109&gt;BE$79,"",IF(T&lt;=BE$11,"",100*h*MAX((EXP(IRTree!BE43*h)-1)/h -$D$6,0)))</f>
        <v/>
      </c>
      <c r="BF109" t="str">
        <f>IF($A109&gt;BF$79,"",IF(T&lt;=BF$11,"",100*h*MAX((EXP(IRTree!BF43*h)-1)/h -$D$6,0)))</f>
        <v/>
      </c>
      <c r="BG109" t="str">
        <f>IF($A109&gt;BG$79,"",IF(T&lt;=BG$11,"",100*h*MAX((EXP(IRTree!BG43*h)-1)/h -$D$6,0)))</f>
        <v/>
      </c>
      <c r="BH109" t="str">
        <f>IF($A109&gt;BH$79,"",IF(T&lt;=BH$11,"",100*h*MAX((EXP(IRTree!BH43*h)-1)/h -$D$6,0)))</f>
        <v/>
      </c>
      <c r="BI109" t="str">
        <f>IF($A109&gt;BI$79,"",IF(T&lt;=BI$11,"",100*h*MAX((EXP(IRTree!BI43*h)-1)/h -$D$6,0)))</f>
        <v/>
      </c>
      <c r="BJ109" t="str">
        <f>IF($A109&gt;BJ$79,"",IF(T&lt;=BJ$11,"",100*h*MAX((EXP(IRTree!BJ43*h)-1)/h -$D$6,0)))</f>
        <v/>
      </c>
    </row>
    <row r="110" spans="1:62">
      <c r="A110" s="22">
        <f t="shared" si="5"/>
        <v>30</v>
      </c>
      <c r="B110" t="str">
        <f>IF($A110&gt;B$79,"",IF(T&lt;=B$11,"",100*h*MAX((EXP(IRTree!B44*h)-1)/h -$D$6,0)))</f>
        <v/>
      </c>
      <c r="C110" t="str">
        <f>IF($A110&gt;C$79,"",IF(T&lt;=C$11,"",100*h*MAX((EXP(IRTree!C44*h)-1)/h -$D$6,0)))</f>
        <v/>
      </c>
      <c r="D110" t="str">
        <f>IF($A110&gt;D$79,"",IF(T&lt;=D$11,"",100*h*MAX((EXP(IRTree!D44*h)-1)/h -$D$6,0)))</f>
        <v/>
      </c>
      <c r="E110" t="str">
        <f>IF($A110&gt;E$79,"",IF(T&lt;=E$11,"",100*h*MAX((EXP(IRTree!E44*h)-1)/h -$D$6,0)))</f>
        <v/>
      </c>
      <c r="F110" t="str">
        <f>IF($A110&gt;F$79,"",IF(T&lt;=F$11,"",100*h*MAX((EXP(IRTree!F44*h)-1)/h -$D$6,0)))</f>
        <v/>
      </c>
      <c r="G110" t="str">
        <f>IF($A110&gt;G$79,"",IF(T&lt;=G$11,"",100*h*MAX((EXP(IRTree!G44*h)-1)/h -$D$6,0)))</f>
        <v/>
      </c>
      <c r="H110" t="str">
        <f>IF($A110&gt;H$79,"",IF(T&lt;=H$11,"",100*h*MAX((EXP(IRTree!H44*h)-1)/h -$D$6,0)))</f>
        <v/>
      </c>
      <c r="I110" t="str">
        <f>IF($A110&gt;I$79,"",IF(T&lt;=I$11,"",100*h*MAX((EXP(IRTree!I44*h)-1)/h -$D$6,0)))</f>
        <v/>
      </c>
      <c r="J110" t="str">
        <f>IF($A110&gt;J$79,"",IF(T&lt;=J$11,"",100*h*MAX((EXP(IRTree!J44*h)-1)/h -$D$6,0)))</f>
        <v/>
      </c>
      <c r="K110" t="str">
        <f>IF($A110&gt;K$79,"",IF(T&lt;=K$11,"",100*h*MAX((EXP(IRTree!K44*h)-1)/h -$D$6,0)))</f>
        <v/>
      </c>
      <c r="L110" t="str">
        <f>IF($A110&gt;L$79,"",IF(T&lt;=L$11,"",100*h*MAX((EXP(IRTree!L44*h)-1)/h -$D$6,0)))</f>
        <v/>
      </c>
      <c r="M110" t="str">
        <f>IF($A110&gt;M$79,"",IF(T&lt;=M$11,"",100*h*MAX((EXP(IRTree!M44*h)-1)/h -$D$6,0)))</f>
        <v/>
      </c>
      <c r="N110" t="str">
        <f>IF($A110&gt;N$79,"",IF(T&lt;=N$11,"",100*h*MAX((EXP(IRTree!N44*h)-1)/h -$D$6,0)))</f>
        <v/>
      </c>
      <c r="O110" t="str">
        <f>IF($A110&gt;O$79,"",IF(T&lt;=O$11,"",100*h*MAX((EXP(IRTree!O44*h)-1)/h -$D$6,0)))</f>
        <v/>
      </c>
      <c r="P110" t="str">
        <f>IF($A110&gt;P$79,"",IF(T&lt;=P$11,"",100*h*MAX((EXP(IRTree!P44*h)-1)/h -$D$6,0)))</f>
        <v/>
      </c>
      <c r="Q110" t="str">
        <f>IF($A110&gt;Q$79,"",IF(T&lt;=Q$11,"",100*h*MAX((EXP(IRTree!Q44*h)-1)/h -$D$6,0)))</f>
        <v/>
      </c>
      <c r="R110" t="str">
        <f>IF($A110&gt;R$79,"",IF(T&lt;=R$11,"",100*h*MAX((EXP(IRTree!R44*h)-1)/h -$D$6,0)))</f>
        <v/>
      </c>
      <c r="S110" t="str">
        <f>IF($A110&gt;S$79,"",IF(T&lt;=S$11,"",100*h*MAX((EXP(IRTree!S44*h)-1)/h -$D$6,0)))</f>
        <v/>
      </c>
      <c r="T110" t="str">
        <f>IF($A110&gt;T$79,"",IF(T&lt;=T$11,"",100*h*MAX((EXP(IRTree!T44*h)-1)/h -$D$6,0)))</f>
        <v/>
      </c>
      <c r="U110" t="str">
        <f>IF($A110&gt;U$79,"",IF(T&lt;=U$11,"",100*h*MAX((EXP(IRTree!U44*h)-1)/h -$D$6,0)))</f>
        <v/>
      </c>
      <c r="V110" t="str">
        <f>IF($A110&gt;V$79,"",IF(T&lt;=V$11,"",100*h*MAX((EXP(IRTree!V44*h)-1)/h -$D$6,0)))</f>
        <v/>
      </c>
      <c r="W110" t="str">
        <f>IF($A110&gt;W$79,"",IF(T&lt;=W$11,"",100*h*MAX((EXP(IRTree!W44*h)-1)/h -$D$6,0)))</f>
        <v/>
      </c>
      <c r="X110" t="str">
        <f>IF($A110&gt;X$79,"",IF(T&lt;=X$11,"",100*h*MAX((EXP(IRTree!X44*h)-1)/h -$D$6,0)))</f>
        <v/>
      </c>
      <c r="Y110" t="str">
        <f>IF($A110&gt;Y$79,"",IF(T&lt;=Y$11,"",100*h*MAX((EXP(IRTree!Y44*h)-1)/h -$D$6,0)))</f>
        <v/>
      </c>
      <c r="Z110" t="str">
        <f>IF($A110&gt;Z$79,"",IF(T&lt;=Z$11,"",100*h*MAX((EXP(IRTree!Z44*h)-1)/h -$D$6,0)))</f>
        <v/>
      </c>
      <c r="AA110" t="str">
        <f>IF($A110&gt;AA$79,"",IF(T&lt;=AA$11,"",100*h*MAX((EXP(IRTree!AA44*h)-1)/h -$D$6,0)))</f>
        <v/>
      </c>
      <c r="AB110" t="str">
        <f>IF($A110&gt;AB$79,"",IF(T&lt;=AB$11,"",100*h*MAX((EXP(IRTree!AB44*h)-1)/h -$D$6,0)))</f>
        <v/>
      </c>
      <c r="AC110" t="str">
        <f>IF($A110&gt;AC$79,"",IF(T&lt;=AC$11,"",100*h*MAX((EXP(IRTree!AC44*h)-1)/h -$D$6,0)))</f>
        <v/>
      </c>
      <c r="AD110" t="str">
        <f>IF($A110&gt;AD$79,"",IF(T&lt;=AD$11,"",100*h*MAX((EXP(IRTree!AD44*h)-1)/h -$D$6,0)))</f>
        <v/>
      </c>
      <c r="AE110" t="str">
        <f>IF($A110&gt;AE$79,"",IF(T&lt;=AE$11,"",100*h*MAX((EXP(IRTree!AE44*h)-1)/h -$D$6,0)))</f>
        <v/>
      </c>
      <c r="AF110">
        <f>IF($A110&gt;AF$79,"",IF(T&lt;=AF$11,"",100*h*MAX((EXP(IRTree!AF44*h)-1)/h -$D$6,0)))</f>
        <v>0</v>
      </c>
      <c r="AG110">
        <f>IF($A110&gt;AG$79,"",IF(T&lt;=AG$11,"",100*h*MAX((EXP(IRTree!AG44*h)-1)/h -$D$6,0)))</f>
        <v>0</v>
      </c>
      <c r="AH110">
        <f>IF($A110&gt;AH$79,"",IF(T&lt;=AH$11,"",100*h*MAX((EXP(IRTree!AH44*h)-1)/h -$D$6,0)))</f>
        <v>0</v>
      </c>
      <c r="AI110">
        <f>IF($A110&gt;AI$79,"",IF(T&lt;=AI$11,"",100*h*MAX((EXP(IRTree!AI44*h)-1)/h -$D$6,0)))</f>
        <v>0</v>
      </c>
      <c r="AJ110">
        <f>IF($A110&gt;AJ$79,"",IF(T&lt;=AJ$11,"",100*h*MAX((EXP(IRTree!AJ44*h)-1)/h -$D$6,0)))</f>
        <v>0</v>
      </c>
      <c r="AK110">
        <f>IF($A110&gt;AK$79,"",IF(T&lt;=AK$11,"",100*h*MAX((EXP(IRTree!AK44*h)-1)/h -$D$6,0)))</f>
        <v>0</v>
      </c>
      <c r="AL110">
        <f>IF($A110&gt;AL$79,"",IF(T&lt;=AL$11,"",100*h*MAX((EXP(IRTree!AL44*h)-1)/h -$D$6,0)))</f>
        <v>0</v>
      </c>
      <c r="AM110">
        <f>IF($A110&gt;AM$79,"",IF(T&lt;=AM$11,"",100*h*MAX((EXP(IRTree!AM44*h)-1)/h -$D$6,0)))</f>
        <v>0</v>
      </c>
      <c r="AN110">
        <f>IF($A110&gt;AN$79,"",IF(T&lt;=AN$11,"",100*h*MAX((EXP(IRTree!AN44*h)-1)/h -$D$6,0)))</f>
        <v>0</v>
      </c>
      <c r="AO110">
        <f>IF($A110&gt;AO$79,"",IF(T&lt;=AO$11,"",100*h*MAX((EXP(IRTree!AO44*h)-1)/h -$D$6,0)))</f>
        <v>0</v>
      </c>
      <c r="AP110" t="str">
        <f>IF($A110&gt;AP$79,"",IF(T&lt;=AP$11,"",100*h*MAX((EXP(IRTree!AP44*h)-1)/h -$D$6,0)))</f>
        <v/>
      </c>
      <c r="AQ110" t="str">
        <f>IF($A110&gt;AQ$79,"",IF(T&lt;=AQ$11,"",100*h*MAX((EXP(IRTree!AQ44*h)-1)/h -$D$6,0)))</f>
        <v/>
      </c>
      <c r="AR110" t="str">
        <f>IF($A110&gt;AR$79,"",IF(T&lt;=AR$11,"",100*h*MAX((EXP(IRTree!AR44*h)-1)/h -$D$6,0)))</f>
        <v/>
      </c>
      <c r="AS110" t="str">
        <f>IF($A110&gt;AS$79,"",IF(T&lt;=AS$11,"",100*h*MAX((EXP(IRTree!AS44*h)-1)/h -$D$6,0)))</f>
        <v/>
      </c>
      <c r="AT110" t="str">
        <f>IF($A110&gt;AT$79,"",IF(T&lt;=AT$11,"",100*h*MAX((EXP(IRTree!AT44*h)-1)/h -$D$6,0)))</f>
        <v/>
      </c>
      <c r="AU110" t="str">
        <f>IF($A110&gt;AU$79,"",IF(T&lt;=AU$11,"",100*h*MAX((EXP(IRTree!AU44*h)-1)/h -$D$6,0)))</f>
        <v/>
      </c>
      <c r="AV110" t="str">
        <f>IF($A110&gt;AV$79,"",IF(T&lt;=AV$11,"",100*h*MAX((EXP(IRTree!AV44*h)-1)/h -$D$6,0)))</f>
        <v/>
      </c>
      <c r="AW110" t="str">
        <f>IF($A110&gt;AW$79,"",IF(T&lt;=AW$11,"",100*h*MAX((EXP(IRTree!AW44*h)-1)/h -$D$6,0)))</f>
        <v/>
      </c>
      <c r="AX110" t="str">
        <f>IF($A110&gt;AX$79,"",IF(T&lt;=AX$11,"",100*h*MAX((EXP(IRTree!AX44*h)-1)/h -$D$6,0)))</f>
        <v/>
      </c>
      <c r="AY110" t="str">
        <f>IF($A110&gt;AY$79,"",IF(T&lt;=AY$11,"",100*h*MAX((EXP(IRTree!AY44*h)-1)/h -$D$6,0)))</f>
        <v/>
      </c>
      <c r="AZ110" t="str">
        <f>IF($A110&gt;AZ$79,"",IF(T&lt;=AZ$11,"",100*h*MAX((EXP(IRTree!AZ44*h)-1)/h -$D$6,0)))</f>
        <v/>
      </c>
      <c r="BA110" t="str">
        <f>IF($A110&gt;BA$79,"",IF(T&lt;=BA$11,"",100*h*MAX((EXP(IRTree!BA44*h)-1)/h -$D$6,0)))</f>
        <v/>
      </c>
      <c r="BB110" t="str">
        <f>IF($A110&gt;BB$79,"",IF(T&lt;=BB$11,"",100*h*MAX((EXP(IRTree!BB44*h)-1)/h -$D$6,0)))</f>
        <v/>
      </c>
      <c r="BC110" t="str">
        <f>IF($A110&gt;BC$79,"",IF(T&lt;=BC$11,"",100*h*MAX((EXP(IRTree!BC44*h)-1)/h -$D$6,0)))</f>
        <v/>
      </c>
      <c r="BD110" t="str">
        <f>IF($A110&gt;BD$79,"",IF(T&lt;=BD$11,"",100*h*MAX((EXP(IRTree!BD44*h)-1)/h -$D$6,0)))</f>
        <v/>
      </c>
      <c r="BE110" t="str">
        <f>IF($A110&gt;BE$79,"",IF(T&lt;=BE$11,"",100*h*MAX((EXP(IRTree!BE44*h)-1)/h -$D$6,0)))</f>
        <v/>
      </c>
      <c r="BF110" t="str">
        <f>IF($A110&gt;BF$79,"",IF(T&lt;=BF$11,"",100*h*MAX((EXP(IRTree!BF44*h)-1)/h -$D$6,0)))</f>
        <v/>
      </c>
      <c r="BG110" t="str">
        <f>IF($A110&gt;BG$79,"",IF(T&lt;=BG$11,"",100*h*MAX((EXP(IRTree!BG44*h)-1)/h -$D$6,0)))</f>
        <v/>
      </c>
      <c r="BH110" t="str">
        <f>IF($A110&gt;BH$79,"",IF(T&lt;=BH$11,"",100*h*MAX((EXP(IRTree!BH44*h)-1)/h -$D$6,0)))</f>
        <v/>
      </c>
      <c r="BI110" t="str">
        <f>IF($A110&gt;BI$79,"",IF(T&lt;=BI$11,"",100*h*MAX((EXP(IRTree!BI44*h)-1)/h -$D$6,0)))</f>
        <v/>
      </c>
      <c r="BJ110" t="str">
        <f>IF($A110&gt;BJ$79,"",IF(T&lt;=BJ$11,"",100*h*MAX((EXP(IRTree!BJ44*h)-1)/h -$D$6,0)))</f>
        <v/>
      </c>
    </row>
    <row r="111" spans="1:62">
      <c r="A111" s="22">
        <f t="shared" si="5"/>
        <v>31</v>
      </c>
      <c r="B111" t="str">
        <f>IF($A111&gt;B$79,"",IF(T&lt;=B$11,"",100*h*MAX((EXP(IRTree!B45*h)-1)/h -$D$6,0)))</f>
        <v/>
      </c>
      <c r="C111" t="str">
        <f>IF($A111&gt;C$79,"",IF(T&lt;=C$11,"",100*h*MAX((EXP(IRTree!C45*h)-1)/h -$D$6,0)))</f>
        <v/>
      </c>
      <c r="D111" t="str">
        <f>IF($A111&gt;D$79,"",IF(T&lt;=D$11,"",100*h*MAX((EXP(IRTree!D45*h)-1)/h -$D$6,0)))</f>
        <v/>
      </c>
      <c r="E111" t="str">
        <f>IF($A111&gt;E$79,"",IF(T&lt;=E$11,"",100*h*MAX((EXP(IRTree!E45*h)-1)/h -$D$6,0)))</f>
        <v/>
      </c>
      <c r="F111" t="str">
        <f>IF($A111&gt;F$79,"",IF(T&lt;=F$11,"",100*h*MAX((EXP(IRTree!F45*h)-1)/h -$D$6,0)))</f>
        <v/>
      </c>
      <c r="G111" t="str">
        <f>IF($A111&gt;G$79,"",IF(T&lt;=G$11,"",100*h*MAX((EXP(IRTree!G45*h)-1)/h -$D$6,0)))</f>
        <v/>
      </c>
      <c r="H111" t="str">
        <f>IF($A111&gt;H$79,"",IF(T&lt;=H$11,"",100*h*MAX((EXP(IRTree!H45*h)-1)/h -$D$6,0)))</f>
        <v/>
      </c>
      <c r="I111" t="str">
        <f>IF($A111&gt;I$79,"",IF(T&lt;=I$11,"",100*h*MAX((EXP(IRTree!I45*h)-1)/h -$D$6,0)))</f>
        <v/>
      </c>
      <c r="J111" t="str">
        <f>IF($A111&gt;J$79,"",IF(T&lt;=J$11,"",100*h*MAX((EXP(IRTree!J45*h)-1)/h -$D$6,0)))</f>
        <v/>
      </c>
      <c r="K111" t="str">
        <f>IF($A111&gt;K$79,"",IF(T&lt;=K$11,"",100*h*MAX((EXP(IRTree!K45*h)-1)/h -$D$6,0)))</f>
        <v/>
      </c>
      <c r="L111" t="str">
        <f>IF($A111&gt;L$79,"",IF(T&lt;=L$11,"",100*h*MAX((EXP(IRTree!L45*h)-1)/h -$D$6,0)))</f>
        <v/>
      </c>
      <c r="M111" t="str">
        <f>IF($A111&gt;M$79,"",IF(T&lt;=M$11,"",100*h*MAX((EXP(IRTree!M45*h)-1)/h -$D$6,0)))</f>
        <v/>
      </c>
      <c r="N111" t="str">
        <f>IF($A111&gt;N$79,"",IF(T&lt;=N$11,"",100*h*MAX((EXP(IRTree!N45*h)-1)/h -$D$6,0)))</f>
        <v/>
      </c>
      <c r="O111" t="str">
        <f>IF($A111&gt;O$79,"",IF(T&lt;=O$11,"",100*h*MAX((EXP(IRTree!O45*h)-1)/h -$D$6,0)))</f>
        <v/>
      </c>
      <c r="P111" t="str">
        <f>IF($A111&gt;P$79,"",IF(T&lt;=P$11,"",100*h*MAX((EXP(IRTree!P45*h)-1)/h -$D$6,0)))</f>
        <v/>
      </c>
      <c r="Q111" t="str">
        <f>IF($A111&gt;Q$79,"",IF(T&lt;=Q$11,"",100*h*MAX((EXP(IRTree!Q45*h)-1)/h -$D$6,0)))</f>
        <v/>
      </c>
      <c r="R111" t="str">
        <f>IF($A111&gt;R$79,"",IF(T&lt;=R$11,"",100*h*MAX((EXP(IRTree!R45*h)-1)/h -$D$6,0)))</f>
        <v/>
      </c>
      <c r="S111" t="str">
        <f>IF($A111&gt;S$79,"",IF(T&lt;=S$11,"",100*h*MAX((EXP(IRTree!S45*h)-1)/h -$D$6,0)))</f>
        <v/>
      </c>
      <c r="T111" t="str">
        <f>IF($A111&gt;T$79,"",IF(T&lt;=T$11,"",100*h*MAX((EXP(IRTree!T45*h)-1)/h -$D$6,0)))</f>
        <v/>
      </c>
      <c r="U111" t="str">
        <f>IF($A111&gt;U$79,"",IF(T&lt;=U$11,"",100*h*MAX((EXP(IRTree!U45*h)-1)/h -$D$6,0)))</f>
        <v/>
      </c>
      <c r="V111" t="str">
        <f>IF($A111&gt;V$79,"",IF(T&lt;=V$11,"",100*h*MAX((EXP(IRTree!V45*h)-1)/h -$D$6,0)))</f>
        <v/>
      </c>
      <c r="W111" t="str">
        <f>IF($A111&gt;W$79,"",IF(T&lt;=W$11,"",100*h*MAX((EXP(IRTree!W45*h)-1)/h -$D$6,0)))</f>
        <v/>
      </c>
      <c r="X111" t="str">
        <f>IF($A111&gt;X$79,"",IF(T&lt;=X$11,"",100*h*MAX((EXP(IRTree!X45*h)-1)/h -$D$6,0)))</f>
        <v/>
      </c>
      <c r="Y111" t="str">
        <f>IF($A111&gt;Y$79,"",IF(T&lt;=Y$11,"",100*h*MAX((EXP(IRTree!Y45*h)-1)/h -$D$6,0)))</f>
        <v/>
      </c>
      <c r="Z111" t="str">
        <f>IF($A111&gt;Z$79,"",IF(T&lt;=Z$11,"",100*h*MAX((EXP(IRTree!Z45*h)-1)/h -$D$6,0)))</f>
        <v/>
      </c>
      <c r="AA111" t="str">
        <f>IF($A111&gt;AA$79,"",IF(T&lt;=AA$11,"",100*h*MAX((EXP(IRTree!AA45*h)-1)/h -$D$6,0)))</f>
        <v/>
      </c>
      <c r="AB111" t="str">
        <f>IF($A111&gt;AB$79,"",IF(T&lt;=AB$11,"",100*h*MAX((EXP(IRTree!AB45*h)-1)/h -$D$6,0)))</f>
        <v/>
      </c>
      <c r="AC111" t="str">
        <f>IF($A111&gt;AC$79,"",IF(T&lt;=AC$11,"",100*h*MAX((EXP(IRTree!AC45*h)-1)/h -$D$6,0)))</f>
        <v/>
      </c>
      <c r="AD111" t="str">
        <f>IF($A111&gt;AD$79,"",IF(T&lt;=AD$11,"",100*h*MAX((EXP(IRTree!AD45*h)-1)/h -$D$6,0)))</f>
        <v/>
      </c>
      <c r="AE111" t="str">
        <f>IF($A111&gt;AE$79,"",IF(T&lt;=AE$11,"",100*h*MAX((EXP(IRTree!AE45*h)-1)/h -$D$6,0)))</f>
        <v/>
      </c>
      <c r="AF111" t="str">
        <f>IF($A111&gt;AF$79,"",IF(T&lt;=AF$11,"",100*h*MAX((EXP(IRTree!AF45*h)-1)/h -$D$6,0)))</f>
        <v/>
      </c>
      <c r="AG111">
        <f>IF($A111&gt;AG$79,"",IF(T&lt;=AG$11,"",100*h*MAX((EXP(IRTree!AG45*h)-1)/h -$D$6,0)))</f>
        <v>0</v>
      </c>
      <c r="AH111">
        <f>IF($A111&gt;AH$79,"",IF(T&lt;=AH$11,"",100*h*MAX((EXP(IRTree!AH45*h)-1)/h -$D$6,0)))</f>
        <v>0</v>
      </c>
      <c r="AI111">
        <f>IF($A111&gt;AI$79,"",IF(T&lt;=AI$11,"",100*h*MAX((EXP(IRTree!AI45*h)-1)/h -$D$6,0)))</f>
        <v>0</v>
      </c>
      <c r="AJ111">
        <f>IF($A111&gt;AJ$79,"",IF(T&lt;=AJ$11,"",100*h*MAX((EXP(IRTree!AJ45*h)-1)/h -$D$6,0)))</f>
        <v>0</v>
      </c>
      <c r="AK111">
        <f>IF($A111&gt;AK$79,"",IF(T&lt;=AK$11,"",100*h*MAX((EXP(IRTree!AK45*h)-1)/h -$D$6,0)))</f>
        <v>0</v>
      </c>
      <c r="AL111">
        <f>IF($A111&gt;AL$79,"",IF(T&lt;=AL$11,"",100*h*MAX((EXP(IRTree!AL45*h)-1)/h -$D$6,0)))</f>
        <v>0</v>
      </c>
      <c r="AM111">
        <f>IF($A111&gt;AM$79,"",IF(T&lt;=AM$11,"",100*h*MAX((EXP(IRTree!AM45*h)-1)/h -$D$6,0)))</f>
        <v>0</v>
      </c>
      <c r="AN111">
        <f>IF($A111&gt;AN$79,"",IF(T&lt;=AN$11,"",100*h*MAX((EXP(IRTree!AN45*h)-1)/h -$D$6,0)))</f>
        <v>0</v>
      </c>
      <c r="AO111">
        <f>IF($A111&gt;AO$79,"",IF(T&lt;=AO$11,"",100*h*MAX((EXP(IRTree!AO45*h)-1)/h -$D$6,0)))</f>
        <v>0</v>
      </c>
      <c r="AP111" t="str">
        <f>IF($A111&gt;AP$79,"",IF(T&lt;=AP$11,"",100*h*MAX((EXP(IRTree!AP45*h)-1)/h -$D$6,0)))</f>
        <v/>
      </c>
      <c r="AQ111" t="str">
        <f>IF($A111&gt;AQ$79,"",IF(T&lt;=AQ$11,"",100*h*MAX((EXP(IRTree!AQ45*h)-1)/h -$D$6,0)))</f>
        <v/>
      </c>
      <c r="AR111" t="str">
        <f>IF($A111&gt;AR$79,"",IF(T&lt;=AR$11,"",100*h*MAX((EXP(IRTree!AR45*h)-1)/h -$D$6,0)))</f>
        <v/>
      </c>
      <c r="AS111" t="str">
        <f>IF($A111&gt;AS$79,"",IF(T&lt;=AS$11,"",100*h*MAX((EXP(IRTree!AS45*h)-1)/h -$D$6,0)))</f>
        <v/>
      </c>
      <c r="AT111" t="str">
        <f>IF($A111&gt;AT$79,"",IF(T&lt;=AT$11,"",100*h*MAX((EXP(IRTree!AT45*h)-1)/h -$D$6,0)))</f>
        <v/>
      </c>
      <c r="AU111" t="str">
        <f>IF($A111&gt;AU$79,"",IF(T&lt;=AU$11,"",100*h*MAX((EXP(IRTree!AU45*h)-1)/h -$D$6,0)))</f>
        <v/>
      </c>
      <c r="AV111" t="str">
        <f>IF($A111&gt;AV$79,"",IF(T&lt;=AV$11,"",100*h*MAX((EXP(IRTree!AV45*h)-1)/h -$D$6,0)))</f>
        <v/>
      </c>
      <c r="AW111" t="str">
        <f>IF($A111&gt;AW$79,"",IF(T&lt;=AW$11,"",100*h*MAX((EXP(IRTree!AW45*h)-1)/h -$D$6,0)))</f>
        <v/>
      </c>
      <c r="AX111" t="str">
        <f>IF($A111&gt;AX$79,"",IF(T&lt;=AX$11,"",100*h*MAX((EXP(IRTree!AX45*h)-1)/h -$D$6,0)))</f>
        <v/>
      </c>
      <c r="AY111" t="str">
        <f>IF($A111&gt;AY$79,"",IF(T&lt;=AY$11,"",100*h*MAX((EXP(IRTree!AY45*h)-1)/h -$D$6,0)))</f>
        <v/>
      </c>
      <c r="AZ111" t="str">
        <f>IF($A111&gt;AZ$79,"",IF(T&lt;=AZ$11,"",100*h*MAX((EXP(IRTree!AZ45*h)-1)/h -$D$6,0)))</f>
        <v/>
      </c>
      <c r="BA111" t="str">
        <f>IF($A111&gt;BA$79,"",IF(T&lt;=BA$11,"",100*h*MAX((EXP(IRTree!BA45*h)-1)/h -$D$6,0)))</f>
        <v/>
      </c>
      <c r="BB111" t="str">
        <f>IF($A111&gt;BB$79,"",IF(T&lt;=BB$11,"",100*h*MAX((EXP(IRTree!BB45*h)-1)/h -$D$6,0)))</f>
        <v/>
      </c>
      <c r="BC111" t="str">
        <f>IF($A111&gt;BC$79,"",IF(T&lt;=BC$11,"",100*h*MAX((EXP(IRTree!BC45*h)-1)/h -$D$6,0)))</f>
        <v/>
      </c>
      <c r="BD111" t="str">
        <f>IF($A111&gt;BD$79,"",IF(T&lt;=BD$11,"",100*h*MAX((EXP(IRTree!BD45*h)-1)/h -$D$6,0)))</f>
        <v/>
      </c>
      <c r="BE111" t="str">
        <f>IF($A111&gt;BE$79,"",IF(T&lt;=BE$11,"",100*h*MAX((EXP(IRTree!BE45*h)-1)/h -$D$6,0)))</f>
        <v/>
      </c>
      <c r="BF111" t="str">
        <f>IF($A111&gt;BF$79,"",IF(T&lt;=BF$11,"",100*h*MAX((EXP(IRTree!BF45*h)-1)/h -$D$6,0)))</f>
        <v/>
      </c>
      <c r="BG111" t="str">
        <f>IF($A111&gt;BG$79,"",IF(T&lt;=BG$11,"",100*h*MAX((EXP(IRTree!BG45*h)-1)/h -$D$6,0)))</f>
        <v/>
      </c>
      <c r="BH111" t="str">
        <f>IF($A111&gt;BH$79,"",IF(T&lt;=BH$11,"",100*h*MAX((EXP(IRTree!BH45*h)-1)/h -$D$6,0)))</f>
        <v/>
      </c>
      <c r="BI111" t="str">
        <f>IF($A111&gt;BI$79,"",IF(T&lt;=BI$11,"",100*h*MAX((EXP(IRTree!BI45*h)-1)/h -$D$6,0)))</f>
        <v/>
      </c>
      <c r="BJ111" t="str">
        <f>IF($A111&gt;BJ$79,"",IF(T&lt;=BJ$11,"",100*h*MAX((EXP(IRTree!BJ45*h)-1)/h -$D$6,0)))</f>
        <v/>
      </c>
    </row>
    <row r="112" spans="1:62">
      <c r="A112" s="22">
        <f t="shared" si="5"/>
        <v>32</v>
      </c>
      <c r="B112" t="str">
        <f>IF($A112&gt;B$79,"",IF(T&lt;=B$11,"",100*h*MAX((EXP(IRTree!B46*h)-1)/h -$D$6,0)))</f>
        <v/>
      </c>
      <c r="C112" t="str">
        <f>IF($A112&gt;C$79,"",IF(T&lt;=C$11,"",100*h*MAX((EXP(IRTree!C46*h)-1)/h -$D$6,0)))</f>
        <v/>
      </c>
      <c r="D112" t="str">
        <f>IF($A112&gt;D$79,"",IF(T&lt;=D$11,"",100*h*MAX((EXP(IRTree!D46*h)-1)/h -$D$6,0)))</f>
        <v/>
      </c>
      <c r="E112" t="str">
        <f>IF($A112&gt;E$79,"",IF(T&lt;=E$11,"",100*h*MAX((EXP(IRTree!E46*h)-1)/h -$D$6,0)))</f>
        <v/>
      </c>
      <c r="F112" t="str">
        <f>IF($A112&gt;F$79,"",IF(T&lt;=F$11,"",100*h*MAX((EXP(IRTree!F46*h)-1)/h -$D$6,0)))</f>
        <v/>
      </c>
      <c r="G112" t="str">
        <f>IF($A112&gt;G$79,"",IF(T&lt;=G$11,"",100*h*MAX((EXP(IRTree!G46*h)-1)/h -$D$6,0)))</f>
        <v/>
      </c>
      <c r="H112" t="str">
        <f>IF($A112&gt;H$79,"",IF(T&lt;=H$11,"",100*h*MAX((EXP(IRTree!H46*h)-1)/h -$D$6,0)))</f>
        <v/>
      </c>
      <c r="I112" t="str">
        <f>IF($A112&gt;I$79,"",IF(T&lt;=I$11,"",100*h*MAX((EXP(IRTree!I46*h)-1)/h -$D$6,0)))</f>
        <v/>
      </c>
      <c r="J112" t="str">
        <f>IF($A112&gt;J$79,"",IF(T&lt;=J$11,"",100*h*MAX((EXP(IRTree!J46*h)-1)/h -$D$6,0)))</f>
        <v/>
      </c>
      <c r="K112" t="str">
        <f>IF($A112&gt;K$79,"",IF(T&lt;=K$11,"",100*h*MAX((EXP(IRTree!K46*h)-1)/h -$D$6,0)))</f>
        <v/>
      </c>
      <c r="L112" t="str">
        <f>IF($A112&gt;L$79,"",IF(T&lt;=L$11,"",100*h*MAX((EXP(IRTree!L46*h)-1)/h -$D$6,0)))</f>
        <v/>
      </c>
      <c r="M112" t="str">
        <f>IF($A112&gt;M$79,"",IF(T&lt;=M$11,"",100*h*MAX((EXP(IRTree!M46*h)-1)/h -$D$6,0)))</f>
        <v/>
      </c>
      <c r="N112" t="str">
        <f>IF($A112&gt;N$79,"",IF(T&lt;=N$11,"",100*h*MAX((EXP(IRTree!N46*h)-1)/h -$D$6,0)))</f>
        <v/>
      </c>
      <c r="O112" t="str">
        <f>IF($A112&gt;O$79,"",IF(T&lt;=O$11,"",100*h*MAX((EXP(IRTree!O46*h)-1)/h -$D$6,0)))</f>
        <v/>
      </c>
      <c r="P112" t="str">
        <f>IF($A112&gt;P$79,"",IF(T&lt;=P$11,"",100*h*MAX((EXP(IRTree!P46*h)-1)/h -$D$6,0)))</f>
        <v/>
      </c>
      <c r="Q112" t="str">
        <f>IF($A112&gt;Q$79,"",IF(T&lt;=Q$11,"",100*h*MAX((EXP(IRTree!Q46*h)-1)/h -$D$6,0)))</f>
        <v/>
      </c>
      <c r="R112" t="str">
        <f>IF($A112&gt;R$79,"",IF(T&lt;=R$11,"",100*h*MAX((EXP(IRTree!R46*h)-1)/h -$D$6,0)))</f>
        <v/>
      </c>
      <c r="S112" t="str">
        <f>IF($A112&gt;S$79,"",IF(T&lt;=S$11,"",100*h*MAX((EXP(IRTree!S46*h)-1)/h -$D$6,0)))</f>
        <v/>
      </c>
      <c r="T112" t="str">
        <f>IF($A112&gt;T$79,"",IF(T&lt;=T$11,"",100*h*MAX((EXP(IRTree!T46*h)-1)/h -$D$6,0)))</f>
        <v/>
      </c>
      <c r="U112" t="str">
        <f>IF($A112&gt;U$79,"",IF(T&lt;=U$11,"",100*h*MAX((EXP(IRTree!U46*h)-1)/h -$D$6,0)))</f>
        <v/>
      </c>
      <c r="V112" t="str">
        <f>IF($A112&gt;V$79,"",IF(T&lt;=V$11,"",100*h*MAX((EXP(IRTree!V46*h)-1)/h -$D$6,0)))</f>
        <v/>
      </c>
      <c r="W112" t="str">
        <f>IF($A112&gt;W$79,"",IF(T&lt;=W$11,"",100*h*MAX((EXP(IRTree!W46*h)-1)/h -$D$6,0)))</f>
        <v/>
      </c>
      <c r="X112" t="str">
        <f>IF($A112&gt;X$79,"",IF(T&lt;=X$11,"",100*h*MAX((EXP(IRTree!X46*h)-1)/h -$D$6,0)))</f>
        <v/>
      </c>
      <c r="Y112" t="str">
        <f>IF($A112&gt;Y$79,"",IF(T&lt;=Y$11,"",100*h*MAX((EXP(IRTree!Y46*h)-1)/h -$D$6,0)))</f>
        <v/>
      </c>
      <c r="Z112" t="str">
        <f>IF($A112&gt;Z$79,"",IF(T&lt;=Z$11,"",100*h*MAX((EXP(IRTree!Z46*h)-1)/h -$D$6,0)))</f>
        <v/>
      </c>
      <c r="AA112" t="str">
        <f>IF($A112&gt;AA$79,"",IF(T&lt;=AA$11,"",100*h*MAX((EXP(IRTree!AA46*h)-1)/h -$D$6,0)))</f>
        <v/>
      </c>
      <c r="AB112" t="str">
        <f>IF($A112&gt;AB$79,"",IF(T&lt;=AB$11,"",100*h*MAX((EXP(IRTree!AB46*h)-1)/h -$D$6,0)))</f>
        <v/>
      </c>
      <c r="AC112" t="str">
        <f>IF($A112&gt;AC$79,"",IF(T&lt;=AC$11,"",100*h*MAX((EXP(IRTree!AC46*h)-1)/h -$D$6,0)))</f>
        <v/>
      </c>
      <c r="AD112" t="str">
        <f>IF($A112&gt;AD$79,"",IF(T&lt;=AD$11,"",100*h*MAX((EXP(IRTree!AD46*h)-1)/h -$D$6,0)))</f>
        <v/>
      </c>
      <c r="AE112" t="str">
        <f>IF($A112&gt;AE$79,"",IF(T&lt;=AE$11,"",100*h*MAX((EXP(IRTree!AE46*h)-1)/h -$D$6,0)))</f>
        <v/>
      </c>
      <c r="AF112" t="str">
        <f>IF($A112&gt;AF$79,"",IF(T&lt;=AF$11,"",100*h*MAX((EXP(IRTree!AF46*h)-1)/h -$D$6,0)))</f>
        <v/>
      </c>
      <c r="AG112" t="str">
        <f>IF($A112&gt;AG$79,"",IF(T&lt;=AG$11,"",100*h*MAX((EXP(IRTree!AG46*h)-1)/h -$D$6,0)))</f>
        <v/>
      </c>
      <c r="AH112">
        <f>IF($A112&gt;AH$79,"",IF(T&lt;=AH$11,"",100*h*MAX((EXP(IRTree!AH46*h)-1)/h -$D$6,0)))</f>
        <v>0</v>
      </c>
      <c r="AI112">
        <f>IF($A112&gt;AI$79,"",IF(T&lt;=AI$11,"",100*h*MAX((EXP(IRTree!AI46*h)-1)/h -$D$6,0)))</f>
        <v>0</v>
      </c>
      <c r="AJ112">
        <f>IF($A112&gt;AJ$79,"",IF(T&lt;=AJ$11,"",100*h*MAX((EXP(IRTree!AJ46*h)-1)/h -$D$6,0)))</f>
        <v>0</v>
      </c>
      <c r="AK112">
        <f>IF($A112&gt;AK$79,"",IF(T&lt;=AK$11,"",100*h*MAX((EXP(IRTree!AK46*h)-1)/h -$D$6,0)))</f>
        <v>0</v>
      </c>
      <c r="AL112">
        <f>IF($A112&gt;AL$79,"",IF(T&lt;=AL$11,"",100*h*MAX((EXP(IRTree!AL46*h)-1)/h -$D$6,0)))</f>
        <v>0</v>
      </c>
      <c r="AM112">
        <f>IF($A112&gt;AM$79,"",IF(T&lt;=AM$11,"",100*h*MAX((EXP(IRTree!AM46*h)-1)/h -$D$6,0)))</f>
        <v>0</v>
      </c>
      <c r="AN112">
        <f>IF($A112&gt;AN$79,"",IF(T&lt;=AN$11,"",100*h*MAX((EXP(IRTree!AN46*h)-1)/h -$D$6,0)))</f>
        <v>0</v>
      </c>
      <c r="AO112">
        <f>IF($A112&gt;AO$79,"",IF(T&lt;=AO$11,"",100*h*MAX((EXP(IRTree!AO46*h)-1)/h -$D$6,0)))</f>
        <v>0</v>
      </c>
      <c r="AP112" t="str">
        <f>IF($A112&gt;AP$79,"",IF(T&lt;=AP$11,"",100*h*MAX((EXP(IRTree!AP46*h)-1)/h -$D$6,0)))</f>
        <v/>
      </c>
      <c r="AQ112" t="str">
        <f>IF($A112&gt;AQ$79,"",IF(T&lt;=AQ$11,"",100*h*MAX((EXP(IRTree!AQ46*h)-1)/h -$D$6,0)))</f>
        <v/>
      </c>
      <c r="AR112" t="str">
        <f>IF($A112&gt;AR$79,"",IF(T&lt;=AR$11,"",100*h*MAX((EXP(IRTree!AR46*h)-1)/h -$D$6,0)))</f>
        <v/>
      </c>
      <c r="AS112" t="str">
        <f>IF($A112&gt;AS$79,"",IF(T&lt;=AS$11,"",100*h*MAX((EXP(IRTree!AS46*h)-1)/h -$D$6,0)))</f>
        <v/>
      </c>
      <c r="AT112" t="str">
        <f>IF($A112&gt;AT$79,"",IF(T&lt;=AT$11,"",100*h*MAX((EXP(IRTree!AT46*h)-1)/h -$D$6,0)))</f>
        <v/>
      </c>
      <c r="AU112" t="str">
        <f>IF($A112&gt;AU$79,"",IF(T&lt;=AU$11,"",100*h*MAX((EXP(IRTree!AU46*h)-1)/h -$D$6,0)))</f>
        <v/>
      </c>
      <c r="AV112" t="str">
        <f>IF($A112&gt;AV$79,"",IF(T&lt;=AV$11,"",100*h*MAX((EXP(IRTree!AV46*h)-1)/h -$D$6,0)))</f>
        <v/>
      </c>
      <c r="AW112" t="str">
        <f>IF($A112&gt;AW$79,"",IF(T&lt;=AW$11,"",100*h*MAX((EXP(IRTree!AW46*h)-1)/h -$D$6,0)))</f>
        <v/>
      </c>
      <c r="AX112" t="str">
        <f>IF($A112&gt;AX$79,"",IF(T&lt;=AX$11,"",100*h*MAX((EXP(IRTree!AX46*h)-1)/h -$D$6,0)))</f>
        <v/>
      </c>
      <c r="AY112" t="str">
        <f>IF($A112&gt;AY$79,"",IF(T&lt;=AY$11,"",100*h*MAX((EXP(IRTree!AY46*h)-1)/h -$D$6,0)))</f>
        <v/>
      </c>
      <c r="AZ112" t="str">
        <f>IF($A112&gt;AZ$79,"",IF(T&lt;=AZ$11,"",100*h*MAX((EXP(IRTree!AZ46*h)-1)/h -$D$6,0)))</f>
        <v/>
      </c>
      <c r="BA112" t="str">
        <f>IF($A112&gt;BA$79,"",IF(T&lt;=BA$11,"",100*h*MAX((EXP(IRTree!BA46*h)-1)/h -$D$6,0)))</f>
        <v/>
      </c>
      <c r="BB112" t="str">
        <f>IF($A112&gt;BB$79,"",IF(T&lt;=BB$11,"",100*h*MAX((EXP(IRTree!BB46*h)-1)/h -$D$6,0)))</f>
        <v/>
      </c>
      <c r="BC112" t="str">
        <f>IF($A112&gt;BC$79,"",IF(T&lt;=BC$11,"",100*h*MAX((EXP(IRTree!BC46*h)-1)/h -$D$6,0)))</f>
        <v/>
      </c>
      <c r="BD112" t="str">
        <f>IF($A112&gt;BD$79,"",IF(T&lt;=BD$11,"",100*h*MAX((EXP(IRTree!BD46*h)-1)/h -$D$6,0)))</f>
        <v/>
      </c>
      <c r="BE112" t="str">
        <f>IF($A112&gt;BE$79,"",IF(T&lt;=BE$11,"",100*h*MAX((EXP(IRTree!BE46*h)-1)/h -$D$6,0)))</f>
        <v/>
      </c>
      <c r="BF112" t="str">
        <f>IF($A112&gt;BF$79,"",IF(T&lt;=BF$11,"",100*h*MAX((EXP(IRTree!BF46*h)-1)/h -$D$6,0)))</f>
        <v/>
      </c>
      <c r="BG112" t="str">
        <f>IF($A112&gt;BG$79,"",IF(T&lt;=BG$11,"",100*h*MAX((EXP(IRTree!BG46*h)-1)/h -$D$6,0)))</f>
        <v/>
      </c>
      <c r="BH112" t="str">
        <f>IF($A112&gt;BH$79,"",IF(T&lt;=BH$11,"",100*h*MAX((EXP(IRTree!BH46*h)-1)/h -$D$6,0)))</f>
        <v/>
      </c>
      <c r="BI112" t="str">
        <f>IF($A112&gt;BI$79,"",IF(T&lt;=BI$11,"",100*h*MAX((EXP(IRTree!BI46*h)-1)/h -$D$6,0)))</f>
        <v/>
      </c>
      <c r="BJ112" t="str">
        <f>IF($A112&gt;BJ$79,"",IF(T&lt;=BJ$11,"",100*h*MAX((EXP(IRTree!BJ46*h)-1)/h -$D$6,0)))</f>
        <v/>
      </c>
    </row>
    <row r="113" spans="1:62">
      <c r="A113" s="22">
        <f t="shared" si="5"/>
        <v>33</v>
      </c>
      <c r="B113" t="str">
        <f>IF($A113&gt;B$79,"",IF(T&lt;=B$11,"",100*h*MAX((EXP(IRTree!B47*h)-1)/h -$D$6,0)))</f>
        <v/>
      </c>
      <c r="C113" t="str">
        <f>IF($A113&gt;C$79,"",IF(T&lt;=C$11,"",100*h*MAX((EXP(IRTree!C47*h)-1)/h -$D$6,0)))</f>
        <v/>
      </c>
      <c r="D113" t="str">
        <f>IF($A113&gt;D$79,"",IF(T&lt;=D$11,"",100*h*MAX((EXP(IRTree!D47*h)-1)/h -$D$6,0)))</f>
        <v/>
      </c>
      <c r="E113" t="str">
        <f>IF($A113&gt;E$79,"",IF(T&lt;=E$11,"",100*h*MAX((EXP(IRTree!E47*h)-1)/h -$D$6,0)))</f>
        <v/>
      </c>
      <c r="F113" t="str">
        <f>IF($A113&gt;F$79,"",IF(T&lt;=F$11,"",100*h*MAX((EXP(IRTree!F47*h)-1)/h -$D$6,0)))</f>
        <v/>
      </c>
      <c r="G113" t="str">
        <f>IF($A113&gt;G$79,"",IF(T&lt;=G$11,"",100*h*MAX((EXP(IRTree!G47*h)-1)/h -$D$6,0)))</f>
        <v/>
      </c>
      <c r="H113" t="str">
        <f>IF($A113&gt;H$79,"",IF(T&lt;=H$11,"",100*h*MAX((EXP(IRTree!H47*h)-1)/h -$D$6,0)))</f>
        <v/>
      </c>
      <c r="I113" t="str">
        <f>IF($A113&gt;I$79,"",IF(T&lt;=I$11,"",100*h*MAX((EXP(IRTree!I47*h)-1)/h -$D$6,0)))</f>
        <v/>
      </c>
      <c r="J113" t="str">
        <f>IF($A113&gt;J$79,"",IF(T&lt;=J$11,"",100*h*MAX((EXP(IRTree!J47*h)-1)/h -$D$6,0)))</f>
        <v/>
      </c>
      <c r="K113" t="str">
        <f>IF($A113&gt;K$79,"",IF(T&lt;=K$11,"",100*h*MAX((EXP(IRTree!K47*h)-1)/h -$D$6,0)))</f>
        <v/>
      </c>
      <c r="L113" t="str">
        <f>IF($A113&gt;L$79,"",IF(T&lt;=L$11,"",100*h*MAX((EXP(IRTree!L47*h)-1)/h -$D$6,0)))</f>
        <v/>
      </c>
      <c r="M113" t="str">
        <f>IF($A113&gt;M$79,"",IF(T&lt;=M$11,"",100*h*MAX((EXP(IRTree!M47*h)-1)/h -$D$6,0)))</f>
        <v/>
      </c>
      <c r="N113" t="str">
        <f>IF($A113&gt;N$79,"",IF(T&lt;=N$11,"",100*h*MAX((EXP(IRTree!N47*h)-1)/h -$D$6,0)))</f>
        <v/>
      </c>
      <c r="O113" t="str">
        <f>IF($A113&gt;O$79,"",IF(T&lt;=O$11,"",100*h*MAX((EXP(IRTree!O47*h)-1)/h -$D$6,0)))</f>
        <v/>
      </c>
      <c r="P113" t="str">
        <f>IF($A113&gt;P$79,"",IF(T&lt;=P$11,"",100*h*MAX((EXP(IRTree!P47*h)-1)/h -$D$6,0)))</f>
        <v/>
      </c>
      <c r="Q113" t="str">
        <f>IF($A113&gt;Q$79,"",IF(T&lt;=Q$11,"",100*h*MAX((EXP(IRTree!Q47*h)-1)/h -$D$6,0)))</f>
        <v/>
      </c>
      <c r="R113" t="str">
        <f>IF($A113&gt;R$79,"",IF(T&lt;=R$11,"",100*h*MAX((EXP(IRTree!R47*h)-1)/h -$D$6,0)))</f>
        <v/>
      </c>
      <c r="S113" t="str">
        <f>IF($A113&gt;S$79,"",IF(T&lt;=S$11,"",100*h*MAX((EXP(IRTree!S47*h)-1)/h -$D$6,0)))</f>
        <v/>
      </c>
      <c r="T113" t="str">
        <f>IF($A113&gt;T$79,"",IF(T&lt;=T$11,"",100*h*MAX((EXP(IRTree!T47*h)-1)/h -$D$6,0)))</f>
        <v/>
      </c>
      <c r="U113" t="str">
        <f>IF($A113&gt;U$79,"",IF(T&lt;=U$11,"",100*h*MAX((EXP(IRTree!U47*h)-1)/h -$D$6,0)))</f>
        <v/>
      </c>
      <c r="V113" t="str">
        <f>IF($A113&gt;V$79,"",IF(T&lt;=V$11,"",100*h*MAX((EXP(IRTree!V47*h)-1)/h -$D$6,0)))</f>
        <v/>
      </c>
      <c r="W113" t="str">
        <f>IF($A113&gt;W$79,"",IF(T&lt;=W$11,"",100*h*MAX((EXP(IRTree!W47*h)-1)/h -$D$6,0)))</f>
        <v/>
      </c>
      <c r="X113" t="str">
        <f>IF($A113&gt;X$79,"",IF(T&lt;=X$11,"",100*h*MAX((EXP(IRTree!X47*h)-1)/h -$D$6,0)))</f>
        <v/>
      </c>
      <c r="Y113" t="str">
        <f>IF($A113&gt;Y$79,"",IF(T&lt;=Y$11,"",100*h*MAX((EXP(IRTree!Y47*h)-1)/h -$D$6,0)))</f>
        <v/>
      </c>
      <c r="Z113" t="str">
        <f>IF($A113&gt;Z$79,"",IF(T&lt;=Z$11,"",100*h*MAX((EXP(IRTree!Z47*h)-1)/h -$D$6,0)))</f>
        <v/>
      </c>
      <c r="AA113" t="str">
        <f>IF($A113&gt;AA$79,"",IF(T&lt;=AA$11,"",100*h*MAX((EXP(IRTree!AA47*h)-1)/h -$D$6,0)))</f>
        <v/>
      </c>
      <c r="AB113" t="str">
        <f>IF($A113&gt;AB$79,"",IF(T&lt;=AB$11,"",100*h*MAX((EXP(IRTree!AB47*h)-1)/h -$D$6,0)))</f>
        <v/>
      </c>
      <c r="AC113" t="str">
        <f>IF($A113&gt;AC$79,"",IF(T&lt;=AC$11,"",100*h*MAX((EXP(IRTree!AC47*h)-1)/h -$D$6,0)))</f>
        <v/>
      </c>
      <c r="AD113" t="str">
        <f>IF($A113&gt;AD$79,"",IF(T&lt;=AD$11,"",100*h*MAX((EXP(IRTree!AD47*h)-1)/h -$D$6,0)))</f>
        <v/>
      </c>
      <c r="AE113" t="str">
        <f>IF($A113&gt;AE$79,"",IF(T&lt;=AE$11,"",100*h*MAX((EXP(IRTree!AE47*h)-1)/h -$D$6,0)))</f>
        <v/>
      </c>
      <c r="AF113" t="str">
        <f>IF($A113&gt;AF$79,"",IF(T&lt;=AF$11,"",100*h*MAX((EXP(IRTree!AF47*h)-1)/h -$D$6,0)))</f>
        <v/>
      </c>
      <c r="AG113" t="str">
        <f>IF($A113&gt;AG$79,"",IF(T&lt;=AG$11,"",100*h*MAX((EXP(IRTree!AG47*h)-1)/h -$D$6,0)))</f>
        <v/>
      </c>
      <c r="AH113" t="str">
        <f>IF($A113&gt;AH$79,"",IF(T&lt;=AH$11,"",100*h*MAX((EXP(IRTree!AH47*h)-1)/h -$D$6,0)))</f>
        <v/>
      </c>
      <c r="AI113">
        <f>IF($A113&gt;AI$79,"",IF(T&lt;=AI$11,"",100*h*MAX((EXP(IRTree!AI47*h)-1)/h -$D$6,0)))</f>
        <v>0</v>
      </c>
      <c r="AJ113">
        <f>IF($A113&gt;AJ$79,"",IF(T&lt;=AJ$11,"",100*h*MAX((EXP(IRTree!AJ47*h)-1)/h -$D$6,0)))</f>
        <v>0</v>
      </c>
      <c r="AK113">
        <f>IF($A113&gt;AK$79,"",IF(T&lt;=AK$11,"",100*h*MAX((EXP(IRTree!AK47*h)-1)/h -$D$6,0)))</f>
        <v>0</v>
      </c>
      <c r="AL113">
        <f>IF($A113&gt;AL$79,"",IF(T&lt;=AL$11,"",100*h*MAX((EXP(IRTree!AL47*h)-1)/h -$D$6,0)))</f>
        <v>0</v>
      </c>
      <c r="AM113">
        <f>IF($A113&gt;AM$79,"",IF(T&lt;=AM$11,"",100*h*MAX((EXP(IRTree!AM47*h)-1)/h -$D$6,0)))</f>
        <v>0</v>
      </c>
      <c r="AN113">
        <f>IF($A113&gt;AN$79,"",IF(T&lt;=AN$11,"",100*h*MAX((EXP(IRTree!AN47*h)-1)/h -$D$6,0)))</f>
        <v>0</v>
      </c>
      <c r="AO113">
        <f>IF($A113&gt;AO$79,"",IF(T&lt;=AO$11,"",100*h*MAX((EXP(IRTree!AO47*h)-1)/h -$D$6,0)))</f>
        <v>0</v>
      </c>
      <c r="AP113" t="str">
        <f>IF($A113&gt;AP$79,"",IF(T&lt;=AP$11,"",100*h*MAX((EXP(IRTree!AP47*h)-1)/h -$D$6,0)))</f>
        <v/>
      </c>
      <c r="AQ113" t="str">
        <f>IF($A113&gt;AQ$79,"",IF(T&lt;=AQ$11,"",100*h*MAX((EXP(IRTree!AQ47*h)-1)/h -$D$6,0)))</f>
        <v/>
      </c>
      <c r="AR113" t="str">
        <f>IF($A113&gt;AR$79,"",IF(T&lt;=AR$11,"",100*h*MAX((EXP(IRTree!AR47*h)-1)/h -$D$6,0)))</f>
        <v/>
      </c>
      <c r="AS113" t="str">
        <f>IF($A113&gt;AS$79,"",IF(T&lt;=AS$11,"",100*h*MAX((EXP(IRTree!AS47*h)-1)/h -$D$6,0)))</f>
        <v/>
      </c>
      <c r="AT113" t="str">
        <f>IF($A113&gt;AT$79,"",IF(T&lt;=AT$11,"",100*h*MAX((EXP(IRTree!AT47*h)-1)/h -$D$6,0)))</f>
        <v/>
      </c>
      <c r="AU113" t="str">
        <f>IF($A113&gt;AU$79,"",IF(T&lt;=AU$11,"",100*h*MAX((EXP(IRTree!AU47*h)-1)/h -$D$6,0)))</f>
        <v/>
      </c>
      <c r="AV113" t="str">
        <f>IF($A113&gt;AV$79,"",IF(T&lt;=AV$11,"",100*h*MAX((EXP(IRTree!AV47*h)-1)/h -$D$6,0)))</f>
        <v/>
      </c>
      <c r="AW113" t="str">
        <f>IF($A113&gt;AW$79,"",IF(T&lt;=AW$11,"",100*h*MAX((EXP(IRTree!AW47*h)-1)/h -$D$6,0)))</f>
        <v/>
      </c>
      <c r="AX113" t="str">
        <f>IF($A113&gt;AX$79,"",IF(T&lt;=AX$11,"",100*h*MAX((EXP(IRTree!AX47*h)-1)/h -$D$6,0)))</f>
        <v/>
      </c>
      <c r="AY113" t="str">
        <f>IF($A113&gt;AY$79,"",IF(T&lt;=AY$11,"",100*h*MAX((EXP(IRTree!AY47*h)-1)/h -$D$6,0)))</f>
        <v/>
      </c>
      <c r="AZ113" t="str">
        <f>IF($A113&gt;AZ$79,"",IF(T&lt;=AZ$11,"",100*h*MAX((EXP(IRTree!AZ47*h)-1)/h -$D$6,0)))</f>
        <v/>
      </c>
      <c r="BA113" t="str">
        <f>IF($A113&gt;BA$79,"",IF(T&lt;=BA$11,"",100*h*MAX((EXP(IRTree!BA47*h)-1)/h -$D$6,0)))</f>
        <v/>
      </c>
      <c r="BB113" t="str">
        <f>IF($A113&gt;BB$79,"",IF(T&lt;=BB$11,"",100*h*MAX((EXP(IRTree!BB47*h)-1)/h -$D$6,0)))</f>
        <v/>
      </c>
      <c r="BC113" t="str">
        <f>IF($A113&gt;BC$79,"",IF(T&lt;=BC$11,"",100*h*MAX((EXP(IRTree!BC47*h)-1)/h -$D$6,0)))</f>
        <v/>
      </c>
      <c r="BD113" t="str">
        <f>IF($A113&gt;BD$79,"",IF(T&lt;=BD$11,"",100*h*MAX((EXP(IRTree!BD47*h)-1)/h -$D$6,0)))</f>
        <v/>
      </c>
      <c r="BE113" t="str">
        <f>IF($A113&gt;BE$79,"",IF(T&lt;=BE$11,"",100*h*MAX((EXP(IRTree!BE47*h)-1)/h -$D$6,0)))</f>
        <v/>
      </c>
      <c r="BF113" t="str">
        <f>IF($A113&gt;BF$79,"",IF(T&lt;=BF$11,"",100*h*MAX((EXP(IRTree!BF47*h)-1)/h -$D$6,0)))</f>
        <v/>
      </c>
      <c r="BG113" t="str">
        <f>IF($A113&gt;BG$79,"",IF(T&lt;=BG$11,"",100*h*MAX((EXP(IRTree!BG47*h)-1)/h -$D$6,0)))</f>
        <v/>
      </c>
      <c r="BH113" t="str">
        <f>IF($A113&gt;BH$79,"",IF(T&lt;=BH$11,"",100*h*MAX((EXP(IRTree!BH47*h)-1)/h -$D$6,0)))</f>
        <v/>
      </c>
      <c r="BI113" t="str">
        <f>IF($A113&gt;BI$79,"",IF(T&lt;=BI$11,"",100*h*MAX((EXP(IRTree!BI47*h)-1)/h -$D$6,0)))</f>
        <v/>
      </c>
      <c r="BJ113" t="str">
        <f>IF($A113&gt;BJ$79,"",IF(T&lt;=BJ$11,"",100*h*MAX((EXP(IRTree!BJ47*h)-1)/h -$D$6,0)))</f>
        <v/>
      </c>
    </row>
    <row r="114" spans="1:62">
      <c r="A114" s="22">
        <f t="shared" si="5"/>
        <v>34</v>
      </c>
      <c r="B114" t="str">
        <f>IF($A114&gt;B$79,"",IF(T&lt;=B$11,"",100*h*MAX((EXP(IRTree!B48*h)-1)/h -$D$6,0)))</f>
        <v/>
      </c>
      <c r="C114" t="str">
        <f>IF($A114&gt;C$79,"",IF(T&lt;=C$11,"",100*h*MAX((EXP(IRTree!C48*h)-1)/h -$D$6,0)))</f>
        <v/>
      </c>
      <c r="D114" t="str">
        <f>IF($A114&gt;D$79,"",IF(T&lt;=D$11,"",100*h*MAX((EXP(IRTree!D48*h)-1)/h -$D$6,0)))</f>
        <v/>
      </c>
      <c r="E114" t="str">
        <f>IF($A114&gt;E$79,"",IF(T&lt;=E$11,"",100*h*MAX((EXP(IRTree!E48*h)-1)/h -$D$6,0)))</f>
        <v/>
      </c>
      <c r="F114" t="str">
        <f>IF($A114&gt;F$79,"",IF(T&lt;=F$11,"",100*h*MAX((EXP(IRTree!F48*h)-1)/h -$D$6,0)))</f>
        <v/>
      </c>
      <c r="G114" t="str">
        <f>IF($A114&gt;G$79,"",IF(T&lt;=G$11,"",100*h*MAX((EXP(IRTree!G48*h)-1)/h -$D$6,0)))</f>
        <v/>
      </c>
      <c r="H114" t="str">
        <f>IF($A114&gt;H$79,"",IF(T&lt;=H$11,"",100*h*MAX((EXP(IRTree!H48*h)-1)/h -$D$6,0)))</f>
        <v/>
      </c>
      <c r="I114" t="str">
        <f>IF($A114&gt;I$79,"",IF(T&lt;=I$11,"",100*h*MAX((EXP(IRTree!I48*h)-1)/h -$D$6,0)))</f>
        <v/>
      </c>
      <c r="J114" t="str">
        <f>IF($A114&gt;J$79,"",IF(T&lt;=J$11,"",100*h*MAX((EXP(IRTree!J48*h)-1)/h -$D$6,0)))</f>
        <v/>
      </c>
      <c r="K114" t="str">
        <f>IF($A114&gt;K$79,"",IF(T&lt;=K$11,"",100*h*MAX((EXP(IRTree!K48*h)-1)/h -$D$6,0)))</f>
        <v/>
      </c>
      <c r="L114" t="str">
        <f>IF($A114&gt;L$79,"",IF(T&lt;=L$11,"",100*h*MAX((EXP(IRTree!L48*h)-1)/h -$D$6,0)))</f>
        <v/>
      </c>
      <c r="M114" t="str">
        <f>IF($A114&gt;M$79,"",IF(T&lt;=M$11,"",100*h*MAX((EXP(IRTree!M48*h)-1)/h -$D$6,0)))</f>
        <v/>
      </c>
      <c r="N114" t="str">
        <f>IF($A114&gt;N$79,"",IF(T&lt;=N$11,"",100*h*MAX((EXP(IRTree!N48*h)-1)/h -$D$6,0)))</f>
        <v/>
      </c>
      <c r="O114" t="str">
        <f>IF($A114&gt;O$79,"",IF(T&lt;=O$11,"",100*h*MAX((EXP(IRTree!O48*h)-1)/h -$D$6,0)))</f>
        <v/>
      </c>
      <c r="P114" t="str">
        <f>IF($A114&gt;P$79,"",IF(T&lt;=P$11,"",100*h*MAX((EXP(IRTree!P48*h)-1)/h -$D$6,0)))</f>
        <v/>
      </c>
      <c r="Q114" t="str">
        <f>IF($A114&gt;Q$79,"",IF(T&lt;=Q$11,"",100*h*MAX((EXP(IRTree!Q48*h)-1)/h -$D$6,0)))</f>
        <v/>
      </c>
      <c r="R114" t="str">
        <f>IF($A114&gt;R$79,"",IF(T&lt;=R$11,"",100*h*MAX((EXP(IRTree!R48*h)-1)/h -$D$6,0)))</f>
        <v/>
      </c>
      <c r="S114" t="str">
        <f>IF($A114&gt;S$79,"",IF(T&lt;=S$11,"",100*h*MAX((EXP(IRTree!S48*h)-1)/h -$D$6,0)))</f>
        <v/>
      </c>
      <c r="T114" t="str">
        <f>IF($A114&gt;T$79,"",IF(T&lt;=T$11,"",100*h*MAX((EXP(IRTree!T48*h)-1)/h -$D$6,0)))</f>
        <v/>
      </c>
      <c r="U114" t="str">
        <f>IF($A114&gt;U$79,"",IF(T&lt;=U$11,"",100*h*MAX((EXP(IRTree!U48*h)-1)/h -$D$6,0)))</f>
        <v/>
      </c>
      <c r="V114" t="str">
        <f>IF($A114&gt;V$79,"",IF(T&lt;=V$11,"",100*h*MAX((EXP(IRTree!V48*h)-1)/h -$D$6,0)))</f>
        <v/>
      </c>
      <c r="W114" t="str">
        <f>IF($A114&gt;W$79,"",IF(T&lt;=W$11,"",100*h*MAX((EXP(IRTree!W48*h)-1)/h -$D$6,0)))</f>
        <v/>
      </c>
      <c r="X114" t="str">
        <f>IF($A114&gt;X$79,"",IF(T&lt;=X$11,"",100*h*MAX((EXP(IRTree!X48*h)-1)/h -$D$6,0)))</f>
        <v/>
      </c>
      <c r="Y114" t="str">
        <f>IF($A114&gt;Y$79,"",IF(T&lt;=Y$11,"",100*h*MAX((EXP(IRTree!Y48*h)-1)/h -$D$6,0)))</f>
        <v/>
      </c>
      <c r="Z114" t="str">
        <f>IF($A114&gt;Z$79,"",IF(T&lt;=Z$11,"",100*h*MAX((EXP(IRTree!Z48*h)-1)/h -$D$6,0)))</f>
        <v/>
      </c>
      <c r="AA114" t="str">
        <f>IF($A114&gt;AA$79,"",IF(T&lt;=AA$11,"",100*h*MAX((EXP(IRTree!AA48*h)-1)/h -$D$6,0)))</f>
        <v/>
      </c>
      <c r="AB114" t="str">
        <f>IF($A114&gt;AB$79,"",IF(T&lt;=AB$11,"",100*h*MAX((EXP(IRTree!AB48*h)-1)/h -$D$6,0)))</f>
        <v/>
      </c>
      <c r="AC114" t="str">
        <f>IF($A114&gt;AC$79,"",IF(T&lt;=AC$11,"",100*h*MAX((EXP(IRTree!AC48*h)-1)/h -$D$6,0)))</f>
        <v/>
      </c>
      <c r="AD114" t="str">
        <f>IF($A114&gt;AD$79,"",IF(T&lt;=AD$11,"",100*h*MAX((EXP(IRTree!AD48*h)-1)/h -$D$6,0)))</f>
        <v/>
      </c>
      <c r="AE114" t="str">
        <f>IF($A114&gt;AE$79,"",IF(T&lt;=AE$11,"",100*h*MAX((EXP(IRTree!AE48*h)-1)/h -$D$6,0)))</f>
        <v/>
      </c>
      <c r="AF114" t="str">
        <f>IF($A114&gt;AF$79,"",IF(T&lt;=AF$11,"",100*h*MAX((EXP(IRTree!AF48*h)-1)/h -$D$6,0)))</f>
        <v/>
      </c>
      <c r="AG114" t="str">
        <f>IF($A114&gt;AG$79,"",IF(T&lt;=AG$11,"",100*h*MAX((EXP(IRTree!AG48*h)-1)/h -$D$6,0)))</f>
        <v/>
      </c>
      <c r="AH114" t="str">
        <f>IF($A114&gt;AH$79,"",IF(T&lt;=AH$11,"",100*h*MAX((EXP(IRTree!AH48*h)-1)/h -$D$6,0)))</f>
        <v/>
      </c>
      <c r="AI114" t="str">
        <f>IF($A114&gt;AI$79,"",IF(T&lt;=AI$11,"",100*h*MAX((EXP(IRTree!AI48*h)-1)/h -$D$6,0)))</f>
        <v/>
      </c>
      <c r="AJ114">
        <f>IF($A114&gt;AJ$79,"",IF(T&lt;=AJ$11,"",100*h*MAX((EXP(IRTree!AJ48*h)-1)/h -$D$6,0)))</f>
        <v>0</v>
      </c>
      <c r="AK114">
        <f>IF($A114&gt;AK$79,"",IF(T&lt;=AK$11,"",100*h*MAX((EXP(IRTree!AK48*h)-1)/h -$D$6,0)))</f>
        <v>0</v>
      </c>
      <c r="AL114">
        <f>IF($A114&gt;AL$79,"",IF(T&lt;=AL$11,"",100*h*MAX((EXP(IRTree!AL48*h)-1)/h -$D$6,0)))</f>
        <v>0</v>
      </c>
      <c r="AM114">
        <f>IF($A114&gt;AM$79,"",IF(T&lt;=AM$11,"",100*h*MAX((EXP(IRTree!AM48*h)-1)/h -$D$6,0)))</f>
        <v>0</v>
      </c>
      <c r="AN114">
        <f>IF($A114&gt;AN$79,"",IF(T&lt;=AN$11,"",100*h*MAX((EXP(IRTree!AN48*h)-1)/h -$D$6,0)))</f>
        <v>0</v>
      </c>
      <c r="AO114">
        <f>IF($A114&gt;AO$79,"",IF(T&lt;=AO$11,"",100*h*MAX((EXP(IRTree!AO48*h)-1)/h -$D$6,0)))</f>
        <v>0</v>
      </c>
      <c r="AP114" t="str">
        <f>IF($A114&gt;AP$79,"",IF(T&lt;=AP$11,"",100*h*MAX((EXP(IRTree!AP48*h)-1)/h -$D$6,0)))</f>
        <v/>
      </c>
      <c r="AQ114" t="str">
        <f>IF($A114&gt;AQ$79,"",IF(T&lt;=AQ$11,"",100*h*MAX((EXP(IRTree!AQ48*h)-1)/h -$D$6,0)))</f>
        <v/>
      </c>
      <c r="AR114" t="str">
        <f>IF($A114&gt;AR$79,"",IF(T&lt;=AR$11,"",100*h*MAX((EXP(IRTree!AR48*h)-1)/h -$D$6,0)))</f>
        <v/>
      </c>
      <c r="AS114" t="str">
        <f>IF($A114&gt;AS$79,"",IF(T&lt;=AS$11,"",100*h*MAX((EXP(IRTree!AS48*h)-1)/h -$D$6,0)))</f>
        <v/>
      </c>
      <c r="AT114" t="str">
        <f>IF($A114&gt;AT$79,"",IF(T&lt;=AT$11,"",100*h*MAX((EXP(IRTree!AT48*h)-1)/h -$D$6,0)))</f>
        <v/>
      </c>
      <c r="AU114" t="str">
        <f>IF($A114&gt;AU$79,"",IF(T&lt;=AU$11,"",100*h*MAX((EXP(IRTree!AU48*h)-1)/h -$D$6,0)))</f>
        <v/>
      </c>
      <c r="AV114" t="str">
        <f>IF($A114&gt;AV$79,"",IF(T&lt;=AV$11,"",100*h*MAX((EXP(IRTree!AV48*h)-1)/h -$D$6,0)))</f>
        <v/>
      </c>
      <c r="AW114" t="str">
        <f>IF($A114&gt;AW$79,"",IF(T&lt;=AW$11,"",100*h*MAX((EXP(IRTree!AW48*h)-1)/h -$D$6,0)))</f>
        <v/>
      </c>
      <c r="AX114" t="str">
        <f>IF($A114&gt;AX$79,"",IF(T&lt;=AX$11,"",100*h*MAX((EXP(IRTree!AX48*h)-1)/h -$D$6,0)))</f>
        <v/>
      </c>
      <c r="AY114" t="str">
        <f>IF($A114&gt;AY$79,"",IF(T&lt;=AY$11,"",100*h*MAX((EXP(IRTree!AY48*h)-1)/h -$D$6,0)))</f>
        <v/>
      </c>
      <c r="AZ114" t="str">
        <f>IF($A114&gt;AZ$79,"",IF(T&lt;=AZ$11,"",100*h*MAX((EXP(IRTree!AZ48*h)-1)/h -$D$6,0)))</f>
        <v/>
      </c>
      <c r="BA114" t="str">
        <f>IF($A114&gt;BA$79,"",IF(T&lt;=BA$11,"",100*h*MAX((EXP(IRTree!BA48*h)-1)/h -$D$6,0)))</f>
        <v/>
      </c>
      <c r="BB114" t="str">
        <f>IF($A114&gt;BB$79,"",IF(T&lt;=BB$11,"",100*h*MAX((EXP(IRTree!BB48*h)-1)/h -$D$6,0)))</f>
        <v/>
      </c>
      <c r="BC114" t="str">
        <f>IF($A114&gt;BC$79,"",IF(T&lt;=BC$11,"",100*h*MAX((EXP(IRTree!BC48*h)-1)/h -$D$6,0)))</f>
        <v/>
      </c>
      <c r="BD114" t="str">
        <f>IF($A114&gt;BD$79,"",IF(T&lt;=BD$11,"",100*h*MAX((EXP(IRTree!BD48*h)-1)/h -$D$6,0)))</f>
        <v/>
      </c>
      <c r="BE114" t="str">
        <f>IF($A114&gt;BE$79,"",IF(T&lt;=BE$11,"",100*h*MAX((EXP(IRTree!BE48*h)-1)/h -$D$6,0)))</f>
        <v/>
      </c>
      <c r="BF114" t="str">
        <f>IF($A114&gt;BF$79,"",IF(T&lt;=BF$11,"",100*h*MAX((EXP(IRTree!BF48*h)-1)/h -$D$6,0)))</f>
        <v/>
      </c>
      <c r="BG114" t="str">
        <f>IF($A114&gt;BG$79,"",IF(T&lt;=BG$11,"",100*h*MAX((EXP(IRTree!BG48*h)-1)/h -$D$6,0)))</f>
        <v/>
      </c>
      <c r="BH114" t="str">
        <f>IF($A114&gt;BH$79,"",IF(T&lt;=BH$11,"",100*h*MAX((EXP(IRTree!BH48*h)-1)/h -$D$6,0)))</f>
        <v/>
      </c>
      <c r="BI114" t="str">
        <f>IF($A114&gt;BI$79,"",IF(T&lt;=BI$11,"",100*h*MAX((EXP(IRTree!BI48*h)-1)/h -$D$6,0)))</f>
        <v/>
      </c>
      <c r="BJ114" t="str">
        <f>IF($A114&gt;BJ$79,"",IF(T&lt;=BJ$11,"",100*h*MAX((EXP(IRTree!BJ48*h)-1)/h -$D$6,0)))</f>
        <v/>
      </c>
    </row>
    <row r="115" spans="1:62">
      <c r="A115" s="22">
        <f t="shared" si="5"/>
        <v>35</v>
      </c>
      <c r="B115" t="str">
        <f>IF($A115&gt;B$79,"",IF(T&lt;=B$11,"",100*h*MAX((EXP(IRTree!B49*h)-1)/h -$D$6,0)))</f>
        <v/>
      </c>
      <c r="C115" t="str">
        <f>IF($A115&gt;C$79,"",IF(T&lt;=C$11,"",100*h*MAX((EXP(IRTree!C49*h)-1)/h -$D$6,0)))</f>
        <v/>
      </c>
      <c r="D115" t="str">
        <f>IF($A115&gt;D$79,"",IF(T&lt;=D$11,"",100*h*MAX((EXP(IRTree!D49*h)-1)/h -$D$6,0)))</f>
        <v/>
      </c>
      <c r="E115" t="str">
        <f>IF($A115&gt;E$79,"",IF(T&lt;=E$11,"",100*h*MAX((EXP(IRTree!E49*h)-1)/h -$D$6,0)))</f>
        <v/>
      </c>
      <c r="F115" t="str">
        <f>IF($A115&gt;F$79,"",IF(T&lt;=F$11,"",100*h*MAX((EXP(IRTree!F49*h)-1)/h -$D$6,0)))</f>
        <v/>
      </c>
      <c r="G115" t="str">
        <f>IF($A115&gt;G$79,"",IF(T&lt;=G$11,"",100*h*MAX((EXP(IRTree!G49*h)-1)/h -$D$6,0)))</f>
        <v/>
      </c>
      <c r="H115" t="str">
        <f>IF($A115&gt;H$79,"",IF(T&lt;=H$11,"",100*h*MAX((EXP(IRTree!H49*h)-1)/h -$D$6,0)))</f>
        <v/>
      </c>
      <c r="I115" t="str">
        <f>IF($A115&gt;I$79,"",IF(T&lt;=I$11,"",100*h*MAX((EXP(IRTree!I49*h)-1)/h -$D$6,0)))</f>
        <v/>
      </c>
      <c r="J115" t="str">
        <f>IF($A115&gt;J$79,"",IF(T&lt;=J$11,"",100*h*MAX((EXP(IRTree!J49*h)-1)/h -$D$6,0)))</f>
        <v/>
      </c>
      <c r="K115" t="str">
        <f>IF($A115&gt;K$79,"",IF(T&lt;=K$11,"",100*h*MAX((EXP(IRTree!K49*h)-1)/h -$D$6,0)))</f>
        <v/>
      </c>
      <c r="L115" t="str">
        <f>IF($A115&gt;L$79,"",IF(T&lt;=L$11,"",100*h*MAX((EXP(IRTree!L49*h)-1)/h -$D$6,0)))</f>
        <v/>
      </c>
      <c r="M115" t="str">
        <f>IF($A115&gt;M$79,"",IF(T&lt;=M$11,"",100*h*MAX((EXP(IRTree!M49*h)-1)/h -$D$6,0)))</f>
        <v/>
      </c>
      <c r="N115" t="str">
        <f>IF($A115&gt;N$79,"",IF(T&lt;=N$11,"",100*h*MAX((EXP(IRTree!N49*h)-1)/h -$D$6,0)))</f>
        <v/>
      </c>
      <c r="O115" t="str">
        <f>IF($A115&gt;O$79,"",IF(T&lt;=O$11,"",100*h*MAX((EXP(IRTree!O49*h)-1)/h -$D$6,0)))</f>
        <v/>
      </c>
      <c r="P115" t="str">
        <f>IF($A115&gt;P$79,"",IF(T&lt;=P$11,"",100*h*MAX((EXP(IRTree!P49*h)-1)/h -$D$6,0)))</f>
        <v/>
      </c>
      <c r="Q115" t="str">
        <f>IF($A115&gt;Q$79,"",IF(T&lt;=Q$11,"",100*h*MAX((EXP(IRTree!Q49*h)-1)/h -$D$6,0)))</f>
        <v/>
      </c>
      <c r="R115" t="str">
        <f>IF($A115&gt;R$79,"",IF(T&lt;=R$11,"",100*h*MAX((EXP(IRTree!R49*h)-1)/h -$D$6,0)))</f>
        <v/>
      </c>
      <c r="S115" t="str">
        <f>IF($A115&gt;S$79,"",IF(T&lt;=S$11,"",100*h*MAX((EXP(IRTree!S49*h)-1)/h -$D$6,0)))</f>
        <v/>
      </c>
      <c r="T115" t="str">
        <f>IF($A115&gt;T$79,"",IF(T&lt;=T$11,"",100*h*MAX((EXP(IRTree!T49*h)-1)/h -$D$6,0)))</f>
        <v/>
      </c>
      <c r="U115" t="str">
        <f>IF($A115&gt;U$79,"",IF(T&lt;=U$11,"",100*h*MAX((EXP(IRTree!U49*h)-1)/h -$D$6,0)))</f>
        <v/>
      </c>
      <c r="V115" t="str">
        <f>IF($A115&gt;V$79,"",IF(T&lt;=V$11,"",100*h*MAX((EXP(IRTree!V49*h)-1)/h -$D$6,0)))</f>
        <v/>
      </c>
      <c r="W115" t="str">
        <f>IF($A115&gt;W$79,"",IF(T&lt;=W$11,"",100*h*MAX((EXP(IRTree!W49*h)-1)/h -$D$6,0)))</f>
        <v/>
      </c>
      <c r="X115" t="str">
        <f>IF($A115&gt;X$79,"",IF(T&lt;=X$11,"",100*h*MAX((EXP(IRTree!X49*h)-1)/h -$D$6,0)))</f>
        <v/>
      </c>
      <c r="Y115" t="str">
        <f>IF($A115&gt;Y$79,"",IF(T&lt;=Y$11,"",100*h*MAX((EXP(IRTree!Y49*h)-1)/h -$D$6,0)))</f>
        <v/>
      </c>
      <c r="Z115" t="str">
        <f>IF($A115&gt;Z$79,"",IF(T&lt;=Z$11,"",100*h*MAX((EXP(IRTree!Z49*h)-1)/h -$D$6,0)))</f>
        <v/>
      </c>
      <c r="AA115" t="str">
        <f>IF($A115&gt;AA$79,"",IF(T&lt;=AA$11,"",100*h*MAX((EXP(IRTree!AA49*h)-1)/h -$D$6,0)))</f>
        <v/>
      </c>
      <c r="AB115" t="str">
        <f>IF($A115&gt;AB$79,"",IF(T&lt;=AB$11,"",100*h*MAX((EXP(IRTree!AB49*h)-1)/h -$D$6,0)))</f>
        <v/>
      </c>
      <c r="AC115" t="str">
        <f>IF($A115&gt;AC$79,"",IF(T&lt;=AC$11,"",100*h*MAX((EXP(IRTree!AC49*h)-1)/h -$D$6,0)))</f>
        <v/>
      </c>
      <c r="AD115" t="str">
        <f>IF($A115&gt;AD$79,"",IF(T&lt;=AD$11,"",100*h*MAX((EXP(IRTree!AD49*h)-1)/h -$D$6,0)))</f>
        <v/>
      </c>
      <c r="AE115" t="str">
        <f>IF($A115&gt;AE$79,"",IF(T&lt;=AE$11,"",100*h*MAX((EXP(IRTree!AE49*h)-1)/h -$D$6,0)))</f>
        <v/>
      </c>
      <c r="AF115" t="str">
        <f>IF($A115&gt;AF$79,"",IF(T&lt;=AF$11,"",100*h*MAX((EXP(IRTree!AF49*h)-1)/h -$D$6,0)))</f>
        <v/>
      </c>
      <c r="AG115" t="str">
        <f>IF($A115&gt;AG$79,"",IF(T&lt;=AG$11,"",100*h*MAX((EXP(IRTree!AG49*h)-1)/h -$D$6,0)))</f>
        <v/>
      </c>
      <c r="AH115" t="str">
        <f>IF($A115&gt;AH$79,"",IF(T&lt;=AH$11,"",100*h*MAX((EXP(IRTree!AH49*h)-1)/h -$D$6,0)))</f>
        <v/>
      </c>
      <c r="AI115" t="str">
        <f>IF($A115&gt;AI$79,"",IF(T&lt;=AI$11,"",100*h*MAX((EXP(IRTree!AI49*h)-1)/h -$D$6,0)))</f>
        <v/>
      </c>
      <c r="AJ115" t="str">
        <f>IF($A115&gt;AJ$79,"",IF(T&lt;=AJ$11,"",100*h*MAX((EXP(IRTree!AJ49*h)-1)/h -$D$6,0)))</f>
        <v/>
      </c>
      <c r="AK115">
        <f>IF($A115&gt;AK$79,"",IF(T&lt;=AK$11,"",100*h*MAX((EXP(IRTree!AK49*h)-1)/h -$D$6,0)))</f>
        <v>0</v>
      </c>
      <c r="AL115">
        <f>IF($A115&gt;AL$79,"",IF(T&lt;=AL$11,"",100*h*MAX((EXP(IRTree!AL49*h)-1)/h -$D$6,0)))</f>
        <v>0</v>
      </c>
      <c r="AM115">
        <f>IF($A115&gt;AM$79,"",IF(T&lt;=AM$11,"",100*h*MAX((EXP(IRTree!AM49*h)-1)/h -$D$6,0)))</f>
        <v>0</v>
      </c>
      <c r="AN115">
        <f>IF($A115&gt;AN$79,"",IF(T&lt;=AN$11,"",100*h*MAX((EXP(IRTree!AN49*h)-1)/h -$D$6,0)))</f>
        <v>0</v>
      </c>
      <c r="AO115">
        <f>IF($A115&gt;AO$79,"",IF(T&lt;=AO$11,"",100*h*MAX((EXP(IRTree!AO49*h)-1)/h -$D$6,0)))</f>
        <v>0</v>
      </c>
      <c r="AP115" t="str">
        <f>IF($A115&gt;AP$79,"",IF(T&lt;=AP$11,"",100*h*MAX((EXP(IRTree!AP49*h)-1)/h -$D$6,0)))</f>
        <v/>
      </c>
      <c r="AQ115" t="str">
        <f>IF($A115&gt;AQ$79,"",IF(T&lt;=AQ$11,"",100*h*MAX((EXP(IRTree!AQ49*h)-1)/h -$D$6,0)))</f>
        <v/>
      </c>
      <c r="AR115" t="str">
        <f>IF($A115&gt;AR$79,"",IF(T&lt;=AR$11,"",100*h*MAX((EXP(IRTree!AR49*h)-1)/h -$D$6,0)))</f>
        <v/>
      </c>
      <c r="AS115" t="str">
        <f>IF($A115&gt;AS$79,"",IF(T&lt;=AS$11,"",100*h*MAX((EXP(IRTree!AS49*h)-1)/h -$D$6,0)))</f>
        <v/>
      </c>
      <c r="AT115" t="str">
        <f>IF($A115&gt;AT$79,"",IF(T&lt;=AT$11,"",100*h*MAX((EXP(IRTree!AT49*h)-1)/h -$D$6,0)))</f>
        <v/>
      </c>
      <c r="AU115" t="str">
        <f>IF($A115&gt;AU$79,"",IF(T&lt;=AU$11,"",100*h*MAX((EXP(IRTree!AU49*h)-1)/h -$D$6,0)))</f>
        <v/>
      </c>
      <c r="AV115" t="str">
        <f>IF($A115&gt;AV$79,"",IF(T&lt;=AV$11,"",100*h*MAX((EXP(IRTree!AV49*h)-1)/h -$D$6,0)))</f>
        <v/>
      </c>
      <c r="AW115" t="str">
        <f>IF($A115&gt;AW$79,"",IF(T&lt;=AW$11,"",100*h*MAX((EXP(IRTree!AW49*h)-1)/h -$D$6,0)))</f>
        <v/>
      </c>
      <c r="AX115" t="str">
        <f>IF($A115&gt;AX$79,"",IF(T&lt;=AX$11,"",100*h*MAX((EXP(IRTree!AX49*h)-1)/h -$D$6,0)))</f>
        <v/>
      </c>
      <c r="AY115" t="str">
        <f>IF($A115&gt;AY$79,"",IF(T&lt;=AY$11,"",100*h*MAX((EXP(IRTree!AY49*h)-1)/h -$D$6,0)))</f>
        <v/>
      </c>
      <c r="AZ115" t="str">
        <f>IF($A115&gt;AZ$79,"",IF(T&lt;=AZ$11,"",100*h*MAX((EXP(IRTree!AZ49*h)-1)/h -$D$6,0)))</f>
        <v/>
      </c>
      <c r="BA115" t="str">
        <f>IF($A115&gt;BA$79,"",IF(T&lt;=BA$11,"",100*h*MAX((EXP(IRTree!BA49*h)-1)/h -$D$6,0)))</f>
        <v/>
      </c>
      <c r="BB115" t="str">
        <f>IF($A115&gt;BB$79,"",IF(T&lt;=BB$11,"",100*h*MAX((EXP(IRTree!BB49*h)-1)/h -$D$6,0)))</f>
        <v/>
      </c>
      <c r="BC115" t="str">
        <f>IF($A115&gt;BC$79,"",IF(T&lt;=BC$11,"",100*h*MAX((EXP(IRTree!BC49*h)-1)/h -$D$6,0)))</f>
        <v/>
      </c>
      <c r="BD115" t="str">
        <f>IF($A115&gt;BD$79,"",IF(T&lt;=BD$11,"",100*h*MAX((EXP(IRTree!BD49*h)-1)/h -$D$6,0)))</f>
        <v/>
      </c>
      <c r="BE115" t="str">
        <f>IF($A115&gt;BE$79,"",IF(T&lt;=BE$11,"",100*h*MAX((EXP(IRTree!BE49*h)-1)/h -$D$6,0)))</f>
        <v/>
      </c>
      <c r="BF115" t="str">
        <f>IF($A115&gt;BF$79,"",IF(T&lt;=BF$11,"",100*h*MAX((EXP(IRTree!BF49*h)-1)/h -$D$6,0)))</f>
        <v/>
      </c>
      <c r="BG115" t="str">
        <f>IF($A115&gt;BG$79,"",IF(T&lt;=BG$11,"",100*h*MAX((EXP(IRTree!BG49*h)-1)/h -$D$6,0)))</f>
        <v/>
      </c>
      <c r="BH115" t="str">
        <f>IF($A115&gt;BH$79,"",IF(T&lt;=BH$11,"",100*h*MAX((EXP(IRTree!BH49*h)-1)/h -$D$6,0)))</f>
        <v/>
      </c>
      <c r="BI115" t="str">
        <f>IF($A115&gt;BI$79,"",IF(T&lt;=BI$11,"",100*h*MAX((EXP(IRTree!BI49*h)-1)/h -$D$6,0)))</f>
        <v/>
      </c>
      <c r="BJ115" t="str">
        <f>IF($A115&gt;BJ$79,"",IF(T&lt;=BJ$11,"",100*h*MAX((EXP(IRTree!BJ49*h)-1)/h -$D$6,0)))</f>
        <v/>
      </c>
    </row>
    <row r="116" spans="1:62">
      <c r="A116" s="22">
        <f t="shared" si="5"/>
        <v>36</v>
      </c>
      <c r="B116" t="str">
        <f>IF($A116&gt;B$79,"",IF(T&lt;=B$11,"",100*h*MAX((EXP(IRTree!B50*h)-1)/h -$D$6,0)))</f>
        <v/>
      </c>
      <c r="C116" t="str">
        <f>IF($A116&gt;C$79,"",IF(T&lt;=C$11,"",100*h*MAX((EXP(IRTree!C50*h)-1)/h -$D$6,0)))</f>
        <v/>
      </c>
      <c r="D116" t="str">
        <f>IF($A116&gt;D$79,"",IF(T&lt;=D$11,"",100*h*MAX((EXP(IRTree!D50*h)-1)/h -$D$6,0)))</f>
        <v/>
      </c>
      <c r="E116" t="str">
        <f>IF($A116&gt;E$79,"",IF(T&lt;=E$11,"",100*h*MAX((EXP(IRTree!E50*h)-1)/h -$D$6,0)))</f>
        <v/>
      </c>
      <c r="F116" t="str">
        <f>IF($A116&gt;F$79,"",IF(T&lt;=F$11,"",100*h*MAX((EXP(IRTree!F50*h)-1)/h -$D$6,0)))</f>
        <v/>
      </c>
      <c r="G116" t="str">
        <f>IF($A116&gt;G$79,"",IF(T&lt;=G$11,"",100*h*MAX((EXP(IRTree!G50*h)-1)/h -$D$6,0)))</f>
        <v/>
      </c>
      <c r="H116" t="str">
        <f>IF($A116&gt;H$79,"",IF(T&lt;=H$11,"",100*h*MAX((EXP(IRTree!H50*h)-1)/h -$D$6,0)))</f>
        <v/>
      </c>
      <c r="I116" t="str">
        <f>IF($A116&gt;I$79,"",IF(T&lt;=I$11,"",100*h*MAX((EXP(IRTree!I50*h)-1)/h -$D$6,0)))</f>
        <v/>
      </c>
      <c r="J116" t="str">
        <f>IF($A116&gt;J$79,"",IF(T&lt;=J$11,"",100*h*MAX((EXP(IRTree!J50*h)-1)/h -$D$6,0)))</f>
        <v/>
      </c>
      <c r="K116" t="str">
        <f>IF($A116&gt;K$79,"",IF(T&lt;=K$11,"",100*h*MAX((EXP(IRTree!K50*h)-1)/h -$D$6,0)))</f>
        <v/>
      </c>
      <c r="L116" t="str">
        <f>IF($A116&gt;L$79,"",IF(T&lt;=L$11,"",100*h*MAX((EXP(IRTree!L50*h)-1)/h -$D$6,0)))</f>
        <v/>
      </c>
      <c r="M116" t="str">
        <f>IF($A116&gt;M$79,"",IF(T&lt;=M$11,"",100*h*MAX((EXP(IRTree!M50*h)-1)/h -$D$6,0)))</f>
        <v/>
      </c>
      <c r="N116" t="str">
        <f>IF($A116&gt;N$79,"",IF(T&lt;=N$11,"",100*h*MAX((EXP(IRTree!N50*h)-1)/h -$D$6,0)))</f>
        <v/>
      </c>
      <c r="O116" t="str">
        <f>IF($A116&gt;O$79,"",IF(T&lt;=O$11,"",100*h*MAX((EXP(IRTree!O50*h)-1)/h -$D$6,0)))</f>
        <v/>
      </c>
      <c r="P116" t="str">
        <f>IF($A116&gt;P$79,"",IF(T&lt;=P$11,"",100*h*MAX((EXP(IRTree!P50*h)-1)/h -$D$6,0)))</f>
        <v/>
      </c>
      <c r="Q116" t="str">
        <f>IF($A116&gt;Q$79,"",IF(T&lt;=Q$11,"",100*h*MAX((EXP(IRTree!Q50*h)-1)/h -$D$6,0)))</f>
        <v/>
      </c>
      <c r="R116" t="str">
        <f>IF($A116&gt;R$79,"",IF(T&lt;=R$11,"",100*h*MAX((EXP(IRTree!R50*h)-1)/h -$D$6,0)))</f>
        <v/>
      </c>
      <c r="S116" t="str">
        <f>IF($A116&gt;S$79,"",IF(T&lt;=S$11,"",100*h*MAX((EXP(IRTree!S50*h)-1)/h -$D$6,0)))</f>
        <v/>
      </c>
      <c r="T116" t="str">
        <f>IF($A116&gt;T$79,"",IF(T&lt;=T$11,"",100*h*MAX((EXP(IRTree!T50*h)-1)/h -$D$6,0)))</f>
        <v/>
      </c>
      <c r="U116" t="str">
        <f>IF($A116&gt;U$79,"",IF(T&lt;=U$11,"",100*h*MAX((EXP(IRTree!U50*h)-1)/h -$D$6,0)))</f>
        <v/>
      </c>
      <c r="V116" t="str">
        <f>IF($A116&gt;V$79,"",IF(T&lt;=V$11,"",100*h*MAX((EXP(IRTree!V50*h)-1)/h -$D$6,0)))</f>
        <v/>
      </c>
      <c r="W116" t="str">
        <f>IF($A116&gt;W$79,"",IF(T&lt;=W$11,"",100*h*MAX((EXP(IRTree!W50*h)-1)/h -$D$6,0)))</f>
        <v/>
      </c>
      <c r="X116" t="str">
        <f>IF($A116&gt;X$79,"",IF(T&lt;=X$11,"",100*h*MAX((EXP(IRTree!X50*h)-1)/h -$D$6,0)))</f>
        <v/>
      </c>
      <c r="Y116" t="str">
        <f>IF($A116&gt;Y$79,"",IF(T&lt;=Y$11,"",100*h*MAX((EXP(IRTree!Y50*h)-1)/h -$D$6,0)))</f>
        <v/>
      </c>
      <c r="Z116" t="str">
        <f>IF($A116&gt;Z$79,"",IF(T&lt;=Z$11,"",100*h*MAX((EXP(IRTree!Z50*h)-1)/h -$D$6,0)))</f>
        <v/>
      </c>
      <c r="AA116" t="str">
        <f>IF($A116&gt;AA$79,"",IF(T&lt;=AA$11,"",100*h*MAX((EXP(IRTree!AA50*h)-1)/h -$D$6,0)))</f>
        <v/>
      </c>
      <c r="AB116" t="str">
        <f>IF($A116&gt;AB$79,"",IF(T&lt;=AB$11,"",100*h*MAX((EXP(IRTree!AB50*h)-1)/h -$D$6,0)))</f>
        <v/>
      </c>
      <c r="AC116" t="str">
        <f>IF($A116&gt;AC$79,"",IF(T&lt;=AC$11,"",100*h*MAX((EXP(IRTree!AC50*h)-1)/h -$D$6,0)))</f>
        <v/>
      </c>
      <c r="AD116" t="str">
        <f>IF($A116&gt;AD$79,"",IF(T&lt;=AD$11,"",100*h*MAX((EXP(IRTree!AD50*h)-1)/h -$D$6,0)))</f>
        <v/>
      </c>
      <c r="AE116" t="str">
        <f>IF($A116&gt;AE$79,"",IF(T&lt;=AE$11,"",100*h*MAX((EXP(IRTree!AE50*h)-1)/h -$D$6,0)))</f>
        <v/>
      </c>
      <c r="AF116" t="str">
        <f>IF($A116&gt;AF$79,"",IF(T&lt;=AF$11,"",100*h*MAX((EXP(IRTree!AF50*h)-1)/h -$D$6,0)))</f>
        <v/>
      </c>
      <c r="AG116" t="str">
        <f>IF($A116&gt;AG$79,"",IF(T&lt;=AG$11,"",100*h*MAX((EXP(IRTree!AG50*h)-1)/h -$D$6,0)))</f>
        <v/>
      </c>
      <c r="AH116" t="str">
        <f>IF($A116&gt;AH$79,"",IF(T&lt;=AH$11,"",100*h*MAX((EXP(IRTree!AH50*h)-1)/h -$D$6,0)))</f>
        <v/>
      </c>
      <c r="AI116" t="str">
        <f>IF($A116&gt;AI$79,"",IF(T&lt;=AI$11,"",100*h*MAX((EXP(IRTree!AI50*h)-1)/h -$D$6,0)))</f>
        <v/>
      </c>
      <c r="AJ116" t="str">
        <f>IF($A116&gt;AJ$79,"",IF(T&lt;=AJ$11,"",100*h*MAX((EXP(IRTree!AJ50*h)-1)/h -$D$6,0)))</f>
        <v/>
      </c>
      <c r="AK116" t="str">
        <f>IF($A116&gt;AK$79,"",IF(T&lt;=AK$11,"",100*h*MAX((EXP(IRTree!AK50*h)-1)/h -$D$6,0)))</f>
        <v/>
      </c>
      <c r="AL116">
        <f>IF($A116&gt;AL$79,"",IF(T&lt;=AL$11,"",100*h*MAX((EXP(IRTree!AL50*h)-1)/h -$D$6,0)))</f>
        <v>0</v>
      </c>
      <c r="AM116">
        <f>IF($A116&gt;AM$79,"",IF(T&lt;=AM$11,"",100*h*MAX((EXP(IRTree!AM50*h)-1)/h -$D$6,0)))</f>
        <v>0</v>
      </c>
      <c r="AN116">
        <f>IF($A116&gt;AN$79,"",IF(T&lt;=AN$11,"",100*h*MAX((EXP(IRTree!AN50*h)-1)/h -$D$6,0)))</f>
        <v>0</v>
      </c>
      <c r="AO116">
        <f>IF($A116&gt;AO$79,"",IF(T&lt;=AO$11,"",100*h*MAX((EXP(IRTree!AO50*h)-1)/h -$D$6,0)))</f>
        <v>0</v>
      </c>
      <c r="AP116" t="str">
        <f>IF($A116&gt;AP$79,"",IF(T&lt;=AP$11,"",100*h*MAX((EXP(IRTree!AP50*h)-1)/h -$D$6,0)))</f>
        <v/>
      </c>
      <c r="AQ116" t="str">
        <f>IF($A116&gt;AQ$79,"",IF(T&lt;=AQ$11,"",100*h*MAX((EXP(IRTree!AQ50*h)-1)/h -$D$6,0)))</f>
        <v/>
      </c>
      <c r="AR116" t="str">
        <f>IF($A116&gt;AR$79,"",IF(T&lt;=AR$11,"",100*h*MAX((EXP(IRTree!AR50*h)-1)/h -$D$6,0)))</f>
        <v/>
      </c>
      <c r="AS116" t="str">
        <f>IF($A116&gt;AS$79,"",IF(T&lt;=AS$11,"",100*h*MAX((EXP(IRTree!AS50*h)-1)/h -$D$6,0)))</f>
        <v/>
      </c>
      <c r="AT116" t="str">
        <f>IF($A116&gt;AT$79,"",IF(T&lt;=AT$11,"",100*h*MAX((EXP(IRTree!AT50*h)-1)/h -$D$6,0)))</f>
        <v/>
      </c>
      <c r="AU116" t="str">
        <f>IF($A116&gt;AU$79,"",IF(T&lt;=AU$11,"",100*h*MAX((EXP(IRTree!AU50*h)-1)/h -$D$6,0)))</f>
        <v/>
      </c>
      <c r="AV116" t="str">
        <f>IF($A116&gt;AV$79,"",IF(T&lt;=AV$11,"",100*h*MAX((EXP(IRTree!AV50*h)-1)/h -$D$6,0)))</f>
        <v/>
      </c>
      <c r="AW116" t="str">
        <f>IF($A116&gt;AW$79,"",IF(T&lt;=AW$11,"",100*h*MAX((EXP(IRTree!AW50*h)-1)/h -$D$6,0)))</f>
        <v/>
      </c>
      <c r="AX116" t="str">
        <f>IF($A116&gt;AX$79,"",IF(T&lt;=AX$11,"",100*h*MAX((EXP(IRTree!AX50*h)-1)/h -$D$6,0)))</f>
        <v/>
      </c>
      <c r="AY116" t="str">
        <f>IF($A116&gt;AY$79,"",IF(T&lt;=AY$11,"",100*h*MAX((EXP(IRTree!AY50*h)-1)/h -$D$6,0)))</f>
        <v/>
      </c>
      <c r="AZ116" t="str">
        <f>IF($A116&gt;AZ$79,"",IF(T&lt;=AZ$11,"",100*h*MAX((EXP(IRTree!AZ50*h)-1)/h -$D$6,0)))</f>
        <v/>
      </c>
      <c r="BA116" t="str">
        <f>IF($A116&gt;BA$79,"",IF(T&lt;=BA$11,"",100*h*MAX((EXP(IRTree!BA50*h)-1)/h -$D$6,0)))</f>
        <v/>
      </c>
      <c r="BB116" t="str">
        <f>IF($A116&gt;BB$79,"",IF(T&lt;=BB$11,"",100*h*MAX((EXP(IRTree!BB50*h)-1)/h -$D$6,0)))</f>
        <v/>
      </c>
      <c r="BC116" t="str">
        <f>IF($A116&gt;BC$79,"",IF(T&lt;=BC$11,"",100*h*MAX((EXP(IRTree!BC50*h)-1)/h -$D$6,0)))</f>
        <v/>
      </c>
      <c r="BD116" t="str">
        <f>IF($A116&gt;BD$79,"",IF(T&lt;=BD$11,"",100*h*MAX((EXP(IRTree!BD50*h)-1)/h -$D$6,0)))</f>
        <v/>
      </c>
      <c r="BE116" t="str">
        <f>IF($A116&gt;BE$79,"",IF(T&lt;=BE$11,"",100*h*MAX((EXP(IRTree!BE50*h)-1)/h -$D$6,0)))</f>
        <v/>
      </c>
      <c r="BF116" t="str">
        <f>IF($A116&gt;BF$79,"",IF(T&lt;=BF$11,"",100*h*MAX((EXP(IRTree!BF50*h)-1)/h -$D$6,0)))</f>
        <v/>
      </c>
      <c r="BG116" t="str">
        <f>IF($A116&gt;BG$79,"",IF(T&lt;=BG$11,"",100*h*MAX((EXP(IRTree!BG50*h)-1)/h -$D$6,0)))</f>
        <v/>
      </c>
      <c r="BH116" t="str">
        <f>IF($A116&gt;BH$79,"",IF(T&lt;=BH$11,"",100*h*MAX((EXP(IRTree!BH50*h)-1)/h -$D$6,0)))</f>
        <v/>
      </c>
      <c r="BI116" t="str">
        <f>IF($A116&gt;BI$79,"",IF(T&lt;=BI$11,"",100*h*MAX((EXP(IRTree!BI50*h)-1)/h -$D$6,0)))</f>
        <v/>
      </c>
      <c r="BJ116" t="str">
        <f>IF($A116&gt;BJ$79,"",IF(T&lt;=BJ$11,"",100*h*MAX((EXP(IRTree!BJ50*h)-1)/h -$D$6,0)))</f>
        <v/>
      </c>
    </row>
    <row r="117" spans="1:62">
      <c r="A117" s="22">
        <f t="shared" si="5"/>
        <v>37</v>
      </c>
      <c r="B117" t="str">
        <f>IF($A117&gt;B$79,"",IF(T&lt;=B$11,"",100*h*MAX((EXP(IRTree!B51*h)-1)/h -$D$6,0)))</f>
        <v/>
      </c>
      <c r="C117" t="str">
        <f>IF($A117&gt;C$79,"",IF(T&lt;=C$11,"",100*h*MAX((EXP(IRTree!C51*h)-1)/h -$D$6,0)))</f>
        <v/>
      </c>
      <c r="D117" t="str">
        <f>IF($A117&gt;D$79,"",IF(T&lt;=D$11,"",100*h*MAX((EXP(IRTree!D51*h)-1)/h -$D$6,0)))</f>
        <v/>
      </c>
      <c r="E117" t="str">
        <f>IF($A117&gt;E$79,"",IF(T&lt;=E$11,"",100*h*MAX((EXP(IRTree!E51*h)-1)/h -$D$6,0)))</f>
        <v/>
      </c>
      <c r="F117" t="str">
        <f>IF($A117&gt;F$79,"",IF(T&lt;=F$11,"",100*h*MAX((EXP(IRTree!F51*h)-1)/h -$D$6,0)))</f>
        <v/>
      </c>
      <c r="G117" t="str">
        <f>IF($A117&gt;G$79,"",IF(T&lt;=G$11,"",100*h*MAX((EXP(IRTree!G51*h)-1)/h -$D$6,0)))</f>
        <v/>
      </c>
      <c r="H117" t="str">
        <f>IF($A117&gt;H$79,"",IF(T&lt;=H$11,"",100*h*MAX((EXP(IRTree!H51*h)-1)/h -$D$6,0)))</f>
        <v/>
      </c>
      <c r="I117" t="str">
        <f>IF($A117&gt;I$79,"",IF(T&lt;=I$11,"",100*h*MAX((EXP(IRTree!I51*h)-1)/h -$D$6,0)))</f>
        <v/>
      </c>
      <c r="J117" t="str">
        <f>IF($A117&gt;J$79,"",IF(T&lt;=J$11,"",100*h*MAX((EXP(IRTree!J51*h)-1)/h -$D$6,0)))</f>
        <v/>
      </c>
      <c r="K117" t="str">
        <f>IF($A117&gt;K$79,"",IF(T&lt;=K$11,"",100*h*MAX((EXP(IRTree!K51*h)-1)/h -$D$6,0)))</f>
        <v/>
      </c>
      <c r="L117" t="str">
        <f>IF($A117&gt;L$79,"",IF(T&lt;=L$11,"",100*h*MAX((EXP(IRTree!L51*h)-1)/h -$D$6,0)))</f>
        <v/>
      </c>
      <c r="M117" t="str">
        <f>IF($A117&gt;M$79,"",IF(T&lt;=M$11,"",100*h*MAX((EXP(IRTree!M51*h)-1)/h -$D$6,0)))</f>
        <v/>
      </c>
      <c r="N117" t="str">
        <f>IF($A117&gt;N$79,"",IF(T&lt;=N$11,"",100*h*MAX((EXP(IRTree!N51*h)-1)/h -$D$6,0)))</f>
        <v/>
      </c>
      <c r="O117" t="str">
        <f>IF($A117&gt;O$79,"",IF(T&lt;=O$11,"",100*h*MAX((EXP(IRTree!O51*h)-1)/h -$D$6,0)))</f>
        <v/>
      </c>
      <c r="P117" t="str">
        <f>IF($A117&gt;P$79,"",IF(T&lt;=P$11,"",100*h*MAX((EXP(IRTree!P51*h)-1)/h -$D$6,0)))</f>
        <v/>
      </c>
      <c r="Q117" t="str">
        <f>IF($A117&gt;Q$79,"",IF(T&lt;=Q$11,"",100*h*MAX((EXP(IRTree!Q51*h)-1)/h -$D$6,0)))</f>
        <v/>
      </c>
      <c r="R117" t="str">
        <f>IF($A117&gt;R$79,"",IF(T&lt;=R$11,"",100*h*MAX((EXP(IRTree!R51*h)-1)/h -$D$6,0)))</f>
        <v/>
      </c>
      <c r="S117" t="str">
        <f>IF($A117&gt;S$79,"",IF(T&lt;=S$11,"",100*h*MAX((EXP(IRTree!S51*h)-1)/h -$D$6,0)))</f>
        <v/>
      </c>
      <c r="T117" t="str">
        <f>IF($A117&gt;T$79,"",IF(T&lt;=T$11,"",100*h*MAX((EXP(IRTree!T51*h)-1)/h -$D$6,0)))</f>
        <v/>
      </c>
      <c r="U117" t="str">
        <f>IF($A117&gt;U$79,"",IF(T&lt;=U$11,"",100*h*MAX((EXP(IRTree!U51*h)-1)/h -$D$6,0)))</f>
        <v/>
      </c>
      <c r="V117" t="str">
        <f>IF($A117&gt;V$79,"",IF(T&lt;=V$11,"",100*h*MAX((EXP(IRTree!V51*h)-1)/h -$D$6,0)))</f>
        <v/>
      </c>
      <c r="W117" t="str">
        <f>IF($A117&gt;W$79,"",IF(T&lt;=W$11,"",100*h*MAX((EXP(IRTree!W51*h)-1)/h -$D$6,0)))</f>
        <v/>
      </c>
      <c r="X117" t="str">
        <f>IF($A117&gt;X$79,"",IF(T&lt;=X$11,"",100*h*MAX((EXP(IRTree!X51*h)-1)/h -$D$6,0)))</f>
        <v/>
      </c>
      <c r="Y117" t="str">
        <f>IF($A117&gt;Y$79,"",IF(T&lt;=Y$11,"",100*h*MAX((EXP(IRTree!Y51*h)-1)/h -$D$6,0)))</f>
        <v/>
      </c>
      <c r="Z117" t="str">
        <f>IF($A117&gt;Z$79,"",IF(T&lt;=Z$11,"",100*h*MAX((EXP(IRTree!Z51*h)-1)/h -$D$6,0)))</f>
        <v/>
      </c>
      <c r="AA117" t="str">
        <f>IF($A117&gt;AA$79,"",IF(T&lt;=AA$11,"",100*h*MAX((EXP(IRTree!AA51*h)-1)/h -$D$6,0)))</f>
        <v/>
      </c>
      <c r="AB117" t="str">
        <f>IF($A117&gt;AB$79,"",IF(T&lt;=AB$11,"",100*h*MAX((EXP(IRTree!AB51*h)-1)/h -$D$6,0)))</f>
        <v/>
      </c>
      <c r="AC117" t="str">
        <f>IF($A117&gt;AC$79,"",IF(T&lt;=AC$11,"",100*h*MAX((EXP(IRTree!AC51*h)-1)/h -$D$6,0)))</f>
        <v/>
      </c>
      <c r="AD117" t="str">
        <f>IF($A117&gt;AD$79,"",IF(T&lt;=AD$11,"",100*h*MAX((EXP(IRTree!AD51*h)-1)/h -$D$6,0)))</f>
        <v/>
      </c>
      <c r="AE117" t="str">
        <f>IF($A117&gt;AE$79,"",IF(T&lt;=AE$11,"",100*h*MAX((EXP(IRTree!AE51*h)-1)/h -$D$6,0)))</f>
        <v/>
      </c>
      <c r="AF117" t="str">
        <f>IF($A117&gt;AF$79,"",IF(T&lt;=AF$11,"",100*h*MAX((EXP(IRTree!AF51*h)-1)/h -$D$6,0)))</f>
        <v/>
      </c>
      <c r="AG117" t="str">
        <f>IF($A117&gt;AG$79,"",IF(T&lt;=AG$11,"",100*h*MAX((EXP(IRTree!AG51*h)-1)/h -$D$6,0)))</f>
        <v/>
      </c>
      <c r="AH117" t="str">
        <f>IF($A117&gt;AH$79,"",IF(T&lt;=AH$11,"",100*h*MAX((EXP(IRTree!AH51*h)-1)/h -$D$6,0)))</f>
        <v/>
      </c>
      <c r="AI117" t="str">
        <f>IF($A117&gt;AI$79,"",IF(T&lt;=AI$11,"",100*h*MAX((EXP(IRTree!AI51*h)-1)/h -$D$6,0)))</f>
        <v/>
      </c>
      <c r="AJ117" t="str">
        <f>IF($A117&gt;AJ$79,"",IF(T&lt;=AJ$11,"",100*h*MAX((EXP(IRTree!AJ51*h)-1)/h -$D$6,0)))</f>
        <v/>
      </c>
      <c r="AK117" t="str">
        <f>IF($A117&gt;AK$79,"",IF(T&lt;=AK$11,"",100*h*MAX((EXP(IRTree!AK51*h)-1)/h -$D$6,0)))</f>
        <v/>
      </c>
      <c r="AL117" t="str">
        <f>IF($A117&gt;AL$79,"",IF(T&lt;=AL$11,"",100*h*MAX((EXP(IRTree!AL51*h)-1)/h -$D$6,0)))</f>
        <v/>
      </c>
      <c r="AM117">
        <f>IF($A117&gt;AM$79,"",IF(T&lt;=AM$11,"",100*h*MAX((EXP(IRTree!AM51*h)-1)/h -$D$6,0)))</f>
        <v>0</v>
      </c>
      <c r="AN117">
        <f>IF($A117&gt;AN$79,"",IF(T&lt;=AN$11,"",100*h*MAX((EXP(IRTree!AN51*h)-1)/h -$D$6,0)))</f>
        <v>0</v>
      </c>
      <c r="AO117">
        <f>IF($A117&gt;AO$79,"",IF(T&lt;=AO$11,"",100*h*MAX((EXP(IRTree!AO51*h)-1)/h -$D$6,0)))</f>
        <v>0</v>
      </c>
      <c r="AP117" t="str">
        <f>IF($A117&gt;AP$79,"",IF(T&lt;=AP$11,"",100*h*MAX((EXP(IRTree!AP51*h)-1)/h -$D$6,0)))</f>
        <v/>
      </c>
      <c r="AQ117" t="str">
        <f>IF($A117&gt;AQ$79,"",IF(T&lt;=AQ$11,"",100*h*MAX((EXP(IRTree!AQ51*h)-1)/h -$D$6,0)))</f>
        <v/>
      </c>
      <c r="AR117" t="str">
        <f>IF($A117&gt;AR$79,"",IF(T&lt;=AR$11,"",100*h*MAX((EXP(IRTree!AR51*h)-1)/h -$D$6,0)))</f>
        <v/>
      </c>
      <c r="AS117" t="str">
        <f>IF($A117&gt;AS$79,"",IF(T&lt;=AS$11,"",100*h*MAX((EXP(IRTree!AS51*h)-1)/h -$D$6,0)))</f>
        <v/>
      </c>
      <c r="AT117" t="str">
        <f>IF($A117&gt;AT$79,"",IF(T&lt;=AT$11,"",100*h*MAX((EXP(IRTree!AT51*h)-1)/h -$D$6,0)))</f>
        <v/>
      </c>
      <c r="AU117" t="str">
        <f>IF($A117&gt;AU$79,"",IF(T&lt;=AU$11,"",100*h*MAX((EXP(IRTree!AU51*h)-1)/h -$D$6,0)))</f>
        <v/>
      </c>
      <c r="AV117" t="str">
        <f>IF($A117&gt;AV$79,"",IF(T&lt;=AV$11,"",100*h*MAX((EXP(IRTree!AV51*h)-1)/h -$D$6,0)))</f>
        <v/>
      </c>
      <c r="AW117" t="str">
        <f>IF($A117&gt;AW$79,"",IF(T&lt;=AW$11,"",100*h*MAX((EXP(IRTree!AW51*h)-1)/h -$D$6,0)))</f>
        <v/>
      </c>
      <c r="AX117" t="str">
        <f>IF($A117&gt;AX$79,"",IF(T&lt;=AX$11,"",100*h*MAX((EXP(IRTree!AX51*h)-1)/h -$D$6,0)))</f>
        <v/>
      </c>
      <c r="AY117" t="str">
        <f>IF($A117&gt;AY$79,"",IF(T&lt;=AY$11,"",100*h*MAX((EXP(IRTree!AY51*h)-1)/h -$D$6,0)))</f>
        <v/>
      </c>
      <c r="AZ117" t="str">
        <f>IF($A117&gt;AZ$79,"",IF(T&lt;=AZ$11,"",100*h*MAX((EXP(IRTree!AZ51*h)-1)/h -$D$6,0)))</f>
        <v/>
      </c>
      <c r="BA117" t="str">
        <f>IF($A117&gt;BA$79,"",IF(T&lt;=BA$11,"",100*h*MAX((EXP(IRTree!BA51*h)-1)/h -$D$6,0)))</f>
        <v/>
      </c>
      <c r="BB117" t="str">
        <f>IF($A117&gt;BB$79,"",IF(T&lt;=BB$11,"",100*h*MAX((EXP(IRTree!BB51*h)-1)/h -$D$6,0)))</f>
        <v/>
      </c>
      <c r="BC117" t="str">
        <f>IF($A117&gt;BC$79,"",IF(T&lt;=BC$11,"",100*h*MAX((EXP(IRTree!BC51*h)-1)/h -$D$6,0)))</f>
        <v/>
      </c>
      <c r="BD117" t="str">
        <f>IF($A117&gt;BD$79,"",IF(T&lt;=BD$11,"",100*h*MAX((EXP(IRTree!BD51*h)-1)/h -$D$6,0)))</f>
        <v/>
      </c>
      <c r="BE117" t="str">
        <f>IF($A117&gt;BE$79,"",IF(T&lt;=BE$11,"",100*h*MAX((EXP(IRTree!BE51*h)-1)/h -$D$6,0)))</f>
        <v/>
      </c>
      <c r="BF117" t="str">
        <f>IF($A117&gt;BF$79,"",IF(T&lt;=BF$11,"",100*h*MAX((EXP(IRTree!BF51*h)-1)/h -$D$6,0)))</f>
        <v/>
      </c>
      <c r="BG117" t="str">
        <f>IF($A117&gt;BG$79,"",IF(T&lt;=BG$11,"",100*h*MAX((EXP(IRTree!BG51*h)-1)/h -$D$6,0)))</f>
        <v/>
      </c>
      <c r="BH117" t="str">
        <f>IF($A117&gt;BH$79,"",IF(T&lt;=BH$11,"",100*h*MAX((EXP(IRTree!BH51*h)-1)/h -$D$6,0)))</f>
        <v/>
      </c>
      <c r="BI117" t="str">
        <f>IF($A117&gt;BI$79,"",IF(T&lt;=BI$11,"",100*h*MAX((EXP(IRTree!BI51*h)-1)/h -$D$6,0)))</f>
        <v/>
      </c>
      <c r="BJ117" t="str">
        <f>IF($A117&gt;BJ$79,"",IF(T&lt;=BJ$11,"",100*h*MAX((EXP(IRTree!BJ51*h)-1)/h -$D$6,0)))</f>
        <v/>
      </c>
    </row>
    <row r="118" spans="1:62">
      <c r="A118" s="22">
        <f t="shared" si="5"/>
        <v>38</v>
      </c>
      <c r="B118" t="str">
        <f>IF($A118&gt;B$79,"",IF(T&lt;=B$11,"",100*h*MAX((EXP(IRTree!B52*h)-1)/h -$D$6,0)))</f>
        <v/>
      </c>
      <c r="C118" t="str">
        <f>IF($A118&gt;C$79,"",IF(T&lt;=C$11,"",100*h*MAX((EXP(IRTree!C52*h)-1)/h -$D$6,0)))</f>
        <v/>
      </c>
      <c r="D118" t="str">
        <f>IF($A118&gt;D$79,"",IF(T&lt;=D$11,"",100*h*MAX((EXP(IRTree!D52*h)-1)/h -$D$6,0)))</f>
        <v/>
      </c>
      <c r="E118" t="str">
        <f>IF($A118&gt;E$79,"",IF(T&lt;=E$11,"",100*h*MAX((EXP(IRTree!E52*h)-1)/h -$D$6,0)))</f>
        <v/>
      </c>
      <c r="F118" t="str">
        <f>IF($A118&gt;F$79,"",IF(T&lt;=F$11,"",100*h*MAX((EXP(IRTree!F52*h)-1)/h -$D$6,0)))</f>
        <v/>
      </c>
      <c r="G118" t="str">
        <f>IF($A118&gt;G$79,"",IF(T&lt;=G$11,"",100*h*MAX((EXP(IRTree!G52*h)-1)/h -$D$6,0)))</f>
        <v/>
      </c>
      <c r="H118" t="str">
        <f>IF($A118&gt;H$79,"",IF(T&lt;=H$11,"",100*h*MAX((EXP(IRTree!H52*h)-1)/h -$D$6,0)))</f>
        <v/>
      </c>
      <c r="I118" t="str">
        <f>IF($A118&gt;I$79,"",IF(T&lt;=I$11,"",100*h*MAX((EXP(IRTree!I52*h)-1)/h -$D$6,0)))</f>
        <v/>
      </c>
      <c r="J118" t="str">
        <f>IF($A118&gt;J$79,"",IF(T&lt;=J$11,"",100*h*MAX((EXP(IRTree!J52*h)-1)/h -$D$6,0)))</f>
        <v/>
      </c>
      <c r="K118" t="str">
        <f>IF($A118&gt;K$79,"",IF(T&lt;=K$11,"",100*h*MAX((EXP(IRTree!K52*h)-1)/h -$D$6,0)))</f>
        <v/>
      </c>
      <c r="L118" t="str">
        <f>IF($A118&gt;L$79,"",IF(T&lt;=L$11,"",100*h*MAX((EXP(IRTree!L52*h)-1)/h -$D$6,0)))</f>
        <v/>
      </c>
      <c r="M118" t="str">
        <f>IF($A118&gt;M$79,"",IF(T&lt;=M$11,"",100*h*MAX((EXP(IRTree!M52*h)-1)/h -$D$6,0)))</f>
        <v/>
      </c>
      <c r="N118" t="str">
        <f>IF($A118&gt;N$79,"",IF(T&lt;=N$11,"",100*h*MAX((EXP(IRTree!N52*h)-1)/h -$D$6,0)))</f>
        <v/>
      </c>
      <c r="O118" t="str">
        <f>IF($A118&gt;O$79,"",IF(T&lt;=O$11,"",100*h*MAX((EXP(IRTree!O52*h)-1)/h -$D$6,0)))</f>
        <v/>
      </c>
      <c r="P118" t="str">
        <f>IF($A118&gt;P$79,"",IF(T&lt;=P$11,"",100*h*MAX((EXP(IRTree!P52*h)-1)/h -$D$6,0)))</f>
        <v/>
      </c>
      <c r="Q118" t="str">
        <f>IF($A118&gt;Q$79,"",IF(T&lt;=Q$11,"",100*h*MAX((EXP(IRTree!Q52*h)-1)/h -$D$6,0)))</f>
        <v/>
      </c>
      <c r="R118" t="str">
        <f>IF($A118&gt;R$79,"",IF(T&lt;=R$11,"",100*h*MAX((EXP(IRTree!R52*h)-1)/h -$D$6,0)))</f>
        <v/>
      </c>
      <c r="S118" t="str">
        <f>IF($A118&gt;S$79,"",IF(T&lt;=S$11,"",100*h*MAX((EXP(IRTree!S52*h)-1)/h -$D$6,0)))</f>
        <v/>
      </c>
      <c r="T118" t="str">
        <f>IF($A118&gt;T$79,"",IF(T&lt;=T$11,"",100*h*MAX((EXP(IRTree!T52*h)-1)/h -$D$6,0)))</f>
        <v/>
      </c>
      <c r="U118" t="str">
        <f>IF($A118&gt;U$79,"",IF(T&lt;=U$11,"",100*h*MAX((EXP(IRTree!U52*h)-1)/h -$D$6,0)))</f>
        <v/>
      </c>
      <c r="V118" t="str">
        <f>IF($A118&gt;V$79,"",IF(T&lt;=V$11,"",100*h*MAX((EXP(IRTree!V52*h)-1)/h -$D$6,0)))</f>
        <v/>
      </c>
      <c r="W118" t="str">
        <f>IF($A118&gt;W$79,"",IF(T&lt;=W$11,"",100*h*MAX((EXP(IRTree!W52*h)-1)/h -$D$6,0)))</f>
        <v/>
      </c>
      <c r="X118" t="str">
        <f>IF($A118&gt;X$79,"",IF(T&lt;=X$11,"",100*h*MAX((EXP(IRTree!X52*h)-1)/h -$D$6,0)))</f>
        <v/>
      </c>
      <c r="Y118" t="str">
        <f>IF($A118&gt;Y$79,"",IF(T&lt;=Y$11,"",100*h*MAX((EXP(IRTree!Y52*h)-1)/h -$D$6,0)))</f>
        <v/>
      </c>
      <c r="Z118" t="str">
        <f>IF($A118&gt;Z$79,"",IF(T&lt;=Z$11,"",100*h*MAX((EXP(IRTree!Z52*h)-1)/h -$D$6,0)))</f>
        <v/>
      </c>
      <c r="AA118" t="str">
        <f>IF($A118&gt;AA$79,"",IF(T&lt;=AA$11,"",100*h*MAX((EXP(IRTree!AA52*h)-1)/h -$D$6,0)))</f>
        <v/>
      </c>
      <c r="AB118" t="str">
        <f>IF($A118&gt;AB$79,"",IF(T&lt;=AB$11,"",100*h*MAX((EXP(IRTree!AB52*h)-1)/h -$D$6,0)))</f>
        <v/>
      </c>
      <c r="AC118" t="str">
        <f>IF($A118&gt;AC$79,"",IF(T&lt;=AC$11,"",100*h*MAX((EXP(IRTree!AC52*h)-1)/h -$D$6,0)))</f>
        <v/>
      </c>
      <c r="AD118" t="str">
        <f>IF($A118&gt;AD$79,"",IF(T&lt;=AD$11,"",100*h*MAX((EXP(IRTree!AD52*h)-1)/h -$D$6,0)))</f>
        <v/>
      </c>
      <c r="AE118" t="str">
        <f>IF($A118&gt;AE$79,"",IF(T&lt;=AE$11,"",100*h*MAX((EXP(IRTree!AE52*h)-1)/h -$D$6,0)))</f>
        <v/>
      </c>
      <c r="AF118" t="str">
        <f>IF($A118&gt;AF$79,"",IF(T&lt;=AF$11,"",100*h*MAX((EXP(IRTree!AF52*h)-1)/h -$D$6,0)))</f>
        <v/>
      </c>
      <c r="AG118" t="str">
        <f>IF($A118&gt;AG$79,"",IF(T&lt;=AG$11,"",100*h*MAX((EXP(IRTree!AG52*h)-1)/h -$D$6,0)))</f>
        <v/>
      </c>
      <c r="AH118" t="str">
        <f>IF($A118&gt;AH$79,"",IF(T&lt;=AH$11,"",100*h*MAX((EXP(IRTree!AH52*h)-1)/h -$D$6,0)))</f>
        <v/>
      </c>
      <c r="AI118" t="str">
        <f>IF($A118&gt;AI$79,"",IF(T&lt;=AI$11,"",100*h*MAX((EXP(IRTree!AI52*h)-1)/h -$D$6,0)))</f>
        <v/>
      </c>
      <c r="AJ118" t="str">
        <f>IF($A118&gt;AJ$79,"",IF(T&lt;=AJ$11,"",100*h*MAX((EXP(IRTree!AJ52*h)-1)/h -$D$6,0)))</f>
        <v/>
      </c>
      <c r="AK118" t="str">
        <f>IF($A118&gt;AK$79,"",IF(T&lt;=AK$11,"",100*h*MAX((EXP(IRTree!AK52*h)-1)/h -$D$6,0)))</f>
        <v/>
      </c>
      <c r="AL118" t="str">
        <f>IF($A118&gt;AL$79,"",IF(T&lt;=AL$11,"",100*h*MAX((EXP(IRTree!AL52*h)-1)/h -$D$6,0)))</f>
        <v/>
      </c>
      <c r="AM118" t="str">
        <f>IF($A118&gt;AM$79,"",IF(T&lt;=AM$11,"",100*h*MAX((EXP(IRTree!AM52*h)-1)/h -$D$6,0)))</f>
        <v/>
      </c>
      <c r="AN118">
        <f>IF($A118&gt;AN$79,"",IF(T&lt;=AN$11,"",100*h*MAX((EXP(IRTree!AN52*h)-1)/h -$D$6,0)))</f>
        <v>0</v>
      </c>
      <c r="AO118">
        <f>IF($A118&gt;AO$79,"",IF(T&lt;=AO$11,"",100*h*MAX((EXP(IRTree!AO52*h)-1)/h -$D$6,0)))</f>
        <v>0</v>
      </c>
      <c r="AP118" t="str">
        <f>IF($A118&gt;AP$79,"",IF(T&lt;=AP$11,"",100*h*MAX((EXP(IRTree!AP52*h)-1)/h -$D$6,0)))</f>
        <v/>
      </c>
      <c r="AQ118" t="str">
        <f>IF($A118&gt;AQ$79,"",IF(T&lt;=AQ$11,"",100*h*MAX((EXP(IRTree!AQ52*h)-1)/h -$D$6,0)))</f>
        <v/>
      </c>
      <c r="AR118" t="str">
        <f>IF($A118&gt;AR$79,"",IF(T&lt;=AR$11,"",100*h*MAX((EXP(IRTree!AR52*h)-1)/h -$D$6,0)))</f>
        <v/>
      </c>
      <c r="AS118" t="str">
        <f>IF($A118&gt;AS$79,"",IF(T&lt;=AS$11,"",100*h*MAX((EXP(IRTree!AS52*h)-1)/h -$D$6,0)))</f>
        <v/>
      </c>
      <c r="AT118" t="str">
        <f>IF($A118&gt;AT$79,"",IF(T&lt;=AT$11,"",100*h*MAX((EXP(IRTree!AT52*h)-1)/h -$D$6,0)))</f>
        <v/>
      </c>
      <c r="AU118" t="str">
        <f>IF($A118&gt;AU$79,"",IF(T&lt;=AU$11,"",100*h*MAX((EXP(IRTree!AU52*h)-1)/h -$D$6,0)))</f>
        <v/>
      </c>
      <c r="AV118" t="str">
        <f>IF($A118&gt;AV$79,"",IF(T&lt;=AV$11,"",100*h*MAX((EXP(IRTree!AV52*h)-1)/h -$D$6,0)))</f>
        <v/>
      </c>
      <c r="AW118" t="str">
        <f>IF($A118&gt;AW$79,"",IF(T&lt;=AW$11,"",100*h*MAX((EXP(IRTree!AW52*h)-1)/h -$D$6,0)))</f>
        <v/>
      </c>
      <c r="AX118" t="str">
        <f>IF($A118&gt;AX$79,"",IF(T&lt;=AX$11,"",100*h*MAX((EXP(IRTree!AX52*h)-1)/h -$D$6,0)))</f>
        <v/>
      </c>
      <c r="AY118" t="str">
        <f>IF($A118&gt;AY$79,"",IF(T&lt;=AY$11,"",100*h*MAX((EXP(IRTree!AY52*h)-1)/h -$D$6,0)))</f>
        <v/>
      </c>
      <c r="AZ118" t="str">
        <f>IF($A118&gt;AZ$79,"",IF(T&lt;=AZ$11,"",100*h*MAX((EXP(IRTree!AZ52*h)-1)/h -$D$6,0)))</f>
        <v/>
      </c>
      <c r="BA118" t="str">
        <f>IF($A118&gt;BA$79,"",IF(T&lt;=BA$11,"",100*h*MAX((EXP(IRTree!BA52*h)-1)/h -$D$6,0)))</f>
        <v/>
      </c>
      <c r="BB118" t="str">
        <f>IF($A118&gt;BB$79,"",IF(T&lt;=BB$11,"",100*h*MAX((EXP(IRTree!BB52*h)-1)/h -$D$6,0)))</f>
        <v/>
      </c>
      <c r="BC118" t="str">
        <f>IF($A118&gt;BC$79,"",IF(T&lt;=BC$11,"",100*h*MAX((EXP(IRTree!BC52*h)-1)/h -$D$6,0)))</f>
        <v/>
      </c>
      <c r="BD118" t="str">
        <f>IF($A118&gt;BD$79,"",IF(T&lt;=BD$11,"",100*h*MAX((EXP(IRTree!BD52*h)-1)/h -$D$6,0)))</f>
        <v/>
      </c>
      <c r="BE118" t="str">
        <f>IF($A118&gt;BE$79,"",IF(T&lt;=BE$11,"",100*h*MAX((EXP(IRTree!BE52*h)-1)/h -$D$6,0)))</f>
        <v/>
      </c>
      <c r="BF118" t="str">
        <f>IF($A118&gt;BF$79,"",IF(T&lt;=BF$11,"",100*h*MAX((EXP(IRTree!BF52*h)-1)/h -$D$6,0)))</f>
        <v/>
      </c>
      <c r="BG118" t="str">
        <f>IF($A118&gt;BG$79,"",IF(T&lt;=BG$11,"",100*h*MAX((EXP(IRTree!BG52*h)-1)/h -$D$6,0)))</f>
        <v/>
      </c>
      <c r="BH118" t="str">
        <f>IF($A118&gt;BH$79,"",IF(T&lt;=BH$11,"",100*h*MAX((EXP(IRTree!BH52*h)-1)/h -$D$6,0)))</f>
        <v/>
      </c>
      <c r="BI118" t="str">
        <f>IF($A118&gt;BI$79,"",IF(T&lt;=BI$11,"",100*h*MAX((EXP(IRTree!BI52*h)-1)/h -$D$6,0)))</f>
        <v/>
      </c>
      <c r="BJ118" t="str">
        <f>IF($A118&gt;BJ$79,"",IF(T&lt;=BJ$11,"",100*h*MAX((EXP(IRTree!BJ52*h)-1)/h -$D$6,0)))</f>
        <v/>
      </c>
    </row>
    <row r="119" spans="1:62">
      <c r="A119" s="22">
        <f t="shared" si="5"/>
        <v>39</v>
      </c>
      <c r="B119" t="str">
        <f>IF($A119&gt;B$79,"",IF(T&lt;=B$11,"",100*h*MAX((EXP(IRTree!B53*h)-1)/h -$D$6,0)))</f>
        <v/>
      </c>
      <c r="C119" t="str">
        <f>IF($A119&gt;C$79,"",IF(T&lt;=C$11,"",100*h*MAX((EXP(IRTree!C53*h)-1)/h -$D$6,0)))</f>
        <v/>
      </c>
      <c r="D119" t="str">
        <f>IF($A119&gt;D$79,"",IF(T&lt;=D$11,"",100*h*MAX((EXP(IRTree!D53*h)-1)/h -$D$6,0)))</f>
        <v/>
      </c>
      <c r="E119" t="str">
        <f>IF($A119&gt;E$79,"",IF(T&lt;=E$11,"",100*h*MAX((EXP(IRTree!E53*h)-1)/h -$D$6,0)))</f>
        <v/>
      </c>
      <c r="F119" t="str">
        <f>IF($A119&gt;F$79,"",IF(T&lt;=F$11,"",100*h*MAX((EXP(IRTree!F53*h)-1)/h -$D$6,0)))</f>
        <v/>
      </c>
      <c r="G119" t="str">
        <f>IF($A119&gt;G$79,"",IF(T&lt;=G$11,"",100*h*MAX((EXP(IRTree!G53*h)-1)/h -$D$6,0)))</f>
        <v/>
      </c>
      <c r="H119" t="str">
        <f>IF($A119&gt;H$79,"",IF(T&lt;=H$11,"",100*h*MAX((EXP(IRTree!H53*h)-1)/h -$D$6,0)))</f>
        <v/>
      </c>
      <c r="I119" t="str">
        <f>IF($A119&gt;I$79,"",IF(T&lt;=I$11,"",100*h*MAX((EXP(IRTree!I53*h)-1)/h -$D$6,0)))</f>
        <v/>
      </c>
      <c r="J119" t="str">
        <f>IF($A119&gt;J$79,"",IF(T&lt;=J$11,"",100*h*MAX((EXP(IRTree!J53*h)-1)/h -$D$6,0)))</f>
        <v/>
      </c>
      <c r="K119" t="str">
        <f>IF($A119&gt;K$79,"",IF(T&lt;=K$11,"",100*h*MAX((EXP(IRTree!K53*h)-1)/h -$D$6,0)))</f>
        <v/>
      </c>
      <c r="L119" t="str">
        <f>IF($A119&gt;L$79,"",IF(T&lt;=L$11,"",100*h*MAX((EXP(IRTree!L53*h)-1)/h -$D$6,0)))</f>
        <v/>
      </c>
      <c r="M119" t="str">
        <f>IF($A119&gt;M$79,"",IF(T&lt;=M$11,"",100*h*MAX((EXP(IRTree!M53*h)-1)/h -$D$6,0)))</f>
        <v/>
      </c>
      <c r="N119" t="str">
        <f>IF($A119&gt;N$79,"",IF(T&lt;=N$11,"",100*h*MAX((EXP(IRTree!N53*h)-1)/h -$D$6,0)))</f>
        <v/>
      </c>
      <c r="O119" t="str">
        <f>IF($A119&gt;O$79,"",IF(T&lt;=O$11,"",100*h*MAX((EXP(IRTree!O53*h)-1)/h -$D$6,0)))</f>
        <v/>
      </c>
      <c r="P119" t="str">
        <f>IF($A119&gt;P$79,"",IF(T&lt;=P$11,"",100*h*MAX((EXP(IRTree!P53*h)-1)/h -$D$6,0)))</f>
        <v/>
      </c>
      <c r="Q119" t="str">
        <f>IF($A119&gt;Q$79,"",IF(T&lt;=Q$11,"",100*h*MAX((EXP(IRTree!Q53*h)-1)/h -$D$6,0)))</f>
        <v/>
      </c>
      <c r="R119" t="str">
        <f>IF($A119&gt;R$79,"",IF(T&lt;=R$11,"",100*h*MAX((EXP(IRTree!R53*h)-1)/h -$D$6,0)))</f>
        <v/>
      </c>
      <c r="S119" t="str">
        <f>IF($A119&gt;S$79,"",IF(T&lt;=S$11,"",100*h*MAX((EXP(IRTree!S53*h)-1)/h -$D$6,0)))</f>
        <v/>
      </c>
      <c r="T119" t="str">
        <f>IF($A119&gt;T$79,"",IF(T&lt;=T$11,"",100*h*MAX((EXP(IRTree!T53*h)-1)/h -$D$6,0)))</f>
        <v/>
      </c>
      <c r="U119" t="str">
        <f>IF($A119&gt;U$79,"",IF(T&lt;=U$11,"",100*h*MAX((EXP(IRTree!U53*h)-1)/h -$D$6,0)))</f>
        <v/>
      </c>
      <c r="V119" t="str">
        <f>IF($A119&gt;V$79,"",IF(T&lt;=V$11,"",100*h*MAX((EXP(IRTree!V53*h)-1)/h -$D$6,0)))</f>
        <v/>
      </c>
      <c r="W119" t="str">
        <f>IF($A119&gt;W$79,"",IF(T&lt;=W$11,"",100*h*MAX((EXP(IRTree!W53*h)-1)/h -$D$6,0)))</f>
        <v/>
      </c>
      <c r="X119" t="str">
        <f>IF($A119&gt;X$79,"",IF(T&lt;=X$11,"",100*h*MAX((EXP(IRTree!X53*h)-1)/h -$D$6,0)))</f>
        <v/>
      </c>
      <c r="Y119" t="str">
        <f>IF($A119&gt;Y$79,"",IF(T&lt;=Y$11,"",100*h*MAX((EXP(IRTree!Y53*h)-1)/h -$D$6,0)))</f>
        <v/>
      </c>
      <c r="Z119" t="str">
        <f>IF($A119&gt;Z$79,"",IF(T&lt;=Z$11,"",100*h*MAX((EXP(IRTree!Z53*h)-1)/h -$D$6,0)))</f>
        <v/>
      </c>
      <c r="AA119" t="str">
        <f>IF($A119&gt;AA$79,"",IF(T&lt;=AA$11,"",100*h*MAX((EXP(IRTree!AA53*h)-1)/h -$D$6,0)))</f>
        <v/>
      </c>
      <c r="AB119" t="str">
        <f>IF($A119&gt;AB$79,"",IF(T&lt;=AB$11,"",100*h*MAX((EXP(IRTree!AB53*h)-1)/h -$D$6,0)))</f>
        <v/>
      </c>
      <c r="AC119" t="str">
        <f>IF($A119&gt;AC$79,"",IF(T&lt;=AC$11,"",100*h*MAX((EXP(IRTree!AC53*h)-1)/h -$D$6,0)))</f>
        <v/>
      </c>
      <c r="AD119" t="str">
        <f>IF($A119&gt;AD$79,"",IF(T&lt;=AD$11,"",100*h*MAX((EXP(IRTree!AD53*h)-1)/h -$D$6,0)))</f>
        <v/>
      </c>
      <c r="AE119" t="str">
        <f>IF($A119&gt;AE$79,"",IF(T&lt;=AE$11,"",100*h*MAX((EXP(IRTree!AE53*h)-1)/h -$D$6,0)))</f>
        <v/>
      </c>
      <c r="AF119" t="str">
        <f>IF($A119&gt;AF$79,"",IF(T&lt;=AF$11,"",100*h*MAX((EXP(IRTree!AF53*h)-1)/h -$D$6,0)))</f>
        <v/>
      </c>
      <c r="AG119" t="str">
        <f>IF($A119&gt;AG$79,"",IF(T&lt;=AG$11,"",100*h*MAX((EXP(IRTree!AG53*h)-1)/h -$D$6,0)))</f>
        <v/>
      </c>
      <c r="AH119" t="str">
        <f>IF($A119&gt;AH$79,"",IF(T&lt;=AH$11,"",100*h*MAX((EXP(IRTree!AH53*h)-1)/h -$D$6,0)))</f>
        <v/>
      </c>
      <c r="AI119" t="str">
        <f>IF($A119&gt;AI$79,"",IF(T&lt;=AI$11,"",100*h*MAX((EXP(IRTree!AI53*h)-1)/h -$D$6,0)))</f>
        <v/>
      </c>
      <c r="AJ119" t="str">
        <f>IF($A119&gt;AJ$79,"",IF(T&lt;=AJ$11,"",100*h*MAX((EXP(IRTree!AJ53*h)-1)/h -$D$6,0)))</f>
        <v/>
      </c>
      <c r="AK119" t="str">
        <f>IF($A119&gt;AK$79,"",IF(T&lt;=AK$11,"",100*h*MAX((EXP(IRTree!AK53*h)-1)/h -$D$6,0)))</f>
        <v/>
      </c>
      <c r="AL119" t="str">
        <f>IF($A119&gt;AL$79,"",IF(T&lt;=AL$11,"",100*h*MAX((EXP(IRTree!AL53*h)-1)/h -$D$6,0)))</f>
        <v/>
      </c>
      <c r="AM119" t="str">
        <f>IF($A119&gt;AM$79,"",IF(T&lt;=AM$11,"",100*h*MAX((EXP(IRTree!AM53*h)-1)/h -$D$6,0)))</f>
        <v/>
      </c>
      <c r="AN119" t="str">
        <f>IF($A119&gt;AN$79,"",IF(T&lt;=AN$11,"",100*h*MAX((EXP(IRTree!AN53*h)-1)/h -$D$6,0)))</f>
        <v/>
      </c>
      <c r="AO119">
        <f>IF($A119&gt;AO$79,"",IF(T&lt;=AO$11,"",100*h*MAX((EXP(IRTree!AO53*h)-1)/h -$D$6,0)))</f>
        <v>0</v>
      </c>
      <c r="AP119" t="str">
        <f>IF($A119&gt;AP$79,"",IF(T&lt;=AP$11,"",100*h*MAX((EXP(IRTree!AP53*h)-1)/h -$D$6,0)))</f>
        <v/>
      </c>
      <c r="AQ119" t="str">
        <f>IF($A119&gt;AQ$79,"",IF(T&lt;=AQ$11,"",100*h*MAX((EXP(IRTree!AQ53*h)-1)/h -$D$6,0)))</f>
        <v/>
      </c>
      <c r="AR119" t="str">
        <f>IF($A119&gt;AR$79,"",IF(T&lt;=AR$11,"",100*h*MAX((EXP(IRTree!AR53*h)-1)/h -$D$6,0)))</f>
        <v/>
      </c>
      <c r="AS119" t="str">
        <f>IF($A119&gt;AS$79,"",IF(T&lt;=AS$11,"",100*h*MAX((EXP(IRTree!AS53*h)-1)/h -$D$6,0)))</f>
        <v/>
      </c>
      <c r="AT119" t="str">
        <f>IF($A119&gt;AT$79,"",IF(T&lt;=AT$11,"",100*h*MAX((EXP(IRTree!AT53*h)-1)/h -$D$6,0)))</f>
        <v/>
      </c>
      <c r="AU119" t="str">
        <f>IF($A119&gt;AU$79,"",IF(T&lt;=AU$11,"",100*h*MAX((EXP(IRTree!AU53*h)-1)/h -$D$6,0)))</f>
        <v/>
      </c>
      <c r="AV119" t="str">
        <f>IF($A119&gt;AV$79,"",IF(T&lt;=AV$11,"",100*h*MAX((EXP(IRTree!AV53*h)-1)/h -$D$6,0)))</f>
        <v/>
      </c>
      <c r="AW119" t="str">
        <f>IF($A119&gt;AW$79,"",IF(T&lt;=AW$11,"",100*h*MAX((EXP(IRTree!AW53*h)-1)/h -$D$6,0)))</f>
        <v/>
      </c>
      <c r="AX119" t="str">
        <f>IF($A119&gt;AX$79,"",IF(T&lt;=AX$11,"",100*h*MAX((EXP(IRTree!AX53*h)-1)/h -$D$6,0)))</f>
        <v/>
      </c>
      <c r="AY119" t="str">
        <f>IF($A119&gt;AY$79,"",IF(T&lt;=AY$11,"",100*h*MAX((EXP(IRTree!AY53*h)-1)/h -$D$6,0)))</f>
        <v/>
      </c>
      <c r="AZ119" t="str">
        <f>IF($A119&gt;AZ$79,"",IF(T&lt;=AZ$11,"",100*h*MAX((EXP(IRTree!AZ53*h)-1)/h -$D$6,0)))</f>
        <v/>
      </c>
      <c r="BA119" t="str">
        <f>IF($A119&gt;BA$79,"",IF(T&lt;=BA$11,"",100*h*MAX((EXP(IRTree!BA53*h)-1)/h -$D$6,0)))</f>
        <v/>
      </c>
      <c r="BB119" t="str">
        <f>IF($A119&gt;BB$79,"",IF(T&lt;=BB$11,"",100*h*MAX((EXP(IRTree!BB53*h)-1)/h -$D$6,0)))</f>
        <v/>
      </c>
      <c r="BC119" t="str">
        <f>IF($A119&gt;BC$79,"",IF(T&lt;=BC$11,"",100*h*MAX((EXP(IRTree!BC53*h)-1)/h -$D$6,0)))</f>
        <v/>
      </c>
      <c r="BD119" t="str">
        <f>IF($A119&gt;BD$79,"",IF(T&lt;=BD$11,"",100*h*MAX((EXP(IRTree!BD53*h)-1)/h -$D$6,0)))</f>
        <v/>
      </c>
      <c r="BE119" t="str">
        <f>IF($A119&gt;BE$79,"",IF(T&lt;=BE$11,"",100*h*MAX((EXP(IRTree!BE53*h)-1)/h -$D$6,0)))</f>
        <v/>
      </c>
      <c r="BF119" t="str">
        <f>IF($A119&gt;BF$79,"",IF(T&lt;=BF$11,"",100*h*MAX((EXP(IRTree!BF53*h)-1)/h -$D$6,0)))</f>
        <v/>
      </c>
      <c r="BG119" t="str">
        <f>IF($A119&gt;BG$79,"",IF(T&lt;=BG$11,"",100*h*MAX((EXP(IRTree!BG53*h)-1)/h -$D$6,0)))</f>
        <v/>
      </c>
      <c r="BH119" t="str">
        <f>IF($A119&gt;BH$79,"",IF(T&lt;=BH$11,"",100*h*MAX((EXP(IRTree!BH53*h)-1)/h -$D$6,0)))</f>
        <v/>
      </c>
      <c r="BI119" t="str">
        <f>IF($A119&gt;BI$79,"",IF(T&lt;=BI$11,"",100*h*MAX((EXP(IRTree!BI53*h)-1)/h -$D$6,0)))</f>
        <v/>
      </c>
      <c r="BJ119" t="str">
        <f>IF($A119&gt;BJ$79,"",IF(T&lt;=BJ$11,"",100*h*MAX((EXP(IRTree!BJ53*h)-1)/h -$D$6,0)))</f>
        <v/>
      </c>
    </row>
    <row r="120" spans="1:62">
      <c r="A120" s="22">
        <f t="shared" si="5"/>
        <v>40</v>
      </c>
      <c r="B120" t="str">
        <f>IF($A120&gt;B$79,"",IF(T&lt;=B$11,"",100*h*MAX((EXP(IRTree!B54*h)-1)/h -$D$6,0)))</f>
        <v/>
      </c>
      <c r="C120" t="str">
        <f>IF($A120&gt;C$79,"",IF(T&lt;=C$11,"",100*h*MAX((EXP(IRTree!C54*h)-1)/h -$D$6,0)))</f>
        <v/>
      </c>
      <c r="D120" t="str">
        <f>IF($A120&gt;D$79,"",IF(T&lt;=D$11,"",100*h*MAX((EXP(IRTree!D54*h)-1)/h -$D$6,0)))</f>
        <v/>
      </c>
      <c r="E120" t="str">
        <f>IF($A120&gt;E$79,"",IF(T&lt;=E$11,"",100*h*MAX((EXP(IRTree!E54*h)-1)/h -$D$6,0)))</f>
        <v/>
      </c>
      <c r="F120" t="str">
        <f>IF($A120&gt;F$79,"",IF(T&lt;=F$11,"",100*h*MAX((EXP(IRTree!F54*h)-1)/h -$D$6,0)))</f>
        <v/>
      </c>
      <c r="G120" t="str">
        <f>IF($A120&gt;G$79,"",IF(T&lt;=G$11,"",100*h*MAX((EXP(IRTree!G54*h)-1)/h -$D$6,0)))</f>
        <v/>
      </c>
      <c r="H120" t="str">
        <f>IF($A120&gt;H$79,"",IF(T&lt;=H$11,"",100*h*MAX((EXP(IRTree!H54*h)-1)/h -$D$6,0)))</f>
        <v/>
      </c>
      <c r="I120" t="str">
        <f>IF($A120&gt;I$79,"",IF(T&lt;=I$11,"",100*h*MAX((EXP(IRTree!I54*h)-1)/h -$D$6,0)))</f>
        <v/>
      </c>
      <c r="J120" t="str">
        <f>IF($A120&gt;J$79,"",IF(T&lt;=J$11,"",100*h*MAX((EXP(IRTree!J54*h)-1)/h -$D$6,0)))</f>
        <v/>
      </c>
      <c r="K120" t="str">
        <f>IF($A120&gt;K$79,"",IF(T&lt;=K$11,"",100*h*MAX((EXP(IRTree!K54*h)-1)/h -$D$6,0)))</f>
        <v/>
      </c>
      <c r="L120" t="str">
        <f>IF($A120&gt;L$79,"",IF(T&lt;=L$11,"",100*h*MAX((EXP(IRTree!L54*h)-1)/h -$D$6,0)))</f>
        <v/>
      </c>
      <c r="M120" t="str">
        <f>IF($A120&gt;M$79,"",IF(T&lt;=M$11,"",100*h*MAX((EXP(IRTree!M54*h)-1)/h -$D$6,0)))</f>
        <v/>
      </c>
      <c r="N120" t="str">
        <f>IF($A120&gt;N$79,"",IF(T&lt;=N$11,"",100*h*MAX((EXP(IRTree!N54*h)-1)/h -$D$6,0)))</f>
        <v/>
      </c>
      <c r="O120" t="str">
        <f>IF($A120&gt;O$79,"",IF(T&lt;=O$11,"",100*h*MAX((EXP(IRTree!O54*h)-1)/h -$D$6,0)))</f>
        <v/>
      </c>
      <c r="P120" t="str">
        <f>IF($A120&gt;P$79,"",IF(T&lt;=P$11,"",100*h*MAX((EXP(IRTree!P54*h)-1)/h -$D$6,0)))</f>
        <v/>
      </c>
      <c r="Q120" t="str">
        <f>IF($A120&gt;Q$79,"",IF(T&lt;=Q$11,"",100*h*MAX((EXP(IRTree!Q54*h)-1)/h -$D$6,0)))</f>
        <v/>
      </c>
      <c r="R120" t="str">
        <f>IF($A120&gt;R$79,"",IF(T&lt;=R$11,"",100*h*MAX((EXP(IRTree!R54*h)-1)/h -$D$6,0)))</f>
        <v/>
      </c>
      <c r="S120" t="str">
        <f>IF($A120&gt;S$79,"",IF(T&lt;=S$11,"",100*h*MAX((EXP(IRTree!S54*h)-1)/h -$D$6,0)))</f>
        <v/>
      </c>
      <c r="T120" t="str">
        <f>IF($A120&gt;T$79,"",IF(T&lt;=T$11,"",100*h*MAX((EXP(IRTree!T54*h)-1)/h -$D$6,0)))</f>
        <v/>
      </c>
      <c r="U120" t="str">
        <f>IF($A120&gt;U$79,"",IF(T&lt;=U$11,"",100*h*MAX((EXP(IRTree!U54*h)-1)/h -$D$6,0)))</f>
        <v/>
      </c>
      <c r="V120" t="str">
        <f>IF($A120&gt;V$79,"",IF(T&lt;=V$11,"",100*h*MAX((EXP(IRTree!V54*h)-1)/h -$D$6,0)))</f>
        <v/>
      </c>
      <c r="W120" t="str">
        <f>IF($A120&gt;W$79,"",IF(T&lt;=W$11,"",100*h*MAX((EXP(IRTree!W54*h)-1)/h -$D$6,0)))</f>
        <v/>
      </c>
      <c r="X120" t="str">
        <f>IF($A120&gt;X$79,"",IF(T&lt;=X$11,"",100*h*MAX((EXP(IRTree!X54*h)-1)/h -$D$6,0)))</f>
        <v/>
      </c>
      <c r="Y120" t="str">
        <f>IF($A120&gt;Y$79,"",IF(T&lt;=Y$11,"",100*h*MAX((EXP(IRTree!Y54*h)-1)/h -$D$6,0)))</f>
        <v/>
      </c>
      <c r="Z120" t="str">
        <f>IF($A120&gt;Z$79,"",IF(T&lt;=Z$11,"",100*h*MAX((EXP(IRTree!Z54*h)-1)/h -$D$6,0)))</f>
        <v/>
      </c>
      <c r="AA120" t="str">
        <f>IF($A120&gt;AA$79,"",IF(T&lt;=AA$11,"",100*h*MAX((EXP(IRTree!AA54*h)-1)/h -$D$6,0)))</f>
        <v/>
      </c>
      <c r="AB120" t="str">
        <f>IF($A120&gt;AB$79,"",IF(T&lt;=AB$11,"",100*h*MAX((EXP(IRTree!AB54*h)-1)/h -$D$6,0)))</f>
        <v/>
      </c>
      <c r="AC120" t="str">
        <f>IF($A120&gt;AC$79,"",IF(T&lt;=AC$11,"",100*h*MAX((EXP(IRTree!AC54*h)-1)/h -$D$6,0)))</f>
        <v/>
      </c>
      <c r="AD120" t="str">
        <f>IF($A120&gt;AD$79,"",IF(T&lt;=AD$11,"",100*h*MAX((EXP(IRTree!AD54*h)-1)/h -$D$6,0)))</f>
        <v/>
      </c>
      <c r="AE120" t="str">
        <f>IF($A120&gt;AE$79,"",IF(T&lt;=AE$11,"",100*h*MAX((EXP(IRTree!AE54*h)-1)/h -$D$6,0)))</f>
        <v/>
      </c>
      <c r="AF120" t="str">
        <f>IF($A120&gt;AF$79,"",IF(T&lt;=AF$11,"",100*h*MAX((EXP(IRTree!AF54*h)-1)/h -$D$6,0)))</f>
        <v/>
      </c>
      <c r="AG120" t="str">
        <f>IF($A120&gt;AG$79,"",IF(T&lt;=AG$11,"",100*h*MAX((EXP(IRTree!AG54*h)-1)/h -$D$6,0)))</f>
        <v/>
      </c>
      <c r="AH120" t="str">
        <f>IF($A120&gt;AH$79,"",IF(T&lt;=AH$11,"",100*h*MAX((EXP(IRTree!AH54*h)-1)/h -$D$6,0)))</f>
        <v/>
      </c>
      <c r="AI120" t="str">
        <f>IF($A120&gt;AI$79,"",IF(T&lt;=AI$11,"",100*h*MAX((EXP(IRTree!AI54*h)-1)/h -$D$6,0)))</f>
        <v/>
      </c>
      <c r="AJ120" t="str">
        <f>IF($A120&gt;AJ$79,"",IF(T&lt;=AJ$11,"",100*h*MAX((EXP(IRTree!AJ54*h)-1)/h -$D$6,0)))</f>
        <v/>
      </c>
      <c r="AK120" t="str">
        <f>IF($A120&gt;AK$79,"",IF(T&lt;=AK$11,"",100*h*MAX((EXP(IRTree!AK54*h)-1)/h -$D$6,0)))</f>
        <v/>
      </c>
      <c r="AL120" t="str">
        <f>IF($A120&gt;AL$79,"",IF(T&lt;=AL$11,"",100*h*MAX((EXP(IRTree!AL54*h)-1)/h -$D$6,0)))</f>
        <v/>
      </c>
      <c r="AM120" t="str">
        <f>IF($A120&gt;AM$79,"",IF(T&lt;=AM$11,"",100*h*MAX((EXP(IRTree!AM54*h)-1)/h -$D$6,0)))</f>
        <v/>
      </c>
      <c r="AN120" t="str">
        <f>IF($A120&gt;AN$79,"",IF(T&lt;=AN$11,"",100*h*MAX((EXP(IRTree!AN54*h)-1)/h -$D$6,0)))</f>
        <v/>
      </c>
      <c r="AO120" t="str">
        <f>IF($A120&gt;AO$79,"",IF(T&lt;=AO$11,"",100*h*MAX((EXP(IRTree!AO54*h)-1)/h -$D$6,0)))</f>
        <v/>
      </c>
      <c r="AP120" t="str">
        <f>IF($A120&gt;AP$79,"",IF(T&lt;=AP$11,"",100*h*MAX((EXP(IRTree!AP54*h)-1)/h -$D$6,0)))</f>
        <v/>
      </c>
      <c r="AQ120" t="str">
        <f>IF($A120&gt;AQ$79,"",IF(T&lt;=AQ$11,"",100*h*MAX((EXP(IRTree!AQ54*h)-1)/h -$D$6,0)))</f>
        <v/>
      </c>
      <c r="AR120" t="str">
        <f>IF($A120&gt;AR$79,"",IF(T&lt;=AR$11,"",100*h*MAX((EXP(IRTree!AR54*h)-1)/h -$D$6,0)))</f>
        <v/>
      </c>
      <c r="AS120" t="str">
        <f>IF($A120&gt;AS$79,"",IF(T&lt;=AS$11,"",100*h*MAX((EXP(IRTree!AS54*h)-1)/h -$D$6,0)))</f>
        <v/>
      </c>
      <c r="AT120" t="str">
        <f>IF($A120&gt;AT$79,"",IF(T&lt;=AT$11,"",100*h*MAX((EXP(IRTree!AT54*h)-1)/h -$D$6,0)))</f>
        <v/>
      </c>
      <c r="AU120" t="str">
        <f>IF($A120&gt;AU$79,"",IF(T&lt;=AU$11,"",100*h*MAX((EXP(IRTree!AU54*h)-1)/h -$D$6,0)))</f>
        <v/>
      </c>
      <c r="AV120" t="str">
        <f>IF($A120&gt;AV$79,"",IF(T&lt;=AV$11,"",100*h*MAX((EXP(IRTree!AV54*h)-1)/h -$D$6,0)))</f>
        <v/>
      </c>
      <c r="AW120" t="str">
        <f>IF($A120&gt;AW$79,"",IF(T&lt;=AW$11,"",100*h*MAX((EXP(IRTree!AW54*h)-1)/h -$D$6,0)))</f>
        <v/>
      </c>
      <c r="AX120" t="str">
        <f>IF($A120&gt;AX$79,"",IF(T&lt;=AX$11,"",100*h*MAX((EXP(IRTree!AX54*h)-1)/h -$D$6,0)))</f>
        <v/>
      </c>
      <c r="AY120" t="str">
        <f>IF($A120&gt;AY$79,"",IF(T&lt;=AY$11,"",100*h*MAX((EXP(IRTree!AY54*h)-1)/h -$D$6,0)))</f>
        <v/>
      </c>
      <c r="AZ120" t="str">
        <f>IF($A120&gt;AZ$79,"",IF(T&lt;=AZ$11,"",100*h*MAX((EXP(IRTree!AZ54*h)-1)/h -$D$6,0)))</f>
        <v/>
      </c>
      <c r="BA120" t="str">
        <f>IF($A120&gt;BA$79,"",IF(T&lt;=BA$11,"",100*h*MAX((EXP(IRTree!BA54*h)-1)/h -$D$6,0)))</f>
        <v/>
      </c>
      <c r="BB120" t="str">
        <f>IF($A120&gt;BB$79,"",IF(T&lt;=BB$11,"",100*h*MAX((EXP(IRTree!BB54*h)-1)/h -$D$6,0)))</f>
        <v/>
      </c>
      <c r="BC120" t="str">
        <f>IF($A120&gt;BC$79,"",IF(T&lt;=BC$11,"",100*h*MAX((EXP(IRTree!BC54*h)-1)/h -$D$6,0)))</f>
        <v/>
      </c>
      <c r="BD120" t="str">
        <f>IF($A120&gt;BD$79,"",IF(T&lt;=BD$11,"",100*h*MAX((EXP(IRTree!BD54*h)-1)/h -$D$6,0)))</f>
        <v/>
      </c>
      <c r="BE120" t="str">
        <f>IF($A120&gt;BE$79,"",IF(T&lt;=BE$11,"",100*h*MAX((EXP(IRTree!BE54*h)-1)/h -$D$6,0)))</f>
        <v/>
      </c>
      <c r="BF120" t="str">
        <f>IF($A120&gt;BF$79,"",IF(T&lt;=BF$11,"",100*h*MAX((EXP(IRTree!BF54*h)-1)/h -$D$6,0)))</f>
        <v/>
      </c>
      <c r="BG120" t="str">
        <f>IF($A120&gt;BG$79,"",IF(T&lt;=BG$11,"",100*h*MAX((EXP(IRTree!BG54*h)-1)/h -$D$6,0)))</f>
        <v/>
      </c>
      <c r="BH120" t="str">
        <f>IF($A120&gt;BH$79,"",IF(T&lt;=BH$11,"",100*h*MAX((EXP(IRTree!BH54*h)-1)/h -$D$6,0)))</f>
        <v/>
      </c>
      <c r="BI120" t="str">
        <f>IF($A120&gt;BI$79,"",IF(T&lt;=BI$11,"",100*h*MAX((EXP(IRTree!BI54*h)-1)/h -$D$6,0)))</f>
        <v/>
      </c>
      <c r="BJ120" t="str">
        <f>IF($A120&gt;BJ$79,"",IF(T&lt;=BJ$11,"",100*h*MAX((EXP(IRTree!BJ54*h)-1)/h -$D$6,0)))</f>
        <v/>
      </c>
    </row>
    <row r="121" spans="1:62">
      <c r="A121" s="22">
        <f t="shared" si="5"/>
        <v>41</v>
      </c>
      <c r="B121" t="str">
        <f>IF($A121&gt;B$79,"",IF(T&lt;=B$11,"",100*h*MAX((EXP(IRTree!B55*h)-1)/h -$D$6,0)))</f>
        <v/>
      </c>
      <c r="C121" t="str">
        <f>IF($A121&gt;C$79,"",IF(T&lt;=C$11,"",100*h*MAX((EXP(IRTree!C55*h)-1)/h -$D$6,0)))</f>
        <v/>
      </c>
      <c r="D121" t="str">
        <f>IF($A121&gt;D$79,"",IF(T&lt;=D$11,"",100*h*MAX((EXP(IRTree!D55*h)-1)/h -$D$6,0)))</f>
        <v/>
      </c>
      <c r="E121" t="str">
        <f>IF($A121&gt;E$79,"",IF(T&lt;=E$11,"",100*h*MAX((EXP(IRTree!E55*h)-1)/h -$D$6,0)))</f>
        <v/>
      </c>
      <c r="F121" t="str">
        <f>IF($A121&gt;F$79,"",IF(T&lt;=F$11,"",100*h*MAX((EXP(IRTree!F55*h)-1)/h -$D$6,0)))</f>
        <v/>
      </c>
      <c r="G121" t="str">
        <f>IF($A121&gt;G$79,"",IF(T&lt;=G$11,"",100*h*MAX((EXP(IRTree!G55*h)-1)/h -$D$6,0)))</f>
        <v/>
      </c>
      <c r="H121" t="str">
        <f>IF($A121&gt;H$79,"",IF(T&lt;=H$11,"",100*h*MAX((EXP(IRTree!H55*h)-1)/h -$D$6,0)))</f>
        <v/>
      </c>
      <c r="I121" t="str">
        <f>IF($A121&gt;I$79,"",IF(T&lt;=I$11,"",100*h*MAX((EXP(IRTree!I55*h)-1)/h -$D$6,0)))</f>
        <v/>
      </c>
      <c r="J121" t="str">
        <f>IF($A121&gt;J$79,"",IF(T&lt;=J$11,"",100*h*MAX((EXP(IRTree!J55*h)-1)/h -$D$6,0)))</f>
        <v/>
      </c>
      <c r="K121" t="str">
        <f>IF($A121&gt;K$79,"",IF(T&lt;=K$11,"",100*h*MAX((EXP(IRTree!K55*h)-1)/h -$D$6,0)))</f>
        <v/>
      </c>
      <c r="L121" t="str">
        <f>IF($A121&gt;L$79,"",IF(T&lt;=L$11,"",100*h*MAX((EXP(IRTree!L55*h)-1)/h -$D$6,0)))</f>
        <v/>
      </c>
      <c r="M121" t="str">
        <f>IF($A121&gt;M$79,"",IF(T&lt;=M$11,"",100*h*MAX((EXP(IRTree!M55*h)-1)/h -$D$6,0)))</f>
        <v/>
      </c>
      <c r="N121" t="str">
        <f>IF($A121&gt;N$79,"",IF(T&lt;=N$11,"",100*h*MAX((EXP(IRTree!N55*h)-1)/h -$D$6,0)))</f>
        <v/>
      </c>
      <c r="O121" t="str">
        <f>IF($A121&gt;O$79,"",IF(T&lt;=O$11,"",100*h*MAX((EXP(IRTree!O55*h)-1)/h -$D$6,0)))</f>
        <v/>
      </c>
      <c r="P121" t="str">
        <f>IF($A121&gt;P$79,"",IF(T&lt;=P$11,"",100*h*MAX((EXP(IRTree!P55*h)-1)/h -$D$6,0)))</f>
        <v/>
      </c>
      <c r="Q121" t="str">
        <f>IF($A121&gt;Q$79,"",IF(T&lt;=Q$11,"",100*h*MAX((EXP(IRTree!Q55*h)-1)/h -$D$6,0)))</f>
        <v/>
      </c>
      <c r="R121" t="str">
        <f>IF($A121&gt;R$79,"",IF(T&lt;=R$11,"",100*h*MAX((EXP(IRTree!R55*h)-1)/h -$D$6,0)))</f>
        <v/>
      </c>
      <c r="S121" t="str">
        <f>IF($A121&gt;S$79,"",IF(T&lt;=S$11,"",100*h*MAX((EXP(IRTree!S55*h)-1)/h -$D$6,0)))</f>
        <v/>
      </c>
      <c r="T121" t="str">
        <f>IF($A121&gt;T$79,"",IF(T&lt;=T$11,"",100*h*MAX((EXP(IRTree!T55*h)-1)/h -$D$6,0)))</f>
        <v/>
      </c>
      <c r="U121" t="str">
        <f>IF($A121&gt;U$79,"",IF(T&lt;=U$11,"",100*h*MAX((EXP(IRTree!U55*h)-1)/h -$D$6,0)))</f>
        <v/>
      </c>
      <c r="V121" t="str">
        <f>IF($A121&gt;V$79,"",IF(T&lt;=V$11,"",100*h*MAX((EXP(IRTree!V55*h)-1)/h -$D$6,0)))</f>
        <v/>
      </c>
      <c r="W121" t="str">
        <f>IF($A121&gt;W$79,"",IF(T&lt;=W$11,"",100*h*MAX((EXP(IRTree!W55*h)-1)/h -$D$6,0)))</f>
        <v/>
      </c>
      <c r="X121" t="str">
        <f>IF($A121&gt;X$79,"",IF(T&lt;=X$11,"",100*h*MAX((EXP(IRTree!X55*h)-1)/h -$D$6,0)))</f>
        <v/>
      </c>
      <c r="Y121" t="str">
        <f>IF($A121&gt;Y$79,"",IF(T&lt;=Y$11,"",100*h*MAX((EXP(IRTree!Y55*h)-1)/h -$D$6,0)))</f>
        <v/>
      </c>
      <c r="Z121" t="str">
        <f>IF($A121&gt;Z$79,"",IF(T&lt;=Z$11,"",100*h*MAX((EXP(IRTree!Z55*h)-1)/h -$D$6,0)))</f>
        <v/>
      </c>
      <c r="AA121" t="str">
        <f>IF($A121&gt;AA$79,"",IF(T&lt;=AA$11,"",100*h*MAX((EXP(IRTree!AA55*h)-1)/h -$D$6,0)))</f>
        <v/>
      </c>
      <c r="AB121" t="str">
        <f>IF($A121&gt;AB$79,"",IF(T&lt;=AB$11,"",100*h*MAX((EXP(IRTree!AB55*h)-1)/h -$D$6,0)))</f>
        <v/>
      </c>
      <c r="AC121" t="str">
        <f>IF($A121&gt;AC$79,"",IF(T&lt;=AC$11,"",100*h*MAX((EXP(IRTree!AC55*h)-1)/h -$D$6,0)))</f>
        <v/>
      </c>
      <c r="AD121" t="str">
        <f>IF($A121&gt;AD$79,"",IF(T&lt;=AD$11,"",100*h*MAX((EXP(IRTree!AD55*h)-1)/h -$D$6,0)))</f>
        <v/>
      </c>
      <c r="AE121" t="str">
        <f>IF($A121&gt;AE$79,"",IF(T&lt;=AE$11,"",100*h*MAX((EXP(IRTree!AE55*h)-1)/h -$D$6,0)))</f>
        <v/>
      </c>
      <c r="AF121" t="str">
        <f>IF($A121&gt;AF$79,"",IF(T&lt;=AF$11,"",100*h*MAX((EXP(IRTree!AF55*h)-1)/h -$D$6,0)))</f>
        <v/>
      </c>
      <c r="AG121" t="str">
        <f>IF($A121&gt;AG$79,"",IF(T&lt;=AG$11,"",100*h*MAX((EXP(IRTree!AG55*h)-1)/h -$D$6,0)))</f>
        <v/>
      </c>
      <c r="AH121" t="str">
        <f>IF($A121&gt;AH$79,"",IF(T&lt;=AH$11,"",100*h*MAX((EXP(IRTree!AH55*h)-1)/h -$D$6,0)))</f>
        <v/>
      </c>
      <c r="AI121" t="str">
        <f>IF($A121&gt;AI$79,"",IF(T&lt;=AI$11,"",100*h*MAX((EXP(IRTree!AI55*h)-1)/h -$D$6,0)))</f>
        <v/>
      </c>
      <c r="AJ121" t="str">
        <f>IF($A121&gt;AJ$79,"",IF(T&lt;=AJ$11,"",100*h*MAX((EXP(IRTree!AJ55*h)-1)/h -$D$6,0)))</f>
        <v/>
      </c>
      <c r="AK121" t="str">
        <f>IF($A121&gt;AK$79,"",IF(T&lt;=AK$11,"",100*h*MAX((EXP(IRTree!AK55*h)-1)/h -$D$6,0)))</f>
        <v/>
      </c>
      <c r="AL121" t="str">
        <f>IF($A121&gt;AL$79,"",IF(T&lt;=AL$11,"",100*h*MAX((EXP(IRTree!AL55*h)-1)/h -$D$6,0)))</f>
        <v/>
      </c>
      <c r="AM121" t="str">
        <f>IF($A121&gt;AM$79,"",IF(T&lt;=AM$11,"",100*h*MAX((EXP(IRTree!AM55*h)-1)/h -$D$6,0)))</f>
        <v/>
      </c>
      <c r="AN121" t="str">
        <f>IF($A121&gt;AN$79,"",IF(T&lt;=AN$11,"",100*h*MAX((EXP(IRTree!AN55*h)-1)/h -$D$6,0)))</f>
        <v/>
      </c>
      <c r="AO121" t="str">
        <f>IF($A121&gt;AO$79,"",IF(T&lt;=AO$11,"",100*h*MAX((EXP(IRTree!AO55*h)-1)/h -$D$6,0)))</f>
        <v/>
      </c>
      <c r="AP121" t="str">
        <f>IF($A121&gt;AP$79,"",IF(T&lt;=AP$11,"",100*h*MAX((EXP(IRTree!AP55*h)-1)/h -$D$6,0)))</f>
        <v/>
      </c>
      <c r="AQ121" t="str">
        <f>IF($A121&gt;AQ$79,"",IF(T&lt;=AQ$11,"",100*h*MAX((EXP(IRTree!AQ55*h)-1)/h -$D$6,0)))</f>
        <v/>
      </c>
      <c r="AR121" t="str">
        <f>IF($A121&gt;AR$79,"",IF(T&lt;=AR$11,"",100*h*MAX((EXP(IRTree!AR55*h)-1)/h -$D$6,0)))</f>
        <v/>
      </c>
      <c r="AS121" t="str">
        <f>IF($A121&gt;AS$79,"",IF(T&lt;=AS$11,"",100*h*MAX((EXP(IRTree!AS55*h)-1)/h -$D$6,0)))</f>
        <v/>
      </c>
      <c r="AT121" t="str">
        <f>IF($A121&gt;AT$79,"",IF(T&lt;=AT$11,"",100*h*MAX((EXP(IRTree!AT55*h)-1)/h -$D$6,0)))</f>
        <v/>
      </c>
      <c r="AU121" t="str">
        <f>IF($A121&gt;AU$79,"",IF(T&lt;=AU$11,"",100*h*MAX((EXP(IRTree!AU55*h)-1)/h -$D$6,0)))</f>
        <v/>
      </c>
      <c r="AV121" t="str">
        <f>IF($A121&gt;AV$79,"",IF(T&lt;=AV$11,"",100*h*MAX((EXP(IRTree!AV55*h)-1)/h -$D$6,0)))</f>
        <v/>
      </c>
      <c r="AW121" t="str">
        <f>IF($A121&gt;AW$79,"",IF(T&lt;=AW$11,"",100*h*MAX((EXP(IRTree!AW55*h)-1)/h -$D$6,0)))</f>
        <v/>
      </c>
      <c r="AX121" t="str">
        <f>IF($A121&gt;AX$79,"",IF(T&lt;=AX$11,"",100*h*MAX((EXP(IRTree!AX55*h)-1)/h -$D$6,0)))</f>
        <v/>
      </c>
      <c r="AY121" t="str">
        <f>IF($A121&gt;AY$79,"",IF(T&lt;=AY$11,"",100*h*MAX((EXP(IRTree!AY55*h)-1)/h -$D$6,0)))</f>
        <v/>
      </c>
      <c r="AZ121" t="str">
        <f>IF($A121&gt;AZ$79,"",IF(T&lt;=AZ$11,"",100*h*MAX((EXP(IRTree!AZ55*h)-1)/h -$D$6,0)))</f>
        <v/>
      </c>
      <c r="BA121" t="str">
        <f>IF($A121&gt;BA$79,"",IF(T&lt;=BA$11,"",100*h*MAX((EXP(IRTree!BA55*h)-1)/h -$D$6,0)))</f>
        <v/>
      </c>
      <c r="BB121" t="str">
        <f>IF($A121&gt;BB$79,"",IF(T&lt;=BB$11,"",100*h*MAX((EXP(IRTree!BB55*h)-1)/h -$D$6,0)))</f>
        <v/>
      </c>
      <c r="BC121" t="str">
        <f>IF($A121&gt;BC$79,"",IF(T&lt;=BC$11,"",100*h*MAX((EXP(IRTree!BC55*h)-1)/h -$D$6,0)))</f>
        <v/>
      </c>
      <c r="BD121" t="str">
        <f>IF($A121&gt;BD$79,"",IF(T&lt;=BD$11,"",100*h*MAX((EXP(IRTree!BD55*h)-1)/h -$D$6,0)))</f>
        <v/>
      </c>
      <c r="BE121" t="str">
        <f>IF($A121&gt;BE$79,"",IF(T&lt;=BE$11,"",100*h*MAX((EXP(IRTree!BE55*h)-1)/h -$D$6,0)))</f>
        <v/>
      </c>
      <c r="BF121" t="str">
        <f>IF($A121&gt;BF$79,"",IF(T&lt;=BF$11,"",100*h*MAX((EXP(IRTree!BF55*h)-1)/h -$D$6,0)))</f>
        <v/>
      </c>
      <c r="BG121" t="str">
        <f>IF($A121&gt;BG$79,"",IF(T&lt;=BG$11,"",100*h*MAX((EXP(IRTree!BG55*h)-1)/h -$D$6,0)))</f>
        <v/>
      </c>
      <c r="BH121" t="str">
        <f>IF($A121&gt;BH$79,"",IF(T&lt;=BH$11,"",100*h*MAX((EXP(IRTree!BH55*h)-1)/h -$D$6,0)))</f>
        <v/>
      </c>
      <c r="BI121" t="str">
        <f>IF($A121&gt;BI$79,"",IF(T&lt;=BI$11,"",100*h*MAX((EXP(IRTree!BI55*h)-1)/h -$D$6,0)))</f>
        <v/>
      </c>
      <c r="BJ121" t="str">
        <f>IF($A121&gt;BJ$79,"",IF(T&lt;=BJ$11,"",100*h*MAX((EXP(IRTree!BJ55*h)-1)/h -$D$6,0)))</f>
        <v/>
      </c>
    </row>
    <row r="122" spans="1:62">
      <c r="A122" s="22">
        <f t="shared" si="5"/>
        <v>42</v>
      </c>
      <c r="B122" t="str">
        <f>IF($A122&gt;B$79,"",IF(T&lt;=B$11,"",100*h*MAX((EXP(IRTree!B56*h)-1)/h -$D$6,0)))</f>
        <v/>
      </c>
      <c r="C122" t="str">
        <f>IF($A122&gt;C$79,"",IF(T&lt;=C$11,"",100*h*MAX((EXP(IRTree!C56*h)-1)/h -$D$6,0)))</f>
        <v/>
      </c>
      <c r="D122" t="str">
        <f>IF($A122&gt;D$79,"",IF(T&lt;=D$11,"",100*h*MAX((EXP(IRTree!D56*h)-1)/h -$D$6,0)))</f>
        <v/>
      </c>
      <c r="E122" t="str">
        <f>IF($A122&gt;E$79,"",IF(T&lt;=E$11,"",100*h*MAX((EXP(IRTree!E56*h)-1)/h -$D$6,0)))</f>
        <v/>
      </c>
      <c r="F122" t="str">
        <f>IF($A122&gt;F$79,"",IF(T&lt;=F$11,"",100*h*MAX((EXP(IRTree!F56*h)-1)/h -$D$6,0)))</f>
        <v/>
      </c>
      <c r="G122" t="str">
        <f>IF($A122&gt;G$79,"",IF(T&lt;=G$11,"",100*h*MAX((EXP(IRTree!G56*h)-1)/h -$D$6,0)))</f>
        <v/>
      </c>
      <c r="H122" t="str">
        <f>IF($A122&gt;H$79,"",IF(T&lt;=H$11,"",100*h*MAX((EXP(IRTree!H56*h)-1)/h -$D$6,0)))</f>
        <v/>
      </c>
      <c r="I122" t="str">
        <f>IF($A122&gt;I$79,"",IF(T&lt;=I$11,"",100*h*MAX((EXP(IRTree!I56*h)-1)/h -$D$6,0)))</f>
        <v/>
      </c>
      <c r="J122" t="str">
        <f>IF($A122&gt;J$79,"",IF(T&lt;=J$11,"",100*h*MAX((EXP(IRTree!J56*h)-1)/h -$D$6,0)))</f>
        <v/>
      </c>
      <c r="K122" t="str">
        <f>IF($A122&gt;K$79,"",IF(T&lt;=K$11,"",100*h*MAX((EXP(IRTree!K56*h)-1)/h -$D$6,0)))</f>
        <v/>
      </c>
      <c r="L122" t="str">
        <f>IF($A122&gt;L$79,"",IF(T&lt;=L$11,"",100*h*MAX((EXP(IRTree!L56*h)-1)/h -$D$6,0)))</f>
        <v/>
      </c>
      <c r="M122" t="str">
        <f>IF($A122&gt;M$79,"",IF(T&lt;=M$11,"",100*h*MAX((EXP(IRTree!M56*h)-1)/h -$D$6,0)))</f>
        <v/>
      </c>
      <c r="N122" t="str">
        <f>IF($A122&gt;N$79,"",IF(T&lt;=N$11,"",100*h*MAX((EXP(IRTree!N56*h)-1)/h -$D$6,0)))</f>
        <v/>
      </c>
      <c r="O122" t="str">
        <f>IF($A122&gt;O$79,"",IF(T&lt;=O$11,"",100*h*MAX((EXP(IRTree!O56*h)-1)/h -$D$6,0)))</f>
        <v/>
      </c>
      <c r="P122" t="str">
        <f>IF($A122&gt;P$79,"",IF(T&lt;=P$11,"",100*h*MAX((EXP(IRTree!P56*h)-1)/h -$D$6,0)))</f>
        <v/>
      </c>
      <c r="Q122" t="str">
        <f>IF($A122&gt;Q$79,"",IF(T&lt;=Q$11,"",100*h*MAX((EXP(IRTree!Q56*h)-1)/h -$D$6,0)))</f>
        <v/>
      </c>
      <c r="R122" t="str">
        <f>IF($A122&gt;R$79,"",IF(T&lt;=R$11,"",100*h*MAX((EXP(IRTree!R56*h)-1)/h -$D$6,0)))</f>
        <v/>
      </c>
      <c r="S122" t="str">
        <f>IF($A122&gt;S$79,"",IF(T&lt;=S$11,"",100*h*MAX((EXP(IRTree!S56*h)-1)/h -$D$6,0)))</f>
        <v/>
      </c>
      <c r="T122" t="str">
        <f>IF($A122&gt;T$79,"",IF(T&lt;=T$11,"",100*h*MAX((EXP(IRTree!T56*h)-1)/h -$D$6,0)))</f>
        <v/>
      </c>
      <c r="U122" t="str">
        <f>IF($A122&gt;U$79,"",IF(T&lt;=U$11,"",100*h*MAX((EXP(IRTree!U56*h)-1)/h -$D$6,0)))</f>
        <v/>
      </c>
      <c r="V122" t="str">
        <f>IF($A122&gt;V$79,"",IF(T&lt;=V$11,"",100*h*MAX((EXP(IRTree!V56*h)-1)/h -$D$6,0)))</f>
        <v/>
      </c>
      <c r="W122" t="str">
        <f>IF($A122&gt;W$79,"",IF(T&lt;=W$11,"",100*h*MAX((EXP(IRTree!W56*h)-1)/h -$D$6,0)))</f>
        <v/>
      </c>
      <c r="X122" t="str">
        <f>IF($A122&gt;X$79,"",IF(T&lt;=X$11,"",100*h*MAX((EXP(IRTree!X56*h)-1)/h -$D$6,0)))</f>
        <v/>
      </c>
      <c r="Y122" t="str">
        <f>IF($A122&gt;Y$79,"",IF(T&lt;=Y$11,"",100*h*MAX((EXP(IRTree!Y56*h)-1)/h -$D$6,0)))</f>
        <v/>
      </c>
      <c r="Z122" t="str">
        <f>IF($A122&gt;Z$79,"",IF(T&lt;=Z$11,"",100*h*MAX((EXP(IRTree!Z56*h)-1)/h -$D$6,0)))</f>
        <v/>
      </c>
      <c r="AA122" t="str">
        <f>IF($A122&gt;AA$79,"",IF(T&lt;=AA$11,"",100*h*MAX((EXP(IRTree!AA56*h)-1)/h -$D$6,0)))</f>
        <v/>
      </c>
      <c r="AB122" t="str">
        <f>IF($A122&gt;AB$79,"",IF(T&lt;=AB$11,"",100*h*MAX((EXP(IRTree!AB56*h)-1)/h -$D$6,0)))</f>
        <v/>
      </c>
      <c r="AC122" t="str">
        <f>IF($A122&gt;AC$79,"",IF(T&lt;=AC$11,"",100*h*MAX((EXP(IRTree!AC56*h)-1)/h -$D$6,0)))</f>
        <v/>
      </c>
      <c r="AD122" t="str">
        <f>IF($A122&gt;AD$79,"",IF(T&lt;=AD$11,"",100*h*MAX((EXP(IRTree!AD56*h)-1)/h -$D$6,0)))</f>
        <v/>
      </c>
      <c r="AE122" t="str">
        <f>IF($A122&gt;AE$79,"",IF(T&lt;=AE$11,"",100*h*MAX((EXP(IRTree!AE56*h)-1)/h -$D$6,0)))</f>
        <v/>
      </c>
      <c r="AF122" t="str">
        <f>IF($A122&gt;AF$79,"",IF(T&lt;=AF$11,"",100*h*MAX((EXP(IRTree!AF56*h)-1)/h -$D$6,0)))</f>
        <v/>
      </c>
      <c r="AG122" t="str">
        <f>IF($A122&gt;AG$79,"",IF(T&lt;=AG$11,"",100*h*MAX((EXP(IRTree!AG56*h)-1)/h -$D$6,0)))</f>
        <v/>
      </c>
      <c r="AH122" t="str">
        <f>IF($A122&gt;AH$79,"",IF(T&lt;=AH$11,"",100*h*MAX((EXP(IRTree!AH56*h)-1)/h -$D$6,0)))</f>
        <v/>
      </c>
      <c r="AI122" t="str">
        <f>IF($A122&gt;AI$79,"",IF(T&lt;=AI$11,"",100*h*MAX((EXP(IRTree!AI56*h)-1)/h -$D$6,0)))</f>
        <v/>
      </c>
      <c r="AJ122" t="str">
        <f>IF($A122&gt;AJ$79,"",IF(T&lt;=AJ$11,"",100*h*MAX((EXP(IRTree!AJ56*h)-1)/h -$D$6,0)))</f>
        <v/>
      </c>
      <c r="AK122" t="str">
        <f>IF($A122&gt;AK$79,"",IF(T&lt;=AK$11,"",100*h*MAX((EXP(IRTree!AK56*h)-1)/h -$D$6,0)))</f>
        <v/>
      </c>
      <c r="AL122" t="str">
        <f>IF($A122&gt;AL$79,"",IF(T&lt;=AL$11,"",100*h*MAX((EXP(IRTree!AL56*h)-1)/h -$D$6,0)))</f>
        <v/>
      </c>
      <c r="AM122" t="str">
        <f>IF($A122&gt;AM$79,"",IF(T&lt;=AM$11,"",100*h*MAX((EXP(IRTree!AM56*h)-1)/h -$D$6,0)))</f>
        <v/>
      </c>
      <c r="AN122" t="str">
        <f>IF($A122&gt;AN$79,"",IF(T&lt;=AN$11,"",100*h*MAX((EXP(IRTree!AN56*h)-1)/h -$D$6,0)))</f>
        <v/>
      </c>
      <c r="AO122" t="str">
        <f>IF($A122&gt;AO$79,"",IF(T&lt;=AO$11,"",100*h*MAX((EXP(IRTree!AO56*h)-1)/h -$D$6,0)))</f>
        <v/>
      </c>
      <c r="AP122" t="str">
        <f>IF($A122&gt;AP$79,"",IF(T&lt;=AP$11,"",100*h*MAX((EXP(IRTree!AP56*h)-1)/h -$D$6,0)))</f>
        <v/>
      </c>
      <c r="AQ122" t="str">
        <f>IF($A122&gt;AQ$79,"",IF(T&lt;=AQ$11,"",100*h*MAX((EXP(IRTree!AQ56*h)-1)/h -$D$6,0)))</f>
        <v/>
      </c>
      <c r="AR122" t="str">
        <f>IF($A122&gt;AR$79,"",IF(T&lt;=AR$11,"",100*h*MAX((EXP(IRTree!AR56*h)-1)/h -$D$6,0)))</f>
        <v/>
      </c>
      <c r="AS122" t="str">
        <f>IF($A122&gt;AS$79,"",IF(T&lt;=AS$11,"",100*h*MAX((EXP(IRTree!AS56*h)-1)/h -$D$6,0)))</f>
        <v/>
      </c>
      <c r="AT122" t="str">
        <f>IF($A122&gt;AT$79,"",IF(T&lt;=AT$11,"",100*h*MAX((EXP(IRTree!AT56*h)-1)/h -$D$6,0)))</f>
        <v/>
      </c>
      <c r="AU122" t="str">
        <f>IF($A122&gt;AU$79,"",IF(T&lt;=AU$11,"",100*h*MAX((EXP(IRTree!AU56*h)-1)/h -$D$6,0)))</f>
        <v/>
      </c>
      <c r="AV122" t="str">
        <f>IF($A122&gt;AV$79,"",IF(T&lt;=AV$11,"",100*h*MAX((EXP(IRTree!AV56*h)-1)/h -$D$6,0)))</f>
        <v/>
      </c>
      <c r="AW122" t="str">
        <f>IF($A122&gt;AW$79,"",IF(T&lt;=AW$11,"",100*h*MAX((EXP(IRTree!AW56*h)-1)/h -$D$6,0)))</f>
        <v/>
      </c>
      <c r="AX122" t="str">
        <f>IF($A122&gt;AX$79,"",IF(T&lt;=AX$11,"",100*h*MAX((EXP(IRTree!AX56*h)-1)/h -$D$6,0)))</f>
        <v/>
      </c>
      <c r="AY122" t="str">
        <f>IF($A122&gt;AY$79,"",IF(T&lt;=AY$11,"",100*h*MAX((EXP(IRTree!AY56*h)-1)/h -$D$6,0)))</f>
        <v/>
      </c>
      <c r="AZ122" t="str">
        <f>IF($A122&gt;AZ$79,"",IF(T&lt;=AZ$11,"",100*h*MAX((EXP(IRTree!AZ56*h)-1)/h -$D$6,0)))</f>
        <v/>
      </c>
      <c r="BA122" t="str">
        <f>IF($A122&gt;BA$79,"",IF(T&lt;=BA$11,"",100*h*MAX((EXP(IRTree!BA56*h)-1)/h -$D$6,0)))</f>
        <v/>
      </c>
      <c r="BB122" t="str">
        <f>IF($A122&gt;BB$79,"",IF(T&lt;=BB$11,"",100*h*MAX((EXP(IRTree!BB56*h)-1)/h -$D$6,0)))</f>
        <v/>
      </c>
      <c r="BC122" t="str">
        <f>IF($A122&gt;BC$79,"",IF(T&lt;=BC$11,"",100*h*MAX((EXP(IRTree!BC56*h)-1)/h -$D$6,0)))</f>
        <v/>
      </c>
      <c r="BD122" t="str">
        <f>IF($A122&gt;BD$79,"",IF(T&lt;=BD$11,"",100*h*MAX((EXP(IRTree!BD56*h)-1)/h -$D$6,0)))</f>
        <v/>
      </c>
      <c r="BE122" t="str">
        <f>IF($A122&gt;BE$79,"",IF(T&lt;=BE$11,"",100*h*MAX((EXP(IRTree!BE56*h)-1)/h -$D$6,0)))</f>
        <v/>
      </c>
      <c r="BF122" t="str">
        <f>IF($A122&gt;BF$79,"",IF(T&lt;=BF$11,"",100*h*MAX((EXP(IRTree!BF56*h)-1)/h -$D$6,0)))</f>
        <v/>
      </c>
      <c r="BG122" t="str">
        <f>IF($A122&gt;BG$79,"",IF(T&lt;=BG$11,"",100*h*MAX((EXP(IRTree!BG56*h)-1)/h -$D$6,0)))</f>
        <v/>
      </c>
      <c r="BH122" t="str">
        <f>IF($A122&gt;BH$79,"",IF(T&lt;=BH$11,"",100*h*MAX((EXP(IRTree!BH56*h)-1)/h -$D$6,0)))</f>
        <v/>
      </c>
      <c r="BI122" t="str">
        <f>IF($A122&gt;BI$79,"",IF(T&lt;=BI$11,"",100*h*MAX((EXP(IRTree!BI56*h)-1)/h -$D$6,0)))</f>
        <v/>
      </c>
      <c r="BJ122" t="str">
        <f>IF($A122&gt;BJ$79,"",IF(T&lt;=BJ$11,"",100*h*MAX((EXP(IRTree!BJ56*h)-1)/h -$D$6,0)))</f>
        <v/>
      </c>
    </row>
    <row r="123" spans="1:62">
      <c r="A123" s="22">
        <f t="shared" si="5"/>
        <v>43</v>
      </c>
      <c r="B123" t="str">
        <f>IF($A123&gt;B$79,"",IF(T&lt;=B$11,"",100*h*MAX((EXP(IRTree!B57*h)-1)/h -$D$6,0)))</f>
        <v/>
      </c>
      <c r="C123" t="str">
        <f>IF($A123&gt;C$79,"",IF(T&lt;=C$11,"",100*h*MAX((EXP(IRTree!C57*h)-1)/h -$D$6,0)))</f>
        <v/>
      </c>
      <c r="D123" t="str">
        <f>IF($A123&gt;D$79,"",IF(T&lt;=D$11,"",100*h*MAX((EXP(IRTree!D57*h)-1)/h -$D$6,0)))</f>
        <v/>
      </c>
      <c r="E123" t="str">
        <f>IF($A123&gt;E$79,"",IF(T&lt;=E$11,"",100*h*MAX((EXP(IRTree!E57*h)-1)/h -$D$6,0)))</f>
        <v/>
      </c>
      <c r="F123" t="str">
        <f>IF($A123&gt;F$79,"",IF(T&lt;=F$11,"",100*h*MAX((EXP(IRTree!F57*h)-1)/h -$D$6,0)))</f>
        <v/>
      </c>
      <c r="G123" t="str">
        <f>IF($A123&gt;G$79,"",IF(T&lt;=G$11,"",100*h*MAX((EXP(IRTree!G57*h)-1)/h -$D$6,0)))</f>
        <v/>
      </c>
      <c r="H123" t="str">
        <f>IF($A123&gt;H$79,"",IF(T&lt;=H$11,"",100*h*MAX((EXP(IRTree!H57*h)-1)/h -$D$6,0)))</f>
        <v/>
      </c>
      <c r="I123" t="str">
        <f>IF($A123&gt;I$79,"",IF(T&lt;=I$11,"",100*h*MAX((EXP(IRTree!I57*h)-1)/h -$D$6,0)))</f>
        <v/>
      </c>
      <c r="J123" t="str">
        <f>IF($A123&gt;J$79,"",IF(T&lt;=J$11,"",100*h*MAX((EXP(IRTree!J57*h)-1)/h -$D$6,0)))</f>
        <v/>
      </c>
      <c r="K123" t="str">
        <f>IF($A123&gt;K$79,"",IF(T&lt;=K$11,"",100*h*MAX((EXP(IRTree!K57*h)-1)/h -$D$6,0)))</f>
        <v/>
      </c>
      <c r="L123" t="str">
        <f>IF($A123&gt;L$79,"",IF(T&lt;=L$11,"",100*h*MAX((EXP(IRTree!L57*h)-1)/h -$D$6,0)))</f>
        <v/>
      </c>
      <c r="M123" t="str">
        <f>IF($A123&gt;M$79,"",IF(T&lt;=M$11,"",100*h*MAX((EXP(IRTree!M57*h)-1)/h -$D$6,0)))</f>
        <v/>
      </c>
      <c r="N123" t="str">
        <f>IF($A123&gt;N$79,"",IF(T&lt;=N$11,"",100*h*MAX((EXP(IRTree!N57*h)-1)/h -$D$6,0)))</f>
        <v/>
      </c>
      <c r="O123" t="str">
        <f>IF($A123&gt;O$79,"",IF(T&lt;=O$11,"",100*h*MAX((EXP(IRTree!O57*h)-1)/h -$D$6,0)))</f>
        <v/>
      </c>
      <c r="P123" t="str">
        <f>IF($A123&gt;P$79,"",IF(T&lt;=P$11,"",100*h*MAX((EXP(IRTree!P57*h)-1)/h -$D$6,0)))</f>
        <v/>
      </c>
      <c r="Q123" t="str">
        <f>IF($A123&gt;Q$79,"",IF(T&lt;=Q$11,"",100*h*MAX((EXP(IRTree!Q57*h)-1)/h -$D$6,0)))</f>
        <v/>
      </c>
      <c r="R123" t="str">
        <f>IF($A123&gt;R$79,"",IF(T&lt;=R$11,"",100*h*MAX((EXP(IRTree!R57*h)-1)/h -$D$6,0)))</f>
        <v/>
      </c>
      <c r="S123" t="str">
        <f>IF($A123&gt;S$79,"",IF(T&lt;=S$11,"",100*h*MAX((EXP(IRTree!S57*h)-1)/h -$D$6,0)))</f>
        <v/>
      </c>
      <c r="T123" t="str">
        <f>IF($A123&gt;T$79,"",IF(T&lt;=T$11,"",100*h*MAX((EXP(IRTree!T57*h)-1)/h -$D$6,0)))</f>
        <v/>
      </c>
      <c r="U123" t="str">
        <f>IF($A123&gt;U$79,"",IF(T&lt;=U$11,"",100*h*MAX((EXP(IRTree!U57*h)-1)/h -$D$6,0)))</f>
        <v/>
      </c>
      <c r="V123" t="str">
        <f>IF($A123&gt;V$79,"",IF(T&lt;=V$11,"",100*h*MAX((EXP(IRTree!V57*h)-1)/h -$D$6,0)))</f>
        <v/>
      </c>
      <c r="W123" t="str">
        <f>IF($A123&gt;W$79,"",IF(T&lt;=W$11,"",100*h*MAX((EXP(IRTree!W57*h)-1)/h -$D$6,0)))</f>
        <v/>
      </c>
      <c r="X123" t="str">
        <f>IF($A123&gt;X$79,"",IF(T&lt;=X$11,"",100*h*MAX((EXP(IRTree!X57*h)-1)/h -$D$6,0)))</f>
        <v/>
      </c>
      <c r="Y123" t="str">
        <f>IF($A123&gt;Y$79,"",IF(T&lt;=Y$11,"",100*h*MAX((EXP(IRTree!Y57*h)-1)/h -$D$6,0)))</f>
        <v/>
      </c>
      <c r="Z123" t="str">
        <f>IF($A123&gt;Z$79,"",IF(T&lt;=Z$11,"",100*h*MAX((EXP(IRTree!Z57*h)-1)/h -$D$6,0)))</f>
        <v/>
      </c>
      <c r="AA123" t="str">
        <f>IF($A123&gt;AA$79,"",IF(T&lt;=AA$11,"",100*h*MAX((EXP(IRTree!AA57*h)-1)/h -$D$6,0)))</f>
        <v/>
      </c>
      <c r="AB123" t="str">
        <f>IF($A123&gt;AB$79,"",IF(T&lt;=AB$11,"",100*h*MAX((EXP(IRTree!AB57*h)-1)/h -$D$6,0)))</f>
        <v/>
      </c>
      <c r="AC123" t="str">
        <f>IF($A123&gt;AC$79,"",IF(T&lt;=AC$11,"",100*h*MAX((EXP(IRTree!AC57*h)-1)/h -$D$6,0)))</f>
        <v/>
      </c>
      <c r="AD123" t="str">
        <f>IF($A123&gt;AD$79,"",IF(T&lt;=AD$11,"",100*h*MAX((EXP(IRTree!AD57*h)-1)/h -$D$6,0)))</f>
        <v/>
      </c>
      <c r="AE123" t="str">
        <f>IF($A123&gt;AE$79,"",IF(T&lt;=AE$11,"",100*h*MAX((EXP(IRTree!AE57*h)-1)/h -$D$6,0)))</f>
        <v/>
      </c>
      <c r="AF123" t="str">
        <f>IF($A123&gt;AF$79,"",IF(T&lt;=AF$11,"",100*h*MAX((EXP(IRTree!AF57*h)-1)/h -$D$6,0)))</f>
        <v/>
      </c>
      <c r="AG123" t="str">
        <f>IF($A123&gt;AG$79,"",IF(T&lt;=AG$11,"",100*h*MAX((EXP(IRTree!AG57*h)-1)/h -$D$6,0)))</f>
        <v/>
      </c>
      <c r="AH123" t="str">
        <f>IF($A123&gt;AH$79,"",IF(T&lt;=AH$11,"",100*h*MAX((EXP(IRTree!AH57*h)-1)/h -$D$6,0)))</f>
        <v/>
      </c>
      <c r="AI123" t="str">
        <f>IF($A123&gt;AI$79,"",IF(T&lt;=AI$11,"",100*h*MAX((EXP(IRTree!AI57*h)-1)/h -$D$6,0)))</f>
        <v/>
      </c>
      <c r="AJ123" t="str">
        <f>IF($A123&gt;AJ$79,"",IF(T&lt;=AJ$11,"",100*h*MAX((EXP(IRTree!AJ57*h)-1)/h -$D$6,0)))</f>
        <v/>
      </c>
      <c r="AK123" t="str">
        <f>IF($A123&gt;AK$79,"",IF(T&lt;=AK$11,"",100*h*MAX((EXP(IRTree!AK57*h)-1)/h -$D$6,0)))</f>
        <v/>
      </c>
      <c r="AL123" t="str">
        <f>IF($A123&gt;AL$79,"",IF(T&lt;=AL$11,"",100*h*MAX((EXP(IRTree!AL57*h)-1)/h -$D$6,0)))</f>
        <v/>
      </c>
      <c r="AM123" t="str">
        <f>IF($A123&gt;AM$79,"",IF(T&lt;=AM$11,"",100*h*MAX((EXP(IRTree!AM57*h)-1)/h -$D$6,0)))</f>
        <v/>
      </c>
      <c r="AN123" t="str">
        <f>IF($A123&gt;AN$79,"",IF(T&lt;=AN$11,"",100*h*MAX((EXP(IRTree!AN57*h)-1)/h -$D$6,0)))</f>
        <v/>
      </c>
      <c r="AO123" t="str">
        <f>IF($A123&gt;AO$79,"",IF(T&lt;=AO$11,"",100*h*MAX((EXP(IRTree!AO57*h)-1)/h -$D$6,0)))</f>
        <v/>
      </c>
      <c r="AP123" t="str">
        <f>IF($A123&gt;AP$79,"",IF(T&lt;=AP$11,"",100*h*MAX((EXP(IRTree!AP57*h)-1)/h -$D$6,0)))</f>
        <v/>
      </c>
      <c r="AQ123" t="str">
        <f>IF($A123&gt;AQ$79,"",IF(T&lt;=AQ$11,"",100*h*MAX((EXP(IRTree!AQ57*h)-1)/h -$D$6,0)))</f>
        <v/>
      </c>
      <c r="AR123" t="str">
        <f>IF($A123&gt;AR$79,"",IF(T&lt;=AR$11,"",100*h*MAX((EXP(IRTree!AR57*h)-1)/h -$D$6,0)))</f>
        <v/>
      </c>
      <c r="AS123" t="str">
        <f>IF($A123&gt;AS$79,"",IF(T&lt;=AS$11,"",100*h*MAX((EXP(IRTree!AS57*h)-1)/h -$D$6,0)))</f>
        <v/>
      </c>
      <c r="AT123" t="str">
        <f>IF($A123&gt;AT$79,"",IF(T&lt;=AT$11,"",100*h*MAX((EXP(IRTree!AT57*h)-1)/h -$D$6,0)))</f>
        <v/>
      </c>
      <c r="AU123" t="str">
        <f>IF($A123&gt;AU$79,"",IF(T&lt;=AU$11,"",100*h*MAX((EXP(IRTree!AU57*h)-1)/h -$D$6,0)))</f>
        <v/>
      </c>
      <c r="AV123" t="str">
        <f>IF($A123&gt;AV$79,"",IF(T&lt;=AV$11,"",100*h*MAX((EXP(IRTree!AV57*h)-1)/h -$D$6,0)))</f>
        <v/>
      </c>
      <c r="AW123" t="str">
        <f>IF($A123&gt;AW$79,"",IF(T&lt;=AW$11,"",100*h*MAX((EXP(IRTree!AW57*h)-1)/h -$D$6,0)))</f>
        <v/>
      </c>
      <c r="AX123" t="str">
        <f>IF($A123&gt;AX$79,"",IF(T&lt;=AX$11,"",100*h*MAX((EXP(IRTree!AX57*h)-1)/h -$D$6,0)))</f>
        <v/>
      </c>
      <c r="AY123" t="str">
        <f>IF($A123&gt;AY$79,"",IF(T&lt;=AY$11,"",100*h*MAX((EXP(IRTree!AY57*h)-1)/h -$D$6,0)))</f>
        <v/>
      </c>
      <c r="AZ123" t="str">
        <f>IF($A123&gt;AZ$79,"",IF(T&lt;=AZ$11,"",100*h*MAX((EXP(IRTree!AZ57*h)-1)/h -$D$6,0)))</f>
        <v/>
      </c>
      <c r="BA123" t="str">
        <f>IF($A123&gt;BA$79,"",IF(T&lt;=BA$11,"",100*h*MAX((EXP(IRTree!BA57*h)-1)/h -$D$6,0)))</f>
        <v/>
      </c>
      <c r="BB123" t="str">
        <f>IF($A123&gt;BB$79,"",IF(T&lt;=BB$11,"",100*h*MAX((EXP(IRTree!BB57*h)-1)/h -$D$6,0)))</f>
        <v/>
      </c>
      <c r="BC123" t="str">
        <f>IF($A123&gt;BC$79,"",IF(T&lt;=BC$11,"",100*h*MAX((EXP(IRTree!BC57*h)-1)/h -$D$6,0)))</f>
        <v/>
      </c>
      <c r="BD123" t="str">
        <f>IF($A123&gt;BD$79,"",IF(T&lt;=BD$11,"",100*h*MAX((EXP(IRTree!BD57*h)-1)/h -$D$6,0)))</f>
        <v/>
      </c>
      <c r="BE123" t="str">
        <f>IF($A123&gt;BE$79,"",IF(T&lt;=BE$11,"",100*h*MAX((EXP(IRTree!BE57*h)-1)/h -$D$6,0)))</f>
        <v/>
      </c>
      <c r="BF123" t="str">
        <f>IF($A123&gt;BF$79,"",IF(T&lt;=BF$11,"",100*h*MAX((EXP(IRTree!BF57*h)-1)/h -$D$6,0)))</f>
        <v/>
      </c>
      <c r="BG123" t="str">
        <f>IF($A123&gt;BG$79,"",IF(T&lt;=BG$11,"",100*h*MAX((EXP(IRTree!BG57*h)-1)/h -$D$6,0)))</f>
        <v/>
      </c>
      <c r="BH123" t="str">
        <f>IF($A123&gt;BH$79,"",IF(T&lt;=BH$11,"",100*h*MAX((EXP(IRTree!BH57*h)-1)/h -$D$6,0)))</f>
        <v/>
      </c>
      <c r="BI123" t="str">
        <f>IF($A123&gt;BI$79,"",IF(T&lt;=BI$11,"",100*h*MAX((EXP(IRTree!BI57*h)-1)/h -$D$6,0)))</f>
        <v/>
      </c>
      <c r="BJ123" t="str">
        <f>IF($A123&gt;BJ$79,"",IF(T&lt;=BJ$11,"",100*h*MAX((EXP(IRTree!BJ57*h)-1)/h -$D$6,0)))</f>
        <v/>
      </c>
    </row>
    <row r="124" spans="1:62">
      <c r="A124" s="22">
        <f t="shared" si="5"/>
        <v>44</v>
      </c>
      <c r="B124" t="str">
        <f>IF($A124&gt;B$79,"",IF(T&lt;=B$11,"",100*h*MAX((EXP(IRTree!B58*h)-1)/h -$D$6,0)))</f>
        <v/>
      </c>
      <c r="C124" t="str">
        <f>IF($A124&gt;C$79,"",IF(T&lt;=C$11,"",100*h*MAX((EXP(IRTree!C58*h)-1)/h -$D$6,0)))</f>
        <v/>
      </c>
      <c r="D124" t="str">
        <f>IF($A124&gt;D$79,"",IF(T&lt;=D$11,"",100*h*MAX((EXP(IRTree!D58*h)-1)/h -$D$6,0)))</f>
        <v/>
      </c>
      <c r="E124" t="str">
        <f>IF($A124&gt;E$79,"",IF(T&lt;=E$11,"",100*h*MAX((EXP(IRTree!E58*h)-1)/h -$D$6,0)))</f>
        <v/>
      </c>
      <c r="F124" t="str">
        <f>IF($A124&gt;F$79,"",IF(T&lt;=F$11,"",100*h*MAX((EXP(IRTree!F58*h)-1)/h -$D$6,0)))</f>
        <v/>
      </c>
      <c r="G124" t="str">
        <f>IF($A124&gt;G$79,"",IF(T&lt;=G$11,"",100*h*MAX((EXP(IRTree!G58*h)-1)/h -$D$6,0)))</f>
        <v/>
      </c>
      <c r="H124" t="str">
        <f>IF($A124&gt;H$79,"",IF(T&lt;=H$11,"",100*h*MAX((EXP(IRTree!H58*h)-1)/h -$D$6,0)))</f>
        <v/>
      </c>
      <c r="I124" t="str">
        <f>IF($A124&gt;I$79,"",IF(T&lt;=I$11,"",100*h*MAX((EXP(IRTree!I58*h)-1)/h -$D$6,0)))</f>
        <v/>
      </c>
      <c r="J124" t="str">
        <f>IF($A124&gt;J$79,"",IF(T&lt;=J$11,"",100*h*MAX((EXP(IRTree!J58*h)-1)/h -$D$6,0)))</f>
        <v/>
      </c>
      <c r="K124" t="str">
        <f>IF($A124&gt;K$79,"",IF(T&lt;=K$11,"",100*h*MAX((EXP(IRTree!K58*h)-1)/h -$D$6,0)))</f>
        <v/>
      </c>
      <c r="L124" t="str">
        <f>IF($A124&gt;L$79,"",IF(T&lt;=L$11,"",100*h*MAX((EXP(IRTree!L58*h)-1)/h -$D$6,0)))</f>
        <v/>
      </c>
      <c r="M124" t="str">
        <f>IF($A124&gt;M$79,"",IF(T&lt;=M$11,"",100*h*MAX((EXP(IRTree!M58*h)-1)/h -$D$6,0)))</f>
        <v/>
      </c>
      <c r="N124" t="str">
        <f>IF($A124&gt;N$79,"",IF(T&lt;=N$11,"",100*h*MAX((EXP(IRTree!N58*h)-1)/h -$D$6,0)))</f>
        <v/>
      </c>
      <c r="O124" t="str">
        <f>IF($A124&gt;O$79,"",IF(T&lt;=O$11,"",100*h*MAX((EXP(IRTree!O58*h)-1)/h -$D$6,0)))</f>
        <v/>
      </c>
      <c r="P124" t="str">
        <f>IF($A124&gt;P$79,"",IF(T&lt;=P$11,"",100*h*MAX((EXP(IRTree!P58*h)-1)/h -$D$6,0)))</f>
        <v/>
      </c>
      <c r="Q124" t="str">
        <f>IF($A124&gt;Q$79,"",IF(T&lt;=Q$11,"",100*h*MAX((EXP(IRTree!Q58*h)-1)/h -$D$6,0)))</f>
        <v/>
      </c>
      <c r="R124" t="str">
        <f>IF($A124&gt;R$79,"",IF(T&lt;=R$11,"",100*h*MAX((EXP(IRTree!R58*h)-1)/h -$D$6,0)))</f>
        <v/>
      </c>
      <c r="S124" t="str">
        <f>IF($A124&gt;S$79,"",IF(T&lt;=S$11,"",100*h*MAX((EXP(IRTree!S58*h)-1)/h -$D$6,0)))</f>
        <v/>
      </c>
      <c r="T124" t="str">
        <f>IF($A124&gt;T$79,"",IF(T&lt;=T$11,"",100*h*MAX((EXP(IRTree!T58*h)-1)/h -$D$6,0)))</f>
        <v/>
      </c>
      <c r="U124" t="str">
        <f>IF($A124&gt;U$79,"",IF(T&lt;=U$11,"",100*h*MAX((EXP(IRTree!U58*h)-1)/h -$D$6,0)))</f>
        <v/>
      </c>
      <c r="V124" t="str">
        <f>IF($A124&gt;V$79,"",IF(T&lt;=V$11,"",100*h*MAX((EXP(IRTree!V58*h)-1)/h -$D$6,0)))</f>
        <v/>
      </c>
      <c r="W124" t="str">
        <f>IF($A124&gt;W$79,"",IF(T&lt;=W$11,"",100*h*MAX((EXP(IRTree!W58*h)-1)/h -$D$6,0)))</f>
        <v/>
      </c>
      <c r="X124" t="str">
        <f>IF($A124&gt;X$79,"",IF(T&lt;=X$11,"",100*h*MAX((EXP(IRTree!X58*h)-1)/h -$D$6,0)))</f>
        <v/>
      </c>
      <c r="Y124" t="str">
        <f>IF($A124&gt;Y$79,"",IF(T&lt;=Y$11,"",100*h*MAX((EXP(IRTree!Y58*h)-1)/h -$D$6,0)))</f>
        <v/>
      </c>
      <c r="Z124" t="str">
        <f>IF($A124&gt;Z$79,"",IF(T&lt;=Z$11,"",100*h*MAX((EXP(IRTree!Z58*h)-1)/h -$D$6,0)))</f>
        <v/>
      </c>
      <c r="AA124" t="str">
        <f>IF($A124&gt;AA$79,"",IF(T&lt;=AA$11,"",100*h*MAX((EXP(IRTree!AA58*h)-1)/h -$D$6,0)))</f>
        <v/>
      </c>
      <c r="AB124" t="str">
        <f>IF($A124&gt;AB$79,"",IF(T&lt;=AB$11,"",100*h*MAX((EXP(IRTree!AB58*h)-1)/h -$D$6,0)))</f>
        <v/>
      </c>
      <c r="AC124" t="str">
        <f>IF($A124&gt;AC$79,"",IF(T&lt;=AC$11,"",100*h*MAX((EXP(IRTree!AC58*h)-1)/h -$D$6,0)))</f>
        <v/>
      </c>
      <c r="AD124" t="str">
        <f>IF($A124&gt;AD$79,"",IF(T&lt;=AD$11,"",100*h*MAX((EXP(IRTree!AD58*h)-1)/h -$D$6,0)))</f>
        <v/>
      </c>
      <c r="AE124" t="str">
        <f>IF($A124&gt;AE$79,"",IF(T&lt;=AE$11,"",100*h*MAX((EXP(IRTree!AE58*h)-1)/h -$D$6,0)))</f>
        <v/>
      </c>
      <c r="AF124" t="str">
        <f>IF($A124&gt;AF$79,"",IF(T&lt;=AF$11,"",100*h*MAX((EXP(IRTree!AF58*h)-1)/h -$D$6,0)))</f>
        <v/>
      </c>
      <c r="AG124" t="str">
        <f>IF($A124&gt;AG$79,"",IF(T&lt;=AG$11,"",100*h*MAX((EXP(IRTree!AG58*h)-1)/h -$D$6,0)))</f>
        <v/>
      </c>
      <c r="AH124" t="str">
        <f>IF($A124&gt;AH$79,"",IF(T&lt;=AH$11,"",100*h*MAX((EXP(IRTree!AH58*h)-1)/h -$D$6,0)))</f>
        <v/>
      </c>
      <c r="AI124" t="str">
        <f>IF($A124&gt;AI$79,"",IF(T&lt;=AI$11,"",100*h*MAX((EXP(IRTree!AI58*h)-1)/h -$D$6,0)))</f>
        <v/>
      </c>
      <c r="AJ124" t="str">
        <f>IF($A124&gt;AJ$79,"",IF(T&lt;=AJ$11,"",100*h*MAX((EXP(IRTree!AJ58*h)-1)/h -$D$6,0)))</f>
        <v/>
      </c>
      <c r="AK124" t="str">
        <f>IF($A124&gt;AK$79,"",IF(T&lt;=AK$11,"",100*h*MAX((EXP(IRTree!AK58*h)-1)/h -$D$6,0)))</f>
        <v/>
      </c>
      <c r="AL124" t="str">
        <f>IF($A124&gt;AL$79,"",IF(T&lt;=AL$11,"",100*h*MAX((EXP(IRTree!AL58*h)-1)/h -$D$6,0)))</f>
        <v/>
      </c>
      <c r="AM124" t="str">
        <f>IF($A124&gt;AM$79,"",IF(T&lt;=AM$11,"",100*h*MAX((EXP(IRTree!AM58*h)-1)/h -$D$6,0)))</f>
        <v/>
      </c>
      <c r="AN124" t="str">
        <f>IF($A124&gt;AN$79,"",IF(T&lt;=AN$11,"",100*h*MAX((EXP(IRTree!AN58*h)-1)/h -$D$6,0)))</f>
        <v/>
      </c>
      <c r="AO124" t="str">
        <f>IF($A124&gt;AO$79,"",IF(T&lt;=AO$11,"",100*h*MAX((EXP(IRTree!AO58*h)-1)/h -$D$6,0)))</f>
        <v/>
      </c>
      <c r="AP124" t="str">
        <f>IF($A124&gt;AP$79,"",IF(T&lt;=AP$11,"",100*h*MAX((EXP(IRTree!AP58*h)-1)/h -$D$6,0)))</f>
        <v/>
      </c>
      <c r="AQ124" t="str">
        <f>IF($A124&gt;AQ$79,"",IF(T&lt;=AQ$11,"",100*h*MAX((EXP(IRTree!AQ58*h)-1)/h -$D$6,0)))</f>
        <v/>
      </c>
      <c r="AR124" t="str">
        <f>IF($A124&gt;AR$79,"",IF(T&lt;=AR$11,"",100*h*MAX((EXP(IRTree!AR58*h)-1)/h -$D$6,0)))</f>
        <v/>
      </c>
      <c r="AS124" t="str">
        <f>IF($A124&gt;AS$79,"",IF(T&lt;=AS$11,"",100*h*MAX((EXP(IRTree!AS58*h)-1)/h -$D$6,0)))</f>
        <v/>
      </c>
      <c r="AT124" t="str">
        <f>IF($A124&gt;AT$79,"",IF(T&lt;=AT$11,"",100*h*MAX((EXP(IRTree!AT58*h)-1)/h -$D$6,0)))</f>
        <v/>
      </c>
      <c r="AU124" t="str">
        <f>IF($A124&gt;AU$79,"",IF(T&lt;=AU$11,"",100*h*MAX((EXP(IRTree!AU58*h)-1)/h -$D$6,0)))</f>
        <v/>
      </c>
      <c r="AV124" t="str">
        <f>IF($A124&gt;AV$79,"",IF(T&lt;=AV$11,"",100*h*MAX((EXP(IRTree!AV58*h)-1)/h -$D$6,0)))</f>
        <v/>
      </c>
      <c r="AW124" t="str">
        <f>IF($A124&gt;AW$79,"",IF(T&lt;=AW$11,"",100*h*MAX((EXP(IRTree!AW58*h)-1)/h -$D$6,0)))</f>
        <v/>
      </c>
      <c r="AX124" t="str">
        <f>IF($A124&gt;AX$79,"",IF(T&lt;=AX$11,"",100*h*MAX((EXP(IRTree!AX58*h)-1)/h -$D$6,0)))</f>
        <v/>
      </c>
      <c r="AY124" t="str">
        <f>IF($A124&gt;AY$79,"",IF(T&lt;=AY$11,"",100*h*MAX((EXP(IRTree!AY58*h)-1)/h -$D$6,0)))</f>
        <v/>
      </c>
      <c r="AZ124" t="str">
        <f>IF($A124&gt;AZ$79,"",IF(T&lt;=AZ$11,"",100*h*MAX((EXP(IRTree!AZ58*h)-1)/h -$D$6,0)))</f>
        <v/>
      </c>
      <c r="BA124" t="str">
        <f>IF($A124&gt;BA$79,"",IF(T&lt;=BA$11,"",100*h*MAX((EXP(IRTree!BA58*h)-1)/h -$D$6,0)))</f>
        <v/>
      </c>
      <c r="BB124" t="str">
        <f>IF($A124&gt;BB$79,"",IF(T&lt;=BB$11,"",100*h*MAX((EXP(IRTree!BB58*h)-1)/h -$D$6,0)))</f>
        <v/>
      </c>
      <c r="BC124" t="str">
        <f>IF($A124&gt;BC$79,"",IF(T&lt;=BC$11,"",100*h*MAX((EXP(IRTree!BC58*h)-1)/h -$D$6,0)))</f>
        <v/>
      </c>
      <c r="BD124" t="str">
        <f>IF($A124&gt;BD$79,"",IF(T&lt;=BD$11,"",100*h*MAX((EXP(IRTree!BD58*h)-1)/h -$D$6,0)))</f>
        <v/>
      </c>
      <c r="BE124" t="str">
        <f>IF($A124&gt;BE$79,"",IF(T&lt;=BE$11,"",100*h*MAX((EXP(IRTree!BE58*h)-1)/h -$D$6,0)))</f>
        <v/>
      </c>
      <c r="BF124" t="str">
        <f>IF($A124&gt;BF$79,"",IF(T&lt;=BF$11,"",100*h*MAX((EXP(IRTree!BF58*h)-1)/h -$D$6,0)))</f>
        <v/>
      </c>
      <c r="BG124" t="str">
        <f>IF($A124&gt;BG$79,"",IF(T&lt;=BG$11,"",100*h*MAX((EXP(IRTree!BG58*h)-1)/h -$D$6,0)))</f>
        <v/>
      </c>
      <c r="BH124" t="str">
        <f>IF($A124&gt;BH$79,"",IF(T&lt;=BH$11,"",100*h*MAX((EXP(IRTree!BH58*h)-1)/h -$D$6,0)))</f>
        <v/>
      </c>
      <c r="BI124" t="str">
        <f>IF($A124&gt;BI$79,"",IF(T&lt;=BI$11,"",100*h*MAX((EXP(IRTree!BI58*h)-1)/h -$D$6,0)))</f>
        <v/>
      </c>
      <c r="BJ124" t="str">
        <f>IF($A124&gt;BJ$79,"",IF(T&lt;=BJ$11,"",100*h*MAX((EXP(IRTree!BJ58*h)-1)/h -$D$6,0)))</f>
        <v/>
      </c>
    </row>
    <row r="125" spans="1:62">
      <c r="A125" s="22">
        <f t="shared" si="5"/>
        <v>45</v>
      </c>
      <c r="B125" t="str">
        <f>IF($A125&gt;B$79,"",IF(T&lt;=B$11,"",100*h*MAX((EXP(IRTree!B59*h)-1)/h -$D$6,0)))</f>
        <v/>
      </c>
      <c r="C125" t="str">
        <f>IF($A125&gt;C$79,"",IF(T&lt;=C$11,"",100*h*MAX((EXP(IRTree!C59*h)-1)/h -$D$6,0)))</f>
        <v/>
      </c>
      <c r="D125" t="str">
        <f>IF($A125&gt;D$79,"",IF(T&lt;=D$11,"",100*h*MAX((EXP(IRTree!D59*h)-1)/h -$D$6,0)))</f>
        <v/>
      </c>
      <c r="E125" t="str">
        <f>IF($A125&gt;E$79,"",IF(T&lt;=E$11,"",100*h*MAX((EXP(IRTree!E59*h)-1)/h -$D$6,0)))</f>
        <v/>
      </c>
      <c r="F125" t="str">
        <f>IF($A125&gt;F$79,"",IF(T&lt;=F$11,"",100*h*MAX((EXP(IRTree!F59*h)-1)/h -$D$6,0)))</f>
        <v/>
      </c>
      <c r="G125" t="str">
        <f>IF($A125&gt;G$79,"",IF(T&lt;=G$11,"",100*h*MAX((EXP(IRTree!G59*h)-1)/h -$D$6,0)))</f>
        <v/>
      </c>
      <c r="H125" t="str">
        <f>IF($A125&gt;H$79,"",IF(T&lt;=H$11,"",100*h*MAX((EXP(IRTree!H59*h)-1)/h -$D$6,0)))</f>
        <v/>
      </c>
      <c r="I125" t="str">
        <f>IF($A125&gt;I$79,"",IF(T&lt;=I$11,"",100*h*MAX((EXP(IRTree!I59*h)-1)/h -$D$6,0)))</f>
        <v/>
      </c>
      <c r="J125" t="str">
        <f>IF($A125&gt;J$79,"",IF(T&lt;=J$11,"",100*h*MAX((EXP(IRTree!J59*h)-1)/h -$D$6,0)))</f>
        <v/>
      </c>
      <c r="K125" t="str">
        <f>IF($A125&gt;K$79,"",IF(T&lt;=K$11,"",100*h*MAX((EXP(IRTree!K59*h)-1)/h -$D$6,0)))</f>
        <v/>
      </c>
      <c r="L125" t="str">
        <f>IF($A125&gt;L$79,"",IF(T&lt;=L$11,"",100*h*MAX((EXP(IRTree!L59*h)-1)/h -$D$6,0)))</f>
        <v/>
      </c>
      <c r="M125" t="str">
        <f>IF($A125&gt;M$79,"",IF(T&lt;=M$11,"",100*h*MAX((EXP(IRTree!M59*h)-1)/h -$D$6,0)))</f>
        <v/>
      </c>
      <c r="N125" t="str">
        <f>IF($A125&gt;N$79,"",IF(T&lt;=N$11,"",100*h*MAX((EXP(IRTree!N59*h)-1)/h -$D$6,0)))</f>
        <v/>
      </c>
      <c r="O125" t="str">
        <f>IF($A125&gt;O$79,"",IF(T&lt;=O$11,"",100*h*MAX((EXP(IRTree!O59*h)-1)/h -$D$6,0)))</f>
        <v/>
      </c>
      <c r="P125" t="str">
        <f>IF($A125&gt;P$79,"",IF(T&lt;=P$11,"",100*h*MAX((EXP(IRTree!P59*h)-1)/h -$D$6,0)))</f>
        <v/>
      </c>
      <c r="Q125" t="str">
        <f>IF($A125&gt;Q$79,"",IF(T&lt;=Q$11,"",100*h*MAX((EXP(IRTree!Q59*h)-1)/h -$D$6,0)))</f>
        <v/>
      </c>
      <c r="R125" t="str">
        <f>IF($A125&gt;R$79,"",IF(T&lt;=R$11,"",100*h*MAX((EXP(IRTree!R59*h)-1)/h -$D$6,0)))</f>
        <v/>
      </c>
      <c r="S125" t="str">
        <f>IF($A125&gt;S$79,"",IF(T&lt;=S$11,"",100*h*MAX((EXP(IRTree!S59*h)-1)/h -$D$6,0)))</f>
        <v/>
      </c>
      <c r="T125" t="str">
        <f>IF($A125&gt;T$79,"",IF(T&lt;=T$11,"",100*h*MAX((EXP(IRTree!T59*h)-1)/h -$D$6,0)))</f>
        <v/>
      </c>
      <c r="U125" t="str">
        <f>IF($A125&gt;U$79,"",IF(T&lt;=U$11,"",100*h*MAX((EXP(IRTree!U59*h)-1)/h -$D$6,0)))</f>
        <v/>
      </c>
      <c r="V125" t="str">
        <f>IF($A125&gt;V$79,"",IF(T&lt;=V$11,"",100*h*MAX((EXP(IRTree!V59*h)-1)/h -$D$6,0)))</f>
        <v/>
      </c>
      <c r="W125" t="str">
        <f>IF($A125&gt;W$79,"",IF(T&lt;=W$11,"",100*h*MAX((EXP(IRTree!W59*h)-1)/h -$D$6,0)))</f>
        <v/>
      </c>
      <c r="X125" t="str">
        <f>IF($A125&gt;X$79,"",IF(T&lt;=X$11,"",100*h*MAX((EXP(IRTree!X59*h)-1)/h -$D$6,0)))</f>
        <v/>
      </c>
      <c r="Y125" t="str">
        <f>IF($A125&gt;Y$79,"",IF(T&lt;=Y$11,"",100*h*MAX((EXP(IRTree!Y59*h)-1)/h -$D$6,0)))</f>
        <v/>
      </c>
      <c r="Z125" t="str">
        <f>IF($A125&gt;Z$79,"",IF(T&lt;=Z$11,"",100*h*MAX((EXP(IRTree!Z59*h)-1)/h -$D$6,0)))</f>
        <v/>
      </c>
      <c r="AA125" t="str">
        <f>IF($A125&gt;AA$79,"",IF(T&lt;=AA$11,"",100*h*MAX((EXP(IRTree!AA59*h)-1)/h -$D$6,0)))</f>
        <v/>
      </c>
      <c r="AB125" t="str">
        <f>IF($A125&gt;AB$79,"",IF(T&lt;=AB$11,"",100*h*MAX((EXP(IRTree!AB59*h)-1)/h -$D$6,0)))</f>
        <v/>
      </c>
      <c r="AC125" t="str">
        <f>IF($A125&gt;AC$79,"",IF(T&lt;=AC$11,"",100*h*MAX((EXP(IRTree!AC59*h)-1)/h -$D$6,0)))</f>
        <v/>
      </c>
      <c r="AD125" t="str">
        <f>IF($A125&gt;AD$79,"",IF(T&lt;=AD$11,"",100*h*MAX((EXP(IRTree!AD59*h)-1)/h -$D$6,0)))</f>
        <v/>
      </c>
      <c r="AE125" t="str">
        <f>IF($A125&gt;AE$79,"",IF(T&lt;=AE$11,"",100*h*MAX((EXP(IRTree!AE59*h)-1)/h -$D$6,0)))</f>
        <v/>
      </c>
      <c r="AF125" t="str">
        <f>IF($A125&gt;AF$79,"",IF(T&lt;=AF$11,"",100*h*MAX((EXP(IRTree!AF59*h)-1)/h -$D$6,0)))</f>
        <v/>
      </c>
      <c r="AG125" t="str">
        <f>IF($A125&gt;AG$79,"",IF(T&lt;=AG$11,"",100*h*MAX((EXP(IRTree!AG59*h)-1)/h -$D$6,0)))</f>
        <v/>
      </c>
      <c r="AH125" t="str">
        <f>IF($A125&gt;AH$79,"",IF(T&lt;=AH$11,"",100*h*MAX((EXP(IRTree!AH59*h)-1)/h -$D$6,0)))</f>
        <v/>
      </c>
      <c r="AI125" t="str">
        <f>IF($A125&gt;AI$79,"",IF(T&lt;=AI$11,"",100*h*MAX((EXP(IRTree!AI59*h)-1)/h -$D$6,0)))</f>
        <v/>
      </c>
      <c r="AJ125" t="str">
        <f>IF($A125&gt;AJ$79,"",IF(T&lt;=AJ$11,"",100*h*MAX((EXP(IRTree!AJ59*h)-1)/h -$D$6,0)))</f>
        <v/>
      </c>
      <c r="AK125" t="str">
        <f>IF($A125&gt;AK$79,"",IF(T&lt;=AK$11,"",100*h*MAX((EXP(IRTree!AK59*h)-1)/h -$D$6,0)))</f>
        <v/>
      </c>
      <c r="AL125" t="str">
        <f>IF($A125&gt;AL$79,"",IF(T&lt;=AL$11,"",100*h*MAX((EXP(IRTree!AL59*h)-1)/h -$D$6,0)))</f>
        <v/>
      </c>
      <c r="AM125" t="str">
        <f>IF($A125&gt;AM$79,"",IF(T&lt;=AM$11,"",100*h*MAX((EXP(IRTree!AM59*h)-1)/h -$D$6,0)))</f>
        <v/>
      </c>
      <c r="AN125" t="str">
        <f>IF($A125&gt;AN$79,"",IF(T&lt;=AN$11,"",100*h*MAX((EXP(IRTree!AN59*h)-1)/h -$D$6,0)))</f>
        <v/>
      </c>
      <c r="AO125" t="str">
        <f>IF($A125&gt;AO$79,"",IF(T&lt;=AO$11,"",100*h*MAX((EXP(IRTree!AO59*h)-1)/h -$D$6,0)))</f>
        <v/>
      </c>
      <c r="AP125" t="str">
        <f>IF($A125&gt;AP$79,"",IF(T&lt;=AP$11,"",100*h*MAX((EXP(IRTree!AP59*h)-1)/h -$D$6,0)))</f>
        <v/>
      </c>
      <c r="AQ125" t="str">
        <f>IF($A125&gt;AQ$79,"",IF(T&lt;=AQ$11,"",100*h*MAX((EXP(IRTree!AQ59*h)-1)/h -$D$6,0)))</f>
        <v/>
      </c>
      <c r="AR125" t="str">
        <f>IF($A125&gt;AR$79,"",IF(T&lt;=AR$11,"",100*h*MAX((EXP(IRTree!AR59*h)-1)/h -$D$6,0)))</f>
        <v/>
      </c>
      <c r="AS125" t="str">
        <f>IF($A125&gt;AS$79,"",IF(T&lt;=AS$11,"",100*h*MAX((EXP(IRTree!AS59*h)-1)/h -$D$6,0)))</f>
        <v/>
      </c>
      <c r="AT125" t="str">
        <f>IF($A125&gt;AT$79,"",IF(T&lt;=AT$11,"",100*h*MAX((EXP(IRTree!AT59*h)-1)/h -$D$6,0)))</f>
        <v/>
      </c>
      <c r="AU125" t="str">
        <f>IF($A125&gt;AU$79,"",IF(T&lt;=AU$11,"",100*h*MAX((EXP(IRTree!AU59*h)-1)/h -$D$6,0)))</f>
        <v/>
      </c>
      <c r="AV125" t="str">
        <f>IF($A125&gt;AV$79,"",IF(T&lt;=AV$11,"",100*h*MAX((EXP(IRTree!AV59*h)-1)/h -$D$6,0)))</f>
        <v/>
      </c>
      <c r="AW125" t="str">
        <f>IF($A125&gt;AW$79,"",IF(T&lt;=AW$11,"",100*h*MAX((EXP(IRTree!AW59*h)-1)/h -$D$6,0)))</f>
        <v/>
      </c>
      <c r="AX125" t="str">
        <f>IF($A125&gt;AX$79,"",IF(T&lt;=AX$11,"",100*h*MAX((EXP(IRTree!AX59*h)-1)/h -$D$6,0)))</f>
        <v/>
      </c>
      <c r="AY125" t="str">
        <f>IF($A125&gt;AY$79,"",IF(T&lt;=AY$11,"",100*h*MAX((EXP(IRTree!AY59*h)-1)/h -$D$6,0)))</f>
        <v/>
      </c>
      <c r="AZ125" t="str">
        <f>IF($A125&gt;AZ$79,"",IF(T&lt;=AZ$11,"",100*h*MAX((EXP(IRTree!AZ59*h)-1)/h -$D$6,0)))</f>
        <v/>
      </c>
      <c r="BA125" t="str">
        <f>IF($A125&gt;BA$79,"",IF(T&lt;=BA$11,"",100*h*MAX((EXP(IRTree!BA59*h)-1)/h -$D$6,0)))</f>
        <v/>
      </c>
      <c r="BB125" t="str">
        <f>IF($A125&gt;BB$79,"",IF(T&lt;=BB$11,"",100*h*MAX((EXP(IRTree!BB59*h)-1)/h -$D$6,0)))</f>
        <v/>
      </c>
      <c r="BC125" t="str">
        <f>IF($A125&gt;BC$79,"",IF(T&lt;=BC$11,"",100*h*MAX((EXP(IRTree!BC59*h)-1)/h -$D$6,0)))</f>
        <v/>
      </c>
      <c r="BD125" t="str">
        <f>IF($A125&gt;BD$79,"",IF(T&lt;=BD$11,"",100*h*MAX((EXP(IRTree!BD59*h)-1)/h -$D$6,0)))</f>
        <v/>
      </c>
      <c r="BE125" t="str">
        <f>IF($A125&gt;BE$79,"",IF(T&lt;=BE$11,"",100*h*MAX((EXP(IRTree!BE59*h)-1)/h -$D$6,0)))</f>
        <v/>
      </c>
      <c r="BF125" t="str">
        <f>IF($A125&gt;BF$79,"",IF(T&lt;=BF$11,"",100*h*MAX((EXP(IRTree!BF59*h)-1)/h -$D$6,0)))</f>
        <v/>
      </c>
      <c r="BG125" t="str">
        <f>IF($A125&gt;BG$79,"",IF(T&lt;=BG$11,"",100*h*MAX((EXP(IRTree!BG59*h)-1)/h -$D$6,0)))</f>
        <v/>
      </c>
      <c r="BH125" t="str">
        <f>IF($A125&gt;BH$79,"",IF(T&lt;=BH$11,"",100*h*MAX((EXP(IRTree!BH59*h)-1)/h -$D$6,0)))</f>
        <v/>
      </c>
      <c r="BI125" t="str">
        <f>IF($A125&gt;BI$79,"",IF(T&lt;=BI$11,"",100*h*MAX((EXP(IRTree!BI59*h)-1)/h -$D$6,0)))</f>
        <v/>
      </c>
      <c r="BJ125" t="str">
        <f>IF($A125&gt;BJ$79,"",IF(T&lt;=BJ$11,"",100*h*MAX((EXP(IRTree!BJ59*h)-1)/h -$D$6,0)))</f>
        <v/>
      </c>
    </row>
    <row r="126" spans="1:62">
      <c r="A126" s="22">
        <f t="shared" si="5"/>
        <v>46</v>
      </c>
      <c r="B126" t="str">
        <f>IF($A126&gt;B$79,"",IF(T&lt;=B$11,"",100*h*MAX((EXP(IRTree!B60*h)-1)/h -$D$6,0)))</f>
        <v/>
      </c>
      <c r="C126" t="str">
        <f>IF($A126&gt;C$79,"",IF(T&lt;=C$11,"",100*h*MAX((EXP(IRTree!C60*h)-1)/h -$D$6,0)))</f>
        <v/>
      </c>
      <c r="D126" t="str">
        <f>IF($A126&gt;D$79,"",IF(T&lt;=D$11,"",100*h*MAX((EXP(IRTree!D60*h)-1)/h -$D$6,0)))</f>
        <v/>
      </c>
      <c r="E126" t="str">
        <f>IF($A126&gt;E$79,"",IF(T&lt;=E$11,"",100*h*MAX((EXP(IRTree!E60*h)-1)/h -$D$6,0)))</f>
        <v/>
      </c>
      <c r="F126" t="str">
        <f>IF($A126&gt;F$79,"",IF(T&lt;=F$11,"",100*h*MAX((EXP(IRTree!F60*h)-1)/h -$D$6,0)))</f>
        <v/>
      </c>
      <c r="G126" t="str">
        <f>IF($A126&gt;G$79,"",IF(T&lt;=G$11,"",100*h*MAX((EXP(IRTree!G60*h)-1)/h -$D$6,0)))</f>
        <v/>
      </c>
      <c r="H126" t="str">
        <f>IF($A126&gt;H$79,"",IF(T&lt;=H$11,"",100*h*MAX((EXP(IRTree!H60*h)-1)/h -$D$6,0)))</f>
        <v/>
      </c>
      <c r="I126" t="str">
        <f>IF($A126&gt;I$79,"",IF(T&lt;=I$11,"",100*h*MAX((EXP(IRTree!I60*h)-1)/h -$D$6,0)))</f>
        <v/>
      </c>
      <c r="J126" t="str">
        <f>IF($A126&gt;J$79,"",IF(T&lt;=J$11,"",100*h*MAX((EXP(IRTree!J60*h)-1)/h -$D$6,0)))</f>
        <v/>
      </c>
      <c r="K126" t="str">
        <f>IF($A126&gt;K$79,"",IF(T&lt;=K$11,"",100*h*MAX((EXP(IRTree!K60*h)-1)/h -$D$6,0)))</f>
        <v/>
      </c>
      <c r="L126" t="str">
        <f>IF($A126&gt;L$79,"",IF(T&lt;=L$11,"",100*h*MAX((EXP(IRTree!L60*h)-1)/h -$D$6,0)))</f>
        <v/>
      </c>
      <c r="M126" t="str">
        <f>IF($A126&gt;M$79,"",IF(T&lt;=M$11,"",100*h*MAX((EXP(IRTree!M60*h)-1)/h -$D$6,0)))</f>
        <v/>
      </c>
      <c r="N126" t="str">
        <f>IF($A126&gt;N$79,"",IF(T&lt;=N$11,"",100*h*MAX((EXP(IRTree!N60*h)-1)/h -$D$6,0)))</f>
        <v/>
      </c>
      <c r="O126" t="str">
        <f>IF($A126&gt;O$79,"",IF(T&lt;=O$11,"",100*h*MAX((EXP(IRTree!O60*h)-1)/h -$D$6,0)))</f>
        <v/>
      </c>
      <c r="P126" t="str">
        <f>IF($A126&gt;P$79,"",IF(T&lt;=P$11,"",100*h*MAX((EXP(IRTree!P60*h)-1)/h -$D$6,0)))</f>
        <v/>
      </c>
      <c r="Q126" t="str">
        <f>IF($A126&gt;Q$79,"",IF(T&lt;=Q$11,"",100*h*MAX((EXP(IRTree!Q60*h)-1)/h -$D$6,0)))</f>
        <v/>
      </c>
      <c r="R126" t="str">
        <f>IF($A126&gt;R$79,"",IF(T&lt;=R$11,"",100*h*MAX((EXP(IRTree!R60*h)-1)/h -$D$6,0)))</f>
        <v/>
      </c>
      <c r="S126" t="str">
        <f>IF($A126&gt;S$79,"",IF(T&lt;=S$11,"",100*h*MAX((EXP(IRTree!S60*h)-1)/h -$D$6,0)))</f>
        <v/>
      </c>
      <c r="T126" t="str">
        <f>IF($A126&gt;T$79,"",IF(T&lt;=T$11,"",100*h*MAX((EXP(IRTree!T60*h)-1)/h -$D$6,0)))</f>
        <v/>
      </c>
      <c r="U126" t="str">
        <f>IF($A126&gt;U$79,"",IF(T&lt;=U$11,"",100*h*MAX((EXP(IRTree!U60*h)-1)/h -$D$6,0)))</f>
        <v/>
      </c>
      <c r="V126" t="str">
        <f>IF($A126&gt;V$79,"",IF(T&lt;=V$11,"",100*h*MAX((EXP(IRTree!V60*h)-1)/h -$D$6,0)))</f>
        <v/>
      </c>
      <c r="W126" t="str">
        <f>IF($A126&gt;W$79,"",IF(T&lt;=W$11,"",100*h*MAX((EXP(IRTree!W60*h)-1)/h -$D$6,0)))</f>
        <v/>
      </c>
      <c r="X126" t="str">
        <f>IF($A126&gt;X$79,"",IF(T&lt;=X$11,"",100*h*MAX((EXP(IRTree!X60*h)-1)/h -$D$6,0)))</f>
        <v/>
      </c>
      <c r="Y126" t="str">
        <f>IF($A126&gt;Y$79,"",IF(T&lt;=Y$11,"",100*h*MAX((EXP(IRTree!Y60*h)-1)/h -$D$6,0)))</f>
        <v/>
      </c>
      <c r="Z126" t="str">
        <f>IF($A126&gt;Z$79,"",IF(T&lt;=Z$11,"",100*h*MAX((EXP(IRTree!Z60*h)-1)/h -$D$6,0)))</f>
        <v/>
      </c>
      <c r="AA126" t="str">
        <f>IF($A126&gt;AA$79,"",IF(T&lt;=AA$11,"",100*h*MAX((EXP(IRTree!AA60*h)-1)/h -$D$6,0)))</f>
        <v/>
      </c>
      <c r="AB126" t="str">
        <f>IF($A126&gt;AB$79,"",IF(T&lt;=AB$11,"",100*h*MAX((EXP(IRTree!AB60*h)-1)/h -$D$6,0)))</f>
        <v/>
      </c>
      <c r="AC126" t="str">
        <f>IF($A126&gt;AC$79,"",IF(T&lt;=AC$11,"",100*h*MAX((EXP(IRTree!AC60*h)-1)/h -$D$6,0)))</f>
        <v/>
      </c>
      <c r="AD126" t="str">
        <f>IF($A126&gt;AD$79,"",IF(T&lt;=AD$11,"",100*h*MAX((EXP(IRTree!AD60*h)-1)/h -$D$6,0)))</f>
        <v/>
      </c>
      <c r="AE126" t="str">
        <f>IF($A126&gt;AE$79,"",IF(T&lt;=AE$11,"",100*h*MAX((EXP(IRTree!AE60*h)-1)/h -$D$6,0)))</f>
        <v/>
      </c>
      <c r="AF126" t="str">
        <f>IF($A126&gt;AF$79,"",IF(T&lt;=AF$11,"",100*h*MAX((EXP(IRTree!AF60*h)-1)/h -$D$6,0)))</f>
        <v/>
      </c>
      <c r="AG126" t="str">
        <f>IF($A126&gt;AG$79,"",IF(T&lt;=AG$11,"",100*h*MAX((EXP(IRTree!AG60*h)-1)/h -$D$6,0)))</f>
        <v/>
      </c>
      <c r="AH126" t="str">
        <f>IF($A126&gt;AH$79,"",IF(T&lt;=AH$11,"",100*h*MAX((EXP(IRTree!AH60*h)-1)/h -$D$6,0)))</f>
        <v/>
      </c>
      <c r="AI126" t="str">
        <f>IF($A126&gt;AI$79,"",IF(T&lt;=AI$11,"",100*h*MAX((EXP(IRTree!AI60*h)-1)/h -$D$6,0)))</f>
        <v/>
      </c>
      <c r="AJ126" t="str">
        <f>IF($A126&gt;AJ$79,"",IF(T&lt;=AJ$11,"",100*h*MAX((EXP(IRTree!AJ60*h)-1)/h -$D$6,0)))</f>
        <v/>
      </c>
      <c r="AK126" t="str">
        <f>IF($A126&gt;AK$79,"",IF(T&lt;=AK$11,"",100*h*MAX((EXP(IRTree!AK60*h)-1)/h -$D$6,0)))</f>
        <v/>
      </c>
      <c r="AL126" t="str">
        <f>IF($A126&gt;AL$79,"",IF(T&lt;=AL$11,"",100*h*MAX((EXP(IRTree!AL60*h)-1)/h -$D$6,0)))</f>
        <v/>
      </c>
      <c r="AM126" t="str">
        <f>IF($A126&gt;AM$79,"",IF(T&lt;=AM$11,"",100*h*MAX((EXP(IRTree!AM60*h)-1)/h -$D$6,0)))</f>
        <v/>
      </c>
      <c r="AN126" t="str">
        <f>IF($A126&gt;AN$79,"",IF(T&lt;=AN$11,"",100*h*MAX((EXP(IRTree!AN60*h)-1)/h -$D$6,0)))</f>
        <v/>
      </c>
      <c r="AO126" t="str">
        <f>IF($A126&gt;AO$79,"",IF(T&lt;=AO$11,"",100*h*MAX((EXP(IRTree!AO60*h)-1)/h -$D$6,0)))</f>
        <v/>
      </c>
      <c r="AP126" t="str">
        <f>IF($A126&gt;AP$79,"",IF(T&lt;=AP$11,"",100*h*MAX((EXP(IRTree!AP60*h)-1)/h -$D$6,0)))</f>
        <v/>
      </c>
      <c r="AQ126" t="str">
        <f>IF($A126&gt;AQ$79,"",IF(T&lt;=AQ$11,"",100*h*MAX((EXP(IRTree!AQ60*h)-1)/h -$D$6,0)))</f>
        <v/>
      </c>
      <c r="AR126" t="str">
        <f>IF($A126&gt;AR$79,"",IF(T&lt;=AR$11,"",100*h*MAX((EXP(IRTree!AR60*h)-1)/h -$D$6,0)))</f>
        <v/>
      </c>
      <c r="AS126" t="str">
        <f>IF($A126&gt;AS$79,"",IF(T&lt;=AS$11,"",100*h*MAX((EXP(IRTree!AS60*h)-1)/h -$D$6,0)))</f>
        <v/>
      </c>
      <c r="AT126" t="str">
        <f>IF($A126&gt;AT$79,"",IF(T&lt;=AT$11,"",100*h*MAX((EXP(IRTree!AT60*h)-1)/h -$D$6,0)))</f>
        <v/>
      </c>
      <c r="AU126" t="str">
        <f>IF($A126&gt;AU$79,"",IF(T&lt;=AU$11,"",100*h*MAX((EXP(IRTree!AU60*h)-1)/h -$D$6,0)))</f>
        <v/>
      </c>
      <c r="AV126" t="str">
        <f>IF($A126&gt;AV$79,"",IF(T&lt;=AV$11,"",100*h*MAX((EXP(IRTree!AV60*h)-1)/h -$D$6,0)))</f>
        <v/>
      </c>
      <c r="AW126" t="str">
        <f>IF($A126&gt;AW$79,"",IF(T&lt;=AW$11,"",100*h*MAX((EXP(IRTree!AW60*h)-1)/h -$D$6,0)))</f>
        <v/>
      </c>
      <c r="AX126" t="str">
        <f>IF($A126&gt;AX$79,"",IF(T&lt;=AX$11,"",100*h*MAX((EXP(IRTree!AX60*h)-1)/h -$D$6,0)))</f>
        <v/>
      </c>
      <c r="AY126" t="str">
        <f>IF($A126&gt;AY$79,"",IF(T&lt;=AY$11,"",100*h*MAX((EXP(IRTree!AY60*h)-1)/h -$D$6,0)))</f>
        <v/>
      </c>
      <c r="AZ126" t="str">
        <f>IF($A126&gt;AZ$79,"",IF(T&lt;=AZ$11,"",100*h*MAX((EXP(IRTree!AZ60*h)-1)/h -$D$6,0)))</f>
        <v/>
      </c>
      <c r="BA126" t="str">
        <f>IF($A126&gt;BA$79,"",IF(T&lt;=BA$11,"",100*h*MAX((EXP(IRTree!BA60*h)-1)/h -$D$6,0)))</f>
        <v/>
      </c>
      <c r="BB126" t="str">
        <f>IF($A126&gt;BB$79,"",IF(T&lt;=BB$11,"",100*h*MAX((EXP(IRTree!BB60*h)-1)/h -$D$6,0)))</f>
        <v/>
      </c>
      <c r="BC126" t="str">
        <f>IF($A126&gt;BC$79,"",IF(T&lt;=BC$11,"",100*h*MAX((EXP(IRTree!BC60*h)-1)/h -$D$6,0)))</f>
        <v/>
      </c>
      <c r="BD126" t="str">
        <f>IF($A126&gt;BD$79,"",IF(T&lt;=BD$11,"",100*h*MAX((EXP(IRTree!BD60*h)-1)/h -$D$6,0)))</f>
        <v/>
      </c>
      <c r="BE126" t="str">
        <f>IF($A126&gt;BE$79,"",IF(T&lt;=BE$11,"",100*h*MAX((EXP(IRTree!BE60*h)-1)/h -$D$6,0)))</f>
        <v/>
      </c>
      <c r="BF126" t="str">
        <f>IF($A126&gt;BF$79,"",IF(T&lt;=BF$11,"",100*h*MAX((EXP(IRTree!BF60*h)-1)/h -$D$6,0)))</f>
        <v/>
      </c>
      <c r="BG126" t="str">
        <f>IF($A126&gt;BG$79,"",IF(T&lt;=BG$11,"",100*h*MAX((EXP(IRTree!BG60*h)-1)/h -$D$6,0)))</f>
        <v/>
      </c>
      <c r="BH126" t="str">
        <f>IF($A126&gt;BH$79,"",IF(T&lt;=BH$11,"",100*h*MAX((EXP(IRTree!BH60*h)-1)/h -$D$6,0)))</f>
        <v/>
      </c>
      <c r="BI126" t="str">
        <f>IF($A126&gt;BI$79,"",IF(T&lt;=BI$11,"",100*h*MAX((EXP(IRTree!BI60*h)-1)/h -$D$6,0)))</f>
        <v/>
      </c>
      <c r="BJ126" t="str">
        <f>IF($A126&gt;BJ$79,"",IF(T&lt;=BJ$11,"",100*h*MAX((EXP(IRTree!BJ60*h)-1)/h -$D$6,0)))</f>
        <v/>
      </c>
    </row>
    <row r="127" spans="1:62">
      <c r="A127" s="22">
        <f t="shared" si="5"/>
        <v>47</v>
      </c>
      <c r="B127" t="str">
        <f>IF($A127&gt;B$79,"",IF(T&lt;=B$11,"",100*h*MAX((EXP(IRTree!B61*h)-1)/h -$D$6,0)))</f>
        <v/>
      </c>
      <c r="C127" t="str">
        <f>IF($A127&gt;C$79,"",IF(T&lt;=C$11,"",100*h*MAX((EXP(IRTree!C61*h)-1)/h -$D$6,0)))</f>
        <v/>
      </c>
      <c r="D127" t="str">
        <f>IF($A127&gt;D$79,"",IF(T&lt;=D$11,"",100*h*MAX((EXP(IRTree!D61*h)-1)/h -$D$6,0)))</f>
        <v/>
      </c>
      <c r="E127" t="str">
        <f>IF($A127&gt;E$79,"",IF(T&lt;=E$11,"",100*h*MAX((EXP(IRTree!E61*h)-1)/h -$D$6,0)))</f>
        <v/>
      </c>
      <c r="F127" t="str">
        <f>IF($A127&gt;F$79,"",IF(T&lt;=F$11,"",100*h*MAX((EXP(IRTree!F61*h)-1)/h -$D$6,0)))</f>
        <v/>
      </c>
      <c r="G127" t="str">
        <f>IF($A127&gt;G$79,"",IF(T&lt;=G$11,"",100*h*MAX((EXP(IRTree!G61*h)-1)/h -$D$6,0)))</f>
        <v/>
      </c>
      <c r="H127" t="str">
        <f>IF($A127&gt;H$79,"",IF(T&lt;=H$11,"",100*h*MAX((EXP(IRTree!H61*h)-1)/h -$D$6,0)))</f>
        <v/>
      </c>
      <c r="I127" t="str">
        <f>IF($A127&gt;I$79,"",IF(T&lt;=I$11,"",100*h*MAX((EXP(IRTree!I61*h)-1)/h -$D$6,0)))</f>
        <v/>
      </c>
      <c r="J127" t="str">
        <f>IF($A127&gt;J$79,"",IF(T&lt;=J$11,"",100*h*MAX((EXP(IRTree!J61*h)-1)/h -$D$6,0)))</f>
        <v/>
      </c>
      <c r="K127" t="str">
        <f>IF($A127&gt;K$79,"",IF(T&lt;=K$11,"",100*h*MAX((EXP(IRTree!K61*h)-1)/h -$D$6,0)))</f>
        <v/>
      </c>
      <c r="L127" t="str">
        <f>IF($A127&gt;L$79,"",IF(T&lt;=L$11,"",100*h*MAX((EXP(IRTree!L61*h)-1)/h -$D$6,0)))</f>
        <v/>
      </c>
      <c r="M127" t="str">
        <f>IF($A127&gt;M$79,"",IF(T&lt;=M$11,"",100*h*MAX((EXP(IRTree!M61*h)-1)/h -$D$6,0)))</f>
        <v/>
      </c>
      <c r="N127" t="str">
        <f>IF($A127&gt;N$79,"",IF(T&lt;=N$11,"",100*h*MAX((EXP(IRTree!N61*h)-1)/h -$D$6,0)))</f>
        <v/>
      </c>
      <c r="O127" t="str">
        <f>IF($A127&gt;O$79,"",IF(T&lt;=O$11,"",100*h*MAX((EXP(IRTree!O61*h)-1)/h -$D$6,0)))</f>
        <v/>
      </c>
      <c r="P127" t="str">
        <f>IF($A127&gt;P$79,"",IF(T&lt;=P$11,"",100*h*MAX((EXP(IRTree!P61*h)-1)/h -$D$6,0)))</f>
        <v/>
      </c>
      <c r="Q127" t="str">
        <f>IF($A127&gt;Q$79,"",IF(T&lt;=Q$11,"",100*h*MAX((EXP(IRTree!Q61*h)-1)/h -$D$6,0)))</f>
        <v/>
      </c>
      <c r="R127" t="str">
        <f>IF($A127&gt;R$79,"",IF(T&lt;=R$11,"",100*h*MAX((EXP(IRTree!R61*h)-1)/h -$D$6,0)))</f>
        <v/>
      </c>
      <c r="S127" t="str">
        <f>IF($A127&gt;S$79,"",IF(T&lt;=S$11,"",100*h*MAX((EXP(IRTree!S61*h)-1)/h -$D$6,0)))</f>
        <v/>
      </c>
      <c r="T127" t="str">
        <f>IF($A127&gt;T$79,"",IF(T&lt;=T$11,"",100*h*MAX((EXP(IRTree!T61*h)-1)/h -$D$6,0)))</f>
        <v/>
      </c>
      <c r="U127" t="str">
        <f>IF($A127&gt;U$79,"",IF(T&lt;=U$11,"",100*h*MAX((EXP(IRTree!U61*h)-1)/h -$D$6,0)))</f>
        <v/>
      </c>
      <c r="V127" t="str">
        <f>IF($A127&gt;V$79,"",IF(T&lt;=V$11,"",100*h*MAX((EXP(IRTree!V61*h)-1)/h -$D$6,0)))</f>
        <v/>
      </c>
      <c r="W127" t="str">
        <f>IF($A127&gt;W$79,"",IF(T&lt;=W$11,"",100*h*MAX((EXP(IRTree!W61*h)-1)/h -$D$6,0)))</f>
        <v/>
      </c>
      <c r="X127" t="str">
        <f>IF($A127&gt;X$79,"",IF(T&lt;=X$11,"",100*h*MAX((EXP(IRTree!X61*h)-1)/h -$D$6,0)))</f>
        <v/>
      </c>
      <c r="Y127" t="str">
        <f>IF($A127&gt;Y$79,"",IF(T&lt;=Y$11,"",100*h*MAX((EXP(IRTree!Y61*h)-1)/h -$D$6,0)))</f>
        <v/>
      </c>
      <c r="Z127" t="str">
        <f>IF($A127&gt;Z$79,"",IF(T&lt;=Z$11,"",100*h*MAX((EXP(IRTree!Z61*h)-1)/h -$D$6,0)))</f>
        <v/>
      </c>
      <c r="AA127" t="str">
        <f>IF($A127&gt;AA$79,"",IF(T&lt;=AA$11,"",100*h*MAX((EXP(IRTree!AA61*h)-1)/h -$D$6,0)))</f>
        <v/>
      </c>
      <c r="AB127" t="str">
        <f>IF($A127&gt;AB$79,"",IF(T&lt;=AB$11,"",100*h*MAX((EXP(IRTree!AB61*h)-1)/h -$D$6,0)))</f>
        <v/>
      </c>
      <c r="AC127" t="str">
        <f>IF($A127&gt;AC$79,"",IF(T&lt;=AC$11,"",100*h*MAX((EXP(IRTree!AC61*h)-1)/h -$D$6,0)))</f>
        <v/>
      </c>
      <c r="AD127" t="str">
        <f>IF($A127&gt;AD$79,"",IF(T&lt;=AD$11,"",100*h*MAX((EXP(IRTree!AD61*h)-1)/h -$D$6,0)))</f>
        <v/>
      </c>
      <c r="AE127" t="str">
        <f>IF($A127&gt;AE$79,"",IF(T&lt;=AE$11,"",100*h*MAX((EXP(IRTree!AE61*h)-1)/h -$D$6,0)))</f>
        <v/>
      </c>
      <c r="AF127" t="str">
        <f>IF($A127&gt;AF$79,"",IF(T&lt;=AF$11,"",100*h*MAX((EXP(IRTree!AF61*h)-1)/h -$D$6,0)))</f>
        <v/>
      </c>
      <c r="AG127" t="str">
        <f>IF($A127&gt;AG$79,"",IF(T&lt;=AG$11,"",100*h*MAX((EXP(IRTree!AG61*h)-1)/h -$D$6,0)))</f>
        <v/>
      </c>
      <c r="AH127" t="str">
        <f>IF($A127&gt;AH$79,"",IF(T&lt;=AH$11,"",100*h*MAX((EXP(IRTree!AH61*h)-1)/h -$D$6,0)))</f>
        <v/>
      </c>
      <c r="AI127" t="str">
        <f>IF($A127&gt;AI$79,"",IF(T&lt;=AI$11,"",100*h*MAX((EXP(IRTree!AI61*h)-1)/h -$D$6,0)))</f>
        <v/>
      </c>
      <c r="AJ127" t="str">
        <f>IF($A127&gt;AJ$79,"",IF(T&lt;=AJ$11,"",100*h*MAX((EXP(IRTree!AJ61*h)-1)/h -$D$6,0)))</f>
        <v/>
      </c>
      <c r="AK127" t="str">
        <f>IF($A127&gt;AK$79,"",IF(T&lt;=AK$11,"",100*h*MAX((EXP(IRTree!AK61*h)-1)/h -$D$6,0)))</f>
        <v/>
      </c>
      <c r="AL127" t="str">
        <f>IF($A127&gt;AL$79,"",IF(T&lt;=AL$11,"",100*h*MAX((EXP(IRTree!AL61*h)-1)/h -$D$6,0)))</f>
        <v/>
      </c>
      <c r="AM127" t="str">
        <f>IF($A127&gt;AM$79,"",IF(T&lt;=AM$11,"",100*h*MAX((EXP(IRTree!AM61*h)-1)/h -$D$6,0)))</f>
        <v/>
      </c>
      <c r="AN127" t="str">
        <f>IF($A127&gt;AN$79,"",IF(T&lt;=AN$11,"",100*h*MAX((EXP(IRTree!AN61*h)-1)/h -$D$6,0)))</f>
        <v/>
      </c>
      <c r="AO127" t="str">
        <f>IF($A127&gt;AO$79,"",IF(T&lt;=AO$11,"",100*h*MAX((EXP(IRTree!AO61*h)-1)/h -$D$6,0)))</f>
        <v/>
      </c>
      <c r="AP127" t="str">
        <f>IF($A127&gt;AP$79,"",IF(T&lt;=AP$11,"",100*h*MAX((EXP(IRTree!AP61*h)-1)/h -$D$6,0)))</f>
        <v/>
      </c>
      <c r="AQ127" t="str">
        <f>IF($A127&gt;AQ$79,"",IF(T&lt;=AQ$11,"",100*h*MAX((EXP(IRTree!AQ61*h)-1)/h -$D$6,0)))</f>
        <v/>
      </c>
      <c r="AR127" t="str">
        <f>IF($A127&gt;AR$79,"",IF(T&lt;=AR$11,"",100*h*MAX((EXP(IRTree!AR61*h)-1)/h -$D$6,0)))</f>
        <v/>
      </c>
      <c r="AS127" t="str">
        <f>IF($A127&gt;AS$79,"",IF(T&lt;=AS$11,"",100*h*MAX((EXP(IRTree!AS61*h)-1)/h -$D$6,0)))</f>
        <v/>
      </c>
      <c r="AT127" t="str">
        <f>IF($A127&gt;AT$79,"",IF(T&lt;=AT$11,"",100*h*MAX((EXP(IRTree!AT61*h)-1)/h -$D$6,0)))</f>
        <v/>
      </c>
      <c r="AU127" t="str">
        <f>IF($A127&gt;AU$79,"",IF(T&lt;=AU$11,"",100*h*MAX((EXP(IRTree!AU61*h)-1)/h -$D$6,0)))</f>
        <v/>
      </c>
      <c r="AV127" t="str">
        <f>IF($A127&gt;AV$79,"",IF(T&lt;=AV$11,"",100*h*MAX((EXP(IRTree!AV61*h)-1)/h -$D$6,0)))</f>
        <v/>
      </c>
      <c r="AW127" t="str">
        <f>IF($A127&gt;AW$79,"",IF(T&lt;=AW$11,"",100*h*MAX((EXP(IRTree!AW61*h)-1)/h -$D$6,0)))</f>
        <v/>
      </c>
      <c r="AX127" t="str">
        <f>IF($A127&gt;AX$79,"",IF(T&lt;=AX$11,"",100*h*MAX((EXP(IRTree!AX61*h)-1)/h -$D$6,0)))</f>
        <v/>
      </c>
      <c r="AY127" t="str">
        <f>IF($A127&gt;AY$79,"",IF(T&lt;=AY$11,"",100*h*MAX((EXP(IRTree!AY61*h)-1)/h -$D$6,0)))</f>
        <v/>
      </c>
      <c r="AZ127" t="str">
        <f>IF($A127&gt;AZ$79,"",IF(T&lt;=AZ$11,"",100*h*MAX((EXP(IRTree!AZ61*h)-1)/h -$D$6,0)))</f>
        <v/>
      </c>
      <c r="BA127" t="str">
        <f>IF($A127&gt;BA$79,"",IF(T&lt;=BA$11,"",100*h*MAX((EXP(IRTree!BA61*h)-1)/h -$D$6,0)))</f>
        <v/>
      </c>
      <c r="BB127" t="str">
        <f>IF($A127&gt;BB$79,"",IF(T&lt;=BB$11,"",100*h*MAX((EXP(IRTree!BB61*h)-1)/h -$D$6,0)))</f>
        <v/>
      </c>
      <c r="BC127" t="str">
        <f>IF($A127&gt;BC$79,"",IF(T&lt;=BC$11,"",100*h*MAX((EXP(IRTree!BC61*h)-1)/h -$D$6,0)))</f>
        <v/>
      </c>
      <c r="BD127" t="str">
        <f>IF($A127&gt;BD$79,"",IF(T&lt;=BD$11,"",100*h*MAX((EXP(IRTree!BD61*h)-1)/h -$D$6,0)))</f>
        <v/>
      </c>
      <c r="BE127" t="str">
        <f>IF($A127&gt;BE$79,"",IF(T&lt;=BE$11,"",100*h*MAX((EXP(IRTree!BE61*h)-1)/h -$D$6,0)))</f>
        <v/>
      </c>
      <c r="BF127" t="str">
        <f>IF($A127&gt;BF$79,"",IF(T&lt;=BF$11,"",100*h*MAX((EXP(IRTree!BF61*h)-1)/h -$D$6,0)))</f>
        <v/>
      </c>
      <c r="BG127" t="str">
        <f>IF($A127&gt;BG$79,"",IF(T&lt;=BG$11,"",100*h*MAX((EXP(IRTree!BG61*h)-1)/h -$D$6,0)))</f>
        <v/>
      </c>
      <c r="BH127" t="str">
        <f>IF($A127&gt;BH$79,"",IF(T&lt;=BH$11,"",100*h*MAX((EXP(IRTree!BH61*h)-1)/h -$D$6,0)))</f>
        <v/>
      </c>
      <c r="BI127" t="str">
        <f>IF($A127&gt;BI$79,"",IF(T&lt;=BI$11,"",100*h*MAX((EXP(IRTree!BI61*h)-1)/h -$D$6,0)))</f>
        <v/>
      </c>
      <c r="BJ127" t="str">
        <f>IF($A127&gt;BJ$79,"",IF(T&lt;=BJ$11,"",100*h*MAX((EXP(IRTree!BJ61*h)-1)/h -$D$6,0)))</f>
        <v/>
      </c>
    </row>
    <row r="128" spans="1:62">
      <c r="A128" s="22">
        <f t="shared" si="5"/>
        <v>48</v>
      </c>
      <c r="B128" t="str">
        <f>IF($A128&gt;B$79,"",IF(T&lt;=B$11,"",100*h*MAX((EXP(IRTree!B62*h)-1)/h -$D$6,0)))</f>
        <v/>
      </c>
      <c r="C128" t="str">
        <f>IF($A128&gt;C$79,"",IF(T&lt;=C$11,"",100*h*MAX((EXP(IRTree!C62*h)-1)/h -$D$6,0)))</f>
        <v/>
      </c>
      <c r="D128" t="str">
        <f>IF($A128&gt;D$79,"",IF(T&lt;=D$11,"",100*h*MAX((EXP(IRTree!D62*h)-1)/h -$D$6,0)))</f>
        <v/>
      </c>
      <c r="E128" t="str">
        <f>IF($A128&gt;E$79,"",IF(T&lt;=E$11,"",100*h*MAX((EXP(IRTree!E62*h)-1)/h -$D$6,0)))</f>
        <v/>
      </c>
      <c r="F128" t="str">
        <f>IF($A128&gt;F$79,"",IF(T&lt;=F$11,"",100*h*MAX((EXP(IRTree!F62*h)-1)/h -$D$6,0)))</f>
        <v/>
      </c>
      <c r="G128" t="str">
        <f>IF($A128&gt;G$79,"",IF(T&lt;=G$11,"",100*h*MAX((EXP(IRTree!G62*h)-1)/h -$D$6,0)))</f>
        <v/>
      </c>
      <c r="H128" t="str">
        <f>IF($A128&gt;H$79,"",IF(T&lt;=H$11,"",100*h*MAX((EXP(IRTree!H62*h)-1)/h -$D$6,0)))</f>
        <v/>
      </c>
      <c r="I128" t="str">
        <f>IF($A128&gt;I$79,"",IF(T&lt;=I$11,"",100*h*MAX((EXP(IRTree!I62*h)-1)/h -$D$6,0)))</f>
        <v/>
      </c>
      <c r="J128" t="str">
        <f>IF($A128&gt;J$79,"",IF(T&lt;=J$11,"",100*h*MAX((EXP(IRTree!J62*h)-1)/h -$D$6,0)))</f>
        <v/>
      </c>
      <c r="K128" t="str">
        <f>IF($A128&gt;K$79,"",IF(T&lt;=K$11,"",100*h*MAX((EXP(IRTree!K62*h)-1)/h -$D$6,0)))</f>
        <v/>
      </c>
      <c r="L128" t="str">
        <f>IF($A128&gt;L$79,"",IF(T&lt;=L$11,"",100*h*MAX((EXP(IRTree!L62*h)-1)/h -$D$6,0)))</f>
        <v/>
      </c>
      <c r="M128" t="str">
        <f>IF($A128&gt;M$79,"",IF(T&lt;=M$11,"",100*h*MAX((EXP(IRTree!M62*h)-1)/h -$D$6,0)))</f>
        <v/>
      </c>
      <c r="N128" t="str">
        <f>IF($A128&gt;N$79,"",IF(T&lt;=N$11,"",100*h*MAX((EXP(IRTree!N62*h)-1)/h -$D$6,0)))</f>
        <v/>
      </c>
      <c r="O128" t="str">
        <f>IF($A128&gt;O$79,"",IF(T&lt;=O$11,"",100*h*MAX((EXP(IRTree!O62*h)-1)/h -$D$6,0)))</f>
        <v/>
      </c>
      <c r="P128" t="str">
        <f>IF($A128&gt;P$79,"",IF(T&lt;=P$11,"",100*h*MAX((EXP(IRTree!P62*h)-1)/h -$D$6,0)))</f>
        <v/>
      </c>
      <c r="Q128" t="str">
        <f>IF($A128&gt;Q$79,"",IF(T&lt;=Q$11,"",100*h*MAX((EXP(IRTree!Q62*h)-1)/h -$D$6,0)))</f>
        <v/>
      </c>
      <c r="R128" t="str">
        <f>IF($A128&gt;R$79,"",IF(T&lt;=R$11,"",100*h*MAX((EXP(IRTree!R62*h)-1)/h -$D$6,0)))</f>
        <v/>
      </c>
      <c r="S128" t="str">
        <f>IF($A128&gt;S$79,"",IF(T&lt;=S$11,"",100*h*MAX((EXP(IRTree!S62*h)-1)/h -$D$6,0)))</f>
        <v/>
      </c>
      <c r="T128" t="str">
        <f>IF($A128&gt;T$79,"",IF(T&lt;=T$11,"",100*h*MAX((EXP(IRTree!T62*h)-1)/h -$D$6,0)))</f>
        <v/>
      </c>
      <c r="U128" t="str">
        <f>IF($A128&gt;U$79,"",IF(T&lt;=U$11,"",100*h*MAX((EXP(IRTree!U62*h)-1)/h -$D$6,0)))</f>
        <v/>
      </c>
      <c r="V128" t="str">
        <f>IF($A128&gt;V$79,"",IF(T&lt;=V$11,"",100*h*MAX((EXP(IRTree!V62*h)-1)/h -$D$6,0)))</f>
        <v/>
      </c>
      <c r="W128" t="str">
        <f>IF($A128&gt;W$79,"",IF(T&lt;=W$11,"",100*h*MAX((EXP(IRTree!W62*h)-1)/h -$D$6,0)))</f>
        <v/>
      </c>
      <c r="X128" t="str">
        <f>IF($A128&gt;X$79,"",IF(T&lt;=X$11,"",100*h*MAX((EXP(IRTree!X62*h)-1)/h -$D$6,0)))</f>
        <v/>
      </c>
      <c r="Y128" t="str">
        <f>IF($A128&gt;Y$79,"",IF(T&lt;=Y$11,"",100*h*MAX((EXP(IRTree!Y62*h)-1)/h -$D$6,0)))</f>
        <v/>
      </c>
      <c r="Z128" t="str">
        <f>IF($A128&gt;Z$79,"",IF(T&lt;=Z$11,"",100*h*MAX((EXP(IRTree!Z62*h)-1)/h -$D$6,0)))</f>
        <v/>
      </c>
      <c r="AA128" t="str">
        <f>IF($A128&gt;AA$79,"",IF(T&lt;=AA$11,"",100*h*MAX((EXP(IRTree!AA62*h)-1)/h -$D$6,0)))</f>
        <v/>
      </c>
      <c r="AB128" t="str">
        <f>IF($A128&gt;AB$79,"",IF(T&lt;=AB$11,"",100*h*MAX((EXP(IRTree!AB62*h)-1)/h -$D$6,0)))</f>
        <v/>
      </c>
      <c r="AC128" t="str">
        <f>IF($A128&gt;AC$79,"",IF(T&lt;=AC$11,"",100*h*MAX((EXP(IRTree!AC62*h)-1)/h -$D$6,0)))</f>
        <v/>
      </c>
      <c r="AD128" t="str">
        <f>IF($A128&gt;AD$79,"",IF(T&lt;=AD$11,"",100*h*MAX((EXP(IRTree!AD62*h)-1)/h -$D$6,0)))</f>
        <v/>
      </c>
      <c r="AE128" t="str">
        <f>IF($A128&gt;AE$79,"",IF(T&lt;=AE$11,"",100*h*MAX((EXP(IRTree!AE62*h)-1)/h -$D$6,0)))</f>
        <v/>
      </c>
      <c r="AF128" t="str">
        <f>IF($A128&gt;AF$79,"",IF(T&lt;=AF$11,"",100*h*MAX((EXP(IRTree!AF62*h)-1)/h -$D$6,0)))</f>
        <v/>
      </c>
      <c r="AG128" t="str">
        <f>IF($A128&gt;AG$79,"",IF(T&lt;=AG$11,"",100*h*MAX((EXP(IRTree!AG62*h)-1)/h -$D$6,0)))</f>
        <v/>
      </c>
      <c r="AH128" t="str">
        <f>IF($A128&gt;AH$79,"",IF(T&lt;=AH$11,"",100*h*MAX((EXP(IRTree!AH62*h)-1)/h -$D$6,0)))</f>
        <v/>
      </c>
      <c r="AI128" t="str">
        <f>IF($A128&gt;AI$79,"",IF(T&lt;=AI$11,"",100*h*MAX((EXP(IRTree!AI62*h)-1)/h -$D$6,0)))</f>
        <v/>
      </c>
      <c r="AJ128" t="str">
        <f>IF($A128&gt;AJ$79,"",IF(T&lt;=AJ$11,"",100*h*MAX((EXP(IRTree!AJ62*h)-1)/h -$D$6,0)))</f>
        <v/>
      </c>
      <c r="AK128" t="str">
        <f>IF($A128&gt;AK$79,"",IF(T&lt;=AK$11,"",100*h*MAX((EXP(IRTree!AK62*h)-1)/h -$D$6,0)))</f>
        <v/>
      </c>
      <c r="AL128" t="str">
        <f>IF($A128&gt;AL$79,"",IF(T&lt;=AL$11,"",100*h*MAX((EXP(IRTree!AL62*h)-1)/h -$D$6,0)))</f>
        <v/>
      </c>
      <c r="AM128" t="str">
        <f>IF($A128&gt;AM$79,"",IF(T&lt;=AM$11,"",100*h*MAX((EXP(IRTree!AM62*h)-1)/h -$D$6,0)))</f>
        <v/>
      </c>
      <c r="AN128" t="str">
        <f>IF($A128&gt;AN$79,"",IF(T&lt;=AN$11,"",100*h*MAX((EXP(IRTree!AN62*h)-1)/h -$D$6,0)))</f>
        <v/>
      </c>
      <c r="AO128" t="str">
        <f>IF($A128&gt;AO$79,"",IF(T&lt;=AO$11,"",100*h*MAX((EXP(IRTree!AO62*h)-1)/h -$D$6,0)))</f>
        <v/>
      </c>
      <c r="AP128" t="str">
        <f>IF($A128&gt;AP$79,"",IF(T&lt;=AP$11,"",100*h*MAX((EXP(IRTree!AP62*h)-1)/h -$D$6,0)))</f>
        <v/>
      </c>
      <c r="AQ128" t="str">
        <f>IF($A128&gt;AQ$79,"",IF(T&lt;=AQ$11,"",100*h*MAX((EXP(IRTree!AQ62*h)-1)/h -$D$6,0)))</f>
        <v/>
      </c>
      <c r="AR128" t="str">
        <f>IF($A128&gt;AR$79,"",IF(T&lt;=AR$11,"",100*h*MAX((EXP(IRTree!AR62*h)-1)/h -$D$6,0)))</f>
        <v/>
      </c>
      <c r="AS128" t="str">
        <f>IF($A128&gt;AS$79,"",IF(T&lt;=AS$11,"",100*h*MAX((EXP(IRTree!AS62*h)-1)/h -$D$6,0)))</f>
        <v/>
      </c>
      <c r="AT128" t="str">
        <f>IF($A128&gt;AT$79,"",IF(T&lt;=AT$11,"",100*h*MAX((EXP(IRTree!AT62*h)-1)/h -$D$6,0)))</f>
        <v/>
      </c>
      <c r="AU128" t="str">
        <f>IF($A128&gt;AU$79,"",IF(T&lt;=AU$11,"",100*h*MAX((EXP(IRTree!AU62*h)-1)/h -$D$6,0)))</f>
        <v/>
      </c>
      <c r="AV128" t="str">
        <f>IF($A128&gt;AV$79,"",IF(T&lt;=AV$11,"",100*h*MAX((EXP(IRTree!AV62*h)-1)/h -$D$6,0)))</f>
        <v/>
      </c>
      <c r="AW128" t="str">
        <f>IF($A128&gt;AW$79,"",IF(T&lt;=AW$11,"",100*h*MAX((EXP(IRTree!AW62*h)-1)/h -$D$6,0)))</f>
        <v/>
      </c>
      <c r="AX128" t="str">
        <f>IF($A128&gt;AX$79,"",IF(T&lt;=AX$11,"",100*h*MAX((EXP(IRTree!AX62*h)-1)/h -$D$6,0)))</f>
        <v/>
      </c>
      <c r="AY128" t="str">
        <f>IF($A128&gt;AY$79,"",IF(T&lt;=AY$11,"",100*h*MAX((EXP(IRTree!AY62*h)-1)/h -$D$6,0)))</f>
        <v/>
      </c>
      <c r="AZ128" t="str">
        <f>IF($A128&gt;AZ$79,"",IF(T&lt;=AZ$11,"",100*h*MAX((EXP(IRTree!AZ62*h)-1)/h -$D$6,0)))</f>
        <v/>
      </c>
      <c r="BA128" t="str">
        <f>IF($A128&gt;BA$79,"",IF(T&lt;=BA$11,"",100*h*MAX((EXP(IRTree!BA62*h)-1)/h -$D$6,0)))</f>
        <v/>
      </c>
      <c r="BB128" t="str">
        <f>IF($A128&gt;BB$79,"",IF(T&lt;=BB$11,"",100*h*MAX((EXP(IRTree!BB62*h)-1)/h -$D$6,0)))</f>
        <v/>
      </c>
      <c r="BC128" t="str">
        <f>IF($A128&gt;BC$79,"",IF(T&lt;=BC$11,"",100*h*MAX((EXP(IRTree!BC62*h)-1)/h -$D$6,0)))</f>
        <v/>
      </c>
      <c r="BD128" t="str">
        <f>IF($A128&gt;BD$79,"",IF(T&lt;=BD$11,"",100*h*MAX((EXP(IRTree!BD62*h)-1)/h -$D$6,0)))</f>
        <v/>
      </c>
      <c r="BE128" t="str">
        <f>IF($A128&gt;BE$79,"",IF(T&lt;=BE$11,"",100*h*MAX((EXP(IRTree!BE62*h)-1)/h -$D$6,0)))</f>
        <v/>
      </c>
      <c r="BF128" t="str">
        <f>IF($A128&gt;BF$79,"",IF(T&lt;=BF$11,"",100*h*MAX((EXP(IRTree!BF62*h)-1)/h -$D$6,0)))</f>
        <v/>
      </c>
      <c r="BG128" t="str">
        <f>IF($A128&gt;BG$79,"",IF(T&lt;=BG$11,"",100*h*MAX((EXP(IRTree!BG62*h)-1)/h -$D$6,0)))</f>
        <v/>
      </c>
      <c r="BH128" t="str">
        <f>IF($A128&gt;BH$79,"",IF(T&lt;=BH$11,"",100*h*MAX((EXP(IRTree!BH62*h)-1)/h -$D$6,0)))</f>
        <v/>
      </c>
      <c r="BI128" t="str">
        <f>IF($A128&gt;BI$79,"",IF(T&lt;=BI$11,"",100*h*MAX((EXP(IRTree!BI62*h)-1)/h -$D$6,0)))</f>
        <v/>
      </c>
      <c r="BJ128" t="str">
        <f>IF($A128&gt;BJ$79,"",IF(T&lt;=BJ$11,"",100*h*MAX((EXP(IRTree!BJ62*h)-1)/h -$D$6,0)))</f>
        <v/>
      </c>
    </row>
    <row r="129" spans="1:62">
      <c r="A129" s="22">
        <f t="shared" si="5"/>
        <v>49</v>
      </c>
      <c r="B129" t="str">
        <f>IF($A129&gt;B$79,"",IF(T&lt;=B$11,"",100*h*MAX((EXP(IRTree!B63*h)-1)/h -$D$6,0)))</f>
        <v/>
      </c>
      <c r="C129" t="str">
        <f>IF($A129&gt;C$79,"",IF(T&lt;=C$11,"",100*h*MAX((EXP(IRTree!C63*h)-1)/h -$D$6,0)))</f>
        <v/>
      </c>
      <c r="D129" t="str">
        <f>IF($A129&gt;D$79,"",IF(T&lt;=D$11,"",100*h*MAX((EXP(IRTree!D63*h)-1)/h -$D$6,0)))</f>
        <v/>
      </c>
      <c r="E129" t="str">
        <f>IF($A129&gt;E$79,"",IF(T&lt;=E$11,"",100*h*MAX((EXP(IRTree!E63*h)-1)/h -$D$6,0)))</f>
        <v/>
      </c>
      <c r="F129" t="str">
        <f>IF($A129&gt;F$79,"",IF(T&lt;=F$11,"",100*h*MAX((EXP(IRTree!F63*h)-1)/h -$D$6,0)))</f>
        <v/>
      </c>
      <c r="G129" t="str">
        <f>IF($A129&gt;G$79,"",IF(T&lt;=G$11,"",100*h*MAX((EXP(IRTree!G63*h)-1)/h -$D$6,0)))</f>
        <v/>
      </c>
      <c r="H129" t="str">
        <f>IF($A129&gt;H$79,"",IF(T&lt;=H$11,"",100*h*MAX((EXP(IRTree!H63*h)-1)/h -$D$6,0)))</f>
        <v/>
      </c>
      <c r="I129" t="str">
        <f>IF($A129&gt;I$79,"",IF(T&lt;=I$11,"",100*h*MAX((EXP(IRTree!I63*h)-1)/h -$D$6,0)))</f>
        <v/>
      </c>
      <c r="J129" t="str">
        <f>IF($A129&gt;J$79,"",IF(T&lt;=J$11,"",100*h*MAX((EXP(IRTree!J63*h)-1)/h -$D$6,0)))</f>
        <v/>
      </c>
      <c r="K129" t="str">
        <f>IF($A129&gt;K$79,"",IF(T&lt;=K$11,"",100*h*MAX((EXP(IRTree!K63*h)-1)/h -$D$6,0)))</f>
        <v/>
      </c>
      <c r="L129" t="str">
        <f>IF($A129&gt;L$79,"",IF(T&lt;=L$11,"",100*h*MAX((EXP(IRTree!L63*h)-1)/h -$D$6,0)))</f>
        <v/>
      </c>
      <c r="M129" t="str">
        <f>IF($A129&gt;M$79,"",IF(T&lt;=M$11,"",100*h*MAX((EXP(IRTree!M63*h)-1)/h -$D$6,0)))</f>
        <v/>
      </c>
      <c r="N129" t="str">
        <f>IF($A129&gt;N$79,"",IF(T&lt;=N$11,"",100*h*MAX((EXP(IRTree!N63*h)-1)/h -$D$6,0)))</f>
        <v/>
      </c>
      <c r="O129" t="str">
        <f>IF($A129&gt;O$79,"",IF(T&lt;=O$11,"",100*h*MAX((EXP(IRTree!O63*h)-1)/h -$D$6,0)))</f>
        <v/>
      </c>
      <c r="P129" t="str">
        <f>IF($A129&gt;P$79,"",IF(T&lt;=P$11,"",100*h*MAX((EXP(IRTree!P63*h)-1)/h -$D$6,0)))</f>
        <v/>
      </c>
      <c r="Q129" t="str">
        <f>IF($A129&gt;Q$79,"",IF(T&lt;=Q$11,"",100*h*MAX((EXP(IRTree!Q63*h)-1)/h -$D$6,0)))</f>
        <v/>
      </c>
      <c r="R129" t="str">
        <f>IF($A129&gt;R$79,"",IF(T&lt;=R$11,"",100*h*MAX((EXP(IRTree!R63*h)-1)/h -$D$6,0)))</f>
        <v/>
      </c>
      <c r="S129" t="str">
        <f>IF($A129&gt;S$79,"",IF(T&lt;=S$11,"",100*h*MAX((EXP(IRTree!S63*h)-1)/h -$D$6,0)))</f>
        <v/>
      </c>
      <c r="T129" t="str">
        <f>IF($A129&gt;T$79,"",IF(T&lt;=T$11,"",100*h*MAX((EXP(IRTree!T63*h)-1)/h -$D$6,0)))</f>
        <v/>
      </c>
      <c r="U129" t="str">
        <f>IF($A129&gt;U$79,"",IF(T&lt;=U$11,"",100*h*MAX((EXP(IRTree!U63*h)-1)/h -$D$6,0)))</f>
        <v/>
      </c>
      <c r="V129" t="str">
        <f>IF($A129&gt;V$79,"",IF(T&lt;=V$11,"",100*h*MAX((EXP(IRTree!V63*h)-1)/h -$D$6,0)))</f>
        <v/>
      </c>
      <c r="W129" t="str">
        <f>IF($A129&gt;W$79,"",IF(T&lt;=W$11,"",100*h*MAX((EXP(IRTree!W63*h)-1)/h -$D$6,0)))</f>
        <v/>
      </c>
      <c r="X129" t="str">
        <f>IF($A129&gt;X$79,"",IF(T&lt;=X$11,"",100*h*MAX((EXP(IRTree!X63*h)-1)/h -$D$6,0)))</f>
        <v/>
      </c>
      <c r="Y129" t="str">
        <f>IF($A129&gt;Y$79,"",IF(T&lt;=Y$11,"",100*h*MAX((EXP(IRTree!Y63*h)-1)/h -$D$6,0)))</f>
        <v/>
      </c>
      <c r="Z129" t="str">
        <f>IF($A129&gt;Z$79,"",IF(T&lt;=Z$11,"",100*h*MAX((EXP(IRTree!Z63*h)-1)/h -$D$6,0)))</f>
        <v/>
      </c>
      <c r="AA129" t="str">
        <f>IF($A129&gt;AA$79,"",IF(T&lt;=AA$11,"",100*h*MAX((EXP(IRTree!AA63*h)-1)/h -$D$6,0)))</f>
        <v/>
      </c>
      <c r="AB129" t="str">
        <f>IF($A129&gt;AB$79,"",IF(T&lt;=AB$11,"",100*h*MAX((EXP(IRTree!AB63*h)-1)/h -$D$6,0)))</f>
        <v/>
      </c>
      <c r="AC129" t="str">
        <f>IF($A129&gt;AC$79,"",IF(T&lt;=AC$11,"",100*h*MAX((EXP(IRTree!AC63*h)-1)/h -$D$6,0)))</f>
        <v/>
      </c>
      <c r="AD129" t="str">
        <f>IF($A129&gt;AD$79,"",IF(T&lt;=AD$11,"",100*h*MAX((EXP(IRTree!AD63*h)-1)/h -$D$6,0)))</f>
        <v/>
      </c>
      <c r="AE129" t="str">
        <f>IF($A129&gt;AE$79,"",IF(T&lt;=AE$11,"",100*h*MAX((EXP(IRTree!AE63*h)-1)/h -$D$6,0)))</f>
        <v/>
      </c>
      <c r="AF129" t="str">
        <f>IF($A129&gt;AF$79,"",IF(T&lt;=AF$11,"",100*h*MAX((EXP(IRTree!AF63*h)-1)/h -$D$6,0)))</f>
        <v/>
      </c>
      <c r="AG129" t="str">
        <f>IF($A129&gt;AG$79,"",IF(T&lt;=AG$11,"",100*h*MAX((EXP(IRTree!AG63*h)-1)/h -$D$6,0)))</f>
        <v/>
      </c>
      <c r="AH129" t="str">
        <f>IF($A129&gt;AH$79,"",IF(T&lt;=AH$11,"",100*h*MAX((EXP(IRTree!AH63*h)-1)/h -$D$6,0)))</f>
        <v/>
      </c>
      <c r="AI129" t="str">
        <f>IF($A129&gt;AI$79,"",IF(T&lt;=AI$11,"",100*h*MAX((EXP(IRTree!AI63*h)-1)/h -$D$6,0)))</f>
        <v/>
      </c>
      <c r="AJ129" t="str">
        <f>IF($A129&gt;AJ$79,"",IF(T&lt;=AJ$11,"",100*h*MAX((EXP(IRTree!AJ63*h)-1)/h -$D$6,0)))</f>
        <v/>
      </c>
      <c r="AK129" t="str">
        <f>IF($A129&gt;AK$79,"",IF(T&lt;=AK$11,"",100*h*MAX((EXP(IRTree!AK63*h)-1)/h -$D$6,0)))</f>
        <v/>
      </c>
      <c r="AL129" t="str">
        <f>IF($A129&gt;AL$79,"",IF(T&lt;=AL$11,"",100*h*MAX((EXP(IRTree!AL63*h)-1)/h -$D$6,0)))</f>
        <v/>
      </c>
      <c r="AM129" t="str">
        <f>IF($A129&gt;AM$79,"",IF(T&lt;=AM$11,"",100*h*MAX((EXP(IRTree!AM63*h)-1)/h -$D$6,0)))</f>
        <v/>
      </c>
      <c r="AN129" t="str">
        <f>IF($A129&gt;AN$79,"",IF(T&lt;=AN$11,"",100*h*MAX((EXP(IRTree!AN63*h)-1)/h -$D$6,0)))</f>
        <v/>
      </c>
      <c r="AO129" t="str">
        <f>IF($A129&gt;AO$79,"",IF(T&lt;=AO$11,"",100*h*MAX((EXP(IRTree!AO63*h)-1)/h -$D$6,0)))</f>
        <v/>
      </c>
      <c r="AP129" t="str">
        <f>IF($A129&gt;AP$79,"",IF(T&lt;=AP$11,"",100*h*MAX((EXP(IRTree!AP63*h)-1)/h -$D$6,0)))</f>
        <v/>
      </c>
      <c r="AQ129" t="str">
        <f>IF($A129&gt;AQ$79,"",IF(T&lt;=AQ$11,"",100*h*MAX((EXP(IRTree!AQ63*h)-1)/h -$D$6,0)))</f>
        <v/>
      </c>
      <c r="AR129" t="str">
        <f>IF($A129&gt;AR$79,"",IF(T&lt;=AR$11,"",100*h*MAX((EXP(IRTree!AR63*h)-1)/h -$D$6,0)))</f>
        <v/>
      </c>
      <c r="AS129" t="str">
        <f>IF($A129&gt;AS$79,"",IF(T&lt;=AS$11,"",100*h*MAX((EXP(IRTree!AS63*h)-1)/h -$D$6,0)))</f>
        <v/>
      </c>
      <c r="AT129" t="str">
        <f>IF($A129&gt;AT$79,"",IF(T&lt;=AT$11,"",100*h*MAX((EXP(IRTree!AT63*h)-1)/h -$D$6,0)))</f>
        <v/>
      </c>
      <c r="AU129" t="str">
        <f>IF($A129&gt;AU$79,"",IF(T&lt;=AU$11,"",100*h*MAX((EXP(IRTree!AU63*h)-1)/h -$D$6,0)))</f>
        <v/>
      </c>
      <c r="AV129" t="str">
        <f>IF($A129&gt;AV$79,"",IF(T&lt;=AV$11,"",100*h*MAX((EXP(IRTree!AV63*h)-1)/h -$D$6,0)))</f>
        <v/>
      </c>
      <c r="AW129" t="str">
        <f>IF($A129&gt;AW$79,"",IF(T&lt;=AW$11,"",100*h*MAX((EXP(IRTree!AW63*h)-1)/h -$D$6,0)))</f>
        <v/>
      </c>
      <c r="AX129" t="str">
        <f>IF($A129&gt;AX$79,"",IF(T&lt;=AX$11,"",100*h*MAX((EXP(IRTree!AX63*h)-1)/h -$D$6,0)))</f>
        <v/>
      </c>
      <c r="AY129" t="str">
        <f>IF($A129&gt;AY$79,"",IF(T&lt;=AY$11,"",100*h*MAX((EXP(IRTree!AY63*h)-1)/h -$D$6,0)))</f>
        <v/>
      </c>
      <c r="AZ129" t="str">
        <f>IF($A129&gt;AZ$79,"",IF(T&lt;=AZ$11,"",100*h*MAX((EXP(IRTree!AZ63*h)-1)/h -$D$6,0)))</f>
        <v/>
      </c>
      <c r="BA129" t="str">
        <f>IF($A129&gt;BA$79,"",IF(T&lt;=BA$11,"",100*h*MAX((EXP(IRTree!BA63*h)-1)/h -$D$6,0)))</f>
        <v/>
      </c>
      <c r="BB129" t="str">
        <f>IF($A129&gt;BB$79,"",IF(T&lt;=BB$11,"",100*h*MAX((EXP(IRTree!BB63*h)-1)/h -$D$6,0)))</f>
        <v/>
      </c>
      <c r="BC129" t="str">
        <f>IF($A129&gt;BC$79,"",IF(T&lt;=BC$11,"",100*h*MAX((EXP(IRTree!BC63*h)-1)/h -$D$6,0)))</f>
        <v/>
      </c>
      <c r="BD129" t="str">
        <f>IF($A129&gt;BD$79,"",IF(T&lt;=BD$11,"",100*h*MAX((EXP(IRTree!BD63*h)-1)/h -$D$6,0)))</f>
        <v/>
      </c>
      <c r="BE129" t="str">
        <f>IF($A129&gt;BE$79,"",IF(T&lt;=BE$11,"",100*h*MAX((EXP(IRTree!BE63*h)-1)/h -$D$6,0)))</f>
        <v/>
      </c>
      <c r="BF129" t="str">
        <f>IF($A129&gt;BF$79,"",IF(T&lt;=BF$11,"",100*h*MAX((EXP(IRTree!BF63*h)-1)/h -$D$6,0)))</f>
        <v/>
      </c>
      <c r="BG129" t="str">
        <f>IF($A129&gt;BG$79,"",IF(T&lt;=BG$11,"",100*h*MAX((EXP(IRTree!BG63*h)-1)/h -$D$6,0)))</f>
        <v/>
      </c>
      <c r="BH129" t="str">
        <f>IF($A129&gt;BH$79,"",IF(T&lt;=BH$11,"",100*h*MAX((EXP(IRTree!BH63*h)-1)/h -$D$6,0)))</f>
        <v/>
      </c>
      <c r="BI129" t="str">
        <f>IF($A129&gt;BI$79,"",IF(T&lt;=BI$11,"",100*h*MAX((EXP(IRTree!BI63*h)-1)/h -$D$6,0)))</f>
        <v/>
      </c>
      <c r="BJ129" t="str">
        <f>IF($A129&gt;BJ$79,"",IF(T&lt;=BJ$11,"",100*h*MAX((EXP(IRTree!BJ63*h)-1)/h -$D$6,0)))</f>
        <v/>
      </c>
    </row>
    <row r="130" spans="1:62">
      <c r="A130" s="22">
        <f t="shared" si="5"/>
        <v>50</v>
      </c>
      <c r="B130" t="str">
        <f>IF($A130&gt;B$79,"",IF(T&lt;=B$11,"",100*h*MAX((EXP(IRTree!B64*h)-1)/h -$D$6,0)))</f>
        <v/>
      </c>
      <c r="C130" t="str">
        <f>IF($A130&gt;C$79,"",IF(T&lt;=C$11,"",100*h*MAX((EXP(IRTree!C64*h)-1)/h -$D$6,0)))</f>
        <v/>
      </c>
      <c r="D130" t="str">
        <f>IF($A130&gt;D$79,"",IF(T&lt;=D$11,"",100*h*MAX((EXP(IRTree!D64*h)-1)/h -$D$6,0)))</f>
        <v/>
      </c>
      <c r="E130" t="str">
        <f>IF($A130&gt;E$79,"",IF(T&lt;=E$11,"",100*h*MAX((EXP(IRTree!E64*h)-1)/h -$D$6,0)))</f>
        <v/>
      </c>
      <c r="F130" t="str">
        <f>IF($A130&gt;F$79,"",IF(T&lt;=F$11,"",100*h*MAX((EXP(IRTree!F64*h)-1)/h -$D$6,0)))</f>
        <v/>
      </c>
      <c r="G130" t="str">
        <f>IF($A130&gt;G$79,"",IF(T&lt;=G$11,"",100*h*MAX((EXP(IRTree!G64*h)-1)/h -$D$6,0)))</f>
        <v/>
      </c>
      <c r="H130" t="str">
        <f>IF($A130&gt;H$79,"",IF(T&lt;=H$11,"",100*h*MAX((EXP(IRTree!H64*h)-1)/h -$D$6,0)))</f>
        <v/>
      </c>
      <c r="I130" t="str">
        <f>IF($A130&gt;I$79,"",IF(T&lt;=I$11,"",100*h*MAX((EXP(IRTree!I64*h)-1)/h -$D$6,0)))</f>
        <v/>
      </c>
      <c r="J130" t="str">
        <f>IF($A130&gt;J$79,"",IF(T&lt;=J$11,"",100*h*MAX((EXP(IRTree!J64*h)-1)/h -$D$6,0)))</f>
        <v/>
      </c>
      <c r="K130" t="str">
        <f>IF($A130&gt;K$79,"",IF(T&lt;=K$11,"",100*h*MAX((EXP(IRTree!K64*h)-1)/h -$D$6,0)))</f>
        <v/>
      </c>
      <c r="L130" t="str">
        <f>IF($A130&gt;L$79,"",IF(T&lt;=L$11,"",100*h*MAX((EXP(IRTree!L64*h)-1)/h -$D$6,0)))</f>
        <v/>
      </c>
      <c r="M130" t="str">
        <f>IF($A130&gt;M$79,"",IF(T&lt;=M$11,"",100*h*MAX((EXP(IRTree!M64*h)-1)/h -$D$6,0)))</f>
        <v/>
      </c>
      <c r="N130" t="str">
        <f>IF($A130&gt;N$79,"",IF(T&lt;=N$11,"",100*h*MAX((EXP(IRTree!N64*h)-1)/h -$D$6,0)))</f>
        <v/>
      </c>
      <c r="O130" t="str">
        <f>IF($A130&gt;O$79,"",IF(T&lt;=O$11,"",100*h*MAX((EXP(IRTree!O64*h)-1)/h -$D$6,0)))</f>
        <v/>
      </c>
      <c r="P130" t="str">
        <f>IF($A130&gt;P$79,"",IF(T&lt;=P$11,"",100*h*MAX((EXP(IRTree!P64*h)-1)/h -$D$6,0)))</f>
        <v/>
      </c>
      <c r="Q130" t="str">
        <f>IF($A130&gt;Q$79,"",IF(T&lt;=Q$11,"",100*h*MAX((EXP(IRTree!Q64*h)-1)/h -$D$6,0)))</f>
        <v/>
      </c>
      <c r="R130" t="str">
        <f>IF($A130&gt;R$79,"",IF(T&lt;=R$11,"",100*h*MAX((EXP(IRTree!R64*h)-1)/h -$D$6,0)))</f>
        <v/>
      </c>
      <c r="S130" t="str">
        <f>IF($A130&gt;S$79,"",IF(T&lt;=S$11,"",100*h*MAX((EXP(IRTree!S64*h)-1)/h -$D$6,0)))</f>
        <v/>
      </c>
      <c r="T130" t="str">
        <f>IF($A130&gt;T$79,"",IF(T&lt;=T$11,"",100*h*MAX((EXP(IRTree!T64*h)-1)/h -$D$6,0)))</f>
        <v/>
      </c>
      <c r="U130" t="str">
        <f>IF($A130&gt;U$79,"",IF(T&lt;=U$11,"",100*h*MAX((EXP(IRTree!U64*h)-1)/h -$D$6,0)))</f>
        <v/>
      </c>
      <c r="V130" t="str">
        <f>IF($A130&gt;V$79,"",IF(T&lt;=V$11,"",100*h*MAX((EXP(IRTree!V64*h)-1)/h -$D$6,0)))</f>
        <v/>
      </c>
      <c r="W130" t="str">
        <f>IF($A130&gt;W$79,"",IF(T&lt;=W$11,"",100*h*MAX((EXP(IRTree!W64*h)-1)/h -$D$6,0)))</f>
        <v/>
      </c>
      <c r="X130" t="str">
        <f>IF($A130&gt;X$79,"",IF(T&lt;=X$11,"",100*h*MAX((EXP(IRTree!X64*h)-1)/h -$D$6,0)))</f>
        <v/>
      </c>
      <c r="Y130" t="str">
        <f>IF($A130&gt;Y$79,"",IF(T&lt;=Y$11,"",100*h*MAX((EXP(IRTree!Y64*h)-1)/h -$D$6,0)))</f>
        <v/>
      </c>
      <c r="Z130" t="str">
        <f>IF($A130&gt;Z$79,"",IF(T&lt;=Z$11,"",100*h*MAX((EXP(IRTree!Z64*h)-1)/h -$D$6,0)))</f>
        <v/>
      </c>
      <c r="AA130" t="str">
        <f>IF($A130&gt;AA$79,"",IF(T&lt;=AA$11,"",100*h*MAX((EXP(IRTree!AA64*h)-1)/h -$D$6,0)))</f>
        <v/>
      </c>
      <c r="AB130" t="str">
        <f>IF($A130&gt;AB$79,"",IF(T&lt;=AB$11,"",100*h*MAX((EXP(IRTree!AB64*h)-1)/h -$D$6,0)))</f>
        <v/>
      </c>
      <c r="AC130" t="str">
        <f>IF($A130&gt;AC$79,"",IF(T&lt;=AC$11,"",100*h*MAX((EXP(IRTree!AC64*h)-1)/h -$D$6,0)))</f>
        <v/>
      </c>
      <c r="AD130" t="str">
        <f>IF($A130&gt;AD$79,"",IF(T&lt;=AD$11,"",100*h*MAX((EXP(IRTree!AD64*h)-1)/h -$D$6,0)))</f>
        <v/>
      </c>
      <c r="AE130" t="str">
        <f>IF($A130&gt;AE$79,"",IF(T&lt;=AE$11,"",100*h*MAX((EXP(IRTree!AE64*h)-1)/h -$D$6,0)))</f>
        <v/>
      </c>
      <c r="AF130" t="str">
        <f>IF($A130&gt;AF$79,"",IF(T&lt;=AF$11,"",100*h*MAX((EXP(IRTree!AF64*h)-1)/h -$D$6,0)))</f>
        <v/>
      </c>
      <c r="AG130" t="str">
        <f>IF($A130&gt;AG$79,"",IF(T&lt;=AG$11,"",100*h*MAX((EXP(IRTree!AG64*h)-1)/h -$D$6,0)))</f>
        <v/>
      </c>
      <c r="AH130" t="str">
        <f>IF($A130&gt;AH$79,"",IF(T&lt;=AH$11,"",100*h*MAX((EXP(IRTree!AH64*h)-1)/h -$D$6,0)))</f>
        <v/>
      </c>
      <c r="AI130" t="str">
        <f>IF($A130&gt;AI$79,"",IF(T&lt;=AI$11,"",100*h*MAX((EXP(IRTree!AI64*h)-1)/h -$D$6,0)))</f>
        <v/>
      </c>
      <c r="AJ130" t="str">
        <f>IF($A130&gt;AJ$79,"",IF(T&lt;=AJ$11,"",100*h*MAX((EXP(IRTree!AJ64*h)-1)/h -$D$6,0)))</f>
        <v/>
      </c>
      <c r="AK130" t="str">
        <f>IF($A130&gt;AK$79,"",IF(T&lt;=AK$11,"",100*h*MAX((EXP(IRTree!AK64*h)-1)/h -$D$6,0)))</f>
        <v/>
      </c>
      <c r="AL130" t="str">
        <f>IF($A130&gt;AL$79,"",IF(T&lt;=AL$11,"",100*h*MAX((EXP(IRTree!AL64*h)-1)/h -$D$6,0)))</f>
        <v/>
      </c>
      <c r="AM130" t="str">
        <f>IF($A130&gt;AM$79,"",IF(T&lt;=AM$11,"",100*h*MAX((EXP(IRTree!AM64*h)-1)/h -$D$6,0)))</f>
        <v/>
      </c>
      <c r="AN130" t="str">
        <f>IF($A130&gt;AN$79,"",IF(T&lt;=AN$11,"",100*h*MAX((EXP(IRTree!AN64*h)-1)/h -$D$6,0)))</f>
        <v/>
      </c>
      <c r="AO130" t="str">
        <f>IF($A130&gt;AO$79,"",IF(T&lt;=AO$11,"",100*h*MAX((EXP(IRTree!AO64*h)-1)/h -$D$6,0)))</f>
        <v/>
      </c>
      <c r="AP130" t="str">
        <f>IF($A130&gt;AP$79,"",IF(T&lt;=AP$11,"",100*h*MAX((EXP(IRTree!AP64*h)-1)/h -$D$6,0)))</f>
        <v/>
      </c>
      <c r="AQ130" t="str">
        <f>IF($A130&gt;AQ$79,"",IF(T&lt;=AQ$11,"",100*h*MAX((EXP(IRTree!AQ64*h)-1)/h -$D$6,0)))</f>
        <v/>
      </c>
      <c r="AR130" t="str">
        <f>IF($A130&gt;AR$79,"",IF(T&lt;=AR$11,"",100*h*MAX((EXP(IRTree!AR64*h)-1)/h -$D$6,0)))</f>
        <v/>
      </c>
      <c r="AS130" t="str">
        <f>IF($A130&gt;AS$79,"",IF(T&lt;=AS$11,"",100*h*MAX((EXP(IRTree!AS64*h)-1)/h -$D$6,0)))</f>
        <v/>
      </c>
      <c r="AT130" t="str">
        <f>IF($A130&gt;AT$79,"",IF(T&lt;=AT$11,"",100*h*MAX((EXP(IRTree!AT64*h)-1)/h -$D$6,0)))</f>
        <v/>
      </c>
      <c r="AU130" t="str">
        <f>IF($A130&gt;AU$79,"",IF(T&lt;=AU$11,"",100*h*MAX((EXP(IRTree!AU64*h)-1)/h -$D$6,0)))</f>
        <v/>
      </c>
      <c r="AV130" t="str">
        <f>IF($A130&gt;AV$79,"",IF(T&lt;=AV$11,"",100*h*MAX((EXP(IRTree!AV64*h)-1)/h -$D$6,0)))</f>
        <v/>
      </c>
      <c r="AW130" t="str">
        <f>IF($A130&gt;AW$79,"",IF(T&lt;=AW$11,"",100*h*MAX((EXP(IRTree!AW64*h)-1)/h -$D$6,0)))</f>
        <v/>
      </c>
      <c r="AX130" t="str">
        <f>IF($A130&gt;AX$79,"",IF(T&lt;=AX$11,"",100*h*MAX((EXP(IRTree!AX64*h)-1)/h -$D$6,0)))</f>
        <v/>
      </c>
      <c r="AY130" t="str">
        <f>IF($A130&gt;AY$79,"",IF(T&lt;=AY$11,"",100*h*MAX((EXP(IRTree!AY64*h)-1)/h -$D$6,0)))</f>
        <v/>
      </c>
      <c r="AZ130" t="str">
        <f>IF($A130&gt;AZ$79,"",IF(T&lt;=AZ$11,"",100*h*MAX((EXP(IRTree!AZ64*h)-1)/h -$D$6,0)))</f>
        <v/>
      </c>
      <c r="BA130" t="str">
        <f>IF($A130&gt;BA$79,"",IF(T&lt;=BA$11,"",100*h*MAX((EXP(IRTree!BA64*h)-1)/h -$D$6,0)))</f>
        <v/>
      </c>
      <c r="BB130" t="str">
        <f>IF($A130&gt;BB$79,"",IF(T&lt;=BB$11,"",100*h*MAX((EXP(IRTree!BB64*h)-1)/h -$D$6,0)))</f>
        <v/>
      </c>
      <c r="BC130" t="str">
        <f>IF($A130&gt;BC$79,"",IF(T&lt;=BC$11,"",100*h*MAX((EXP(IRTree!BC64*h)-1)/h -$D$6,0)))</f>
        <v/>
      </c>
      <c r="BD130" t="str">
        <f>IF($A130&gt;BD$79,"",IF(T&lt;=BD$11,"",100*h*MAX((EXP(IRTree!BD64*h)-1)/h -$D$6,0)))</f>
        <v/>
      </c>
      <c r="BE130" t="str">
        <f>IF($A130&gt;BE$79,"",IF(T&lt;=BE$11,"",100*h*MAX((EXP(IRTree!BE64*h)-1)/h -$D$6,0)))</f>
        <v/>
      </c>
      <c r="BF130" t="str">
        <f>IF($A130&gt;BF$79,"",IF(T&lt;=BF$11,"",100*h*MAX((EXP(IRTree!BF64*h)-1)/h -$D$6,0)))</f>
        <v/>
      </c>
      <c r="BG130" t="str">
        <f>IF($A130&gt;BG$79,"",IF(T&lt;=BG$11,"",100*h*MAX((EXP(IRTree!BG64*h)-1)/h -$D$6,0)))</f>
        <v/>
      </c>
      <c r="BH130" t="str">
        <f>IF($A130&gt;BH$79,"",IF(T&lt;=BH$11,"",100*h*MAX((EXP(IRTree!BH64*h)-1)/h -$D$6,0)))</f>
        <v/>
      </c>
      <c r="BI130" t="str">
        <f>IF($A130&gt;BI$79,"",IF(T&lt;=BI$11,"",100*h*MAX((EXP(IRTree!BI64*h)-1)/h -$D$6,0)))</f>
        <v/>
      </c>
      <c r="BJ130" t="str">
        <f>IF($A130&gt;BJ$79,"",IF(T&lt;=BJ$11,"",100*h*MAX((EXP(IRTree!BJ64*h)-1)/h -$D$6,0)))</f>
        <v/>
      </c>
    </row>
    <row r="131" spans="1:62">
      <c r="A131" s="22">
        <f t="shared" si="5"/>
        <v>51</v>
      </c>
      <c r="B131" t="str">
        <f>IF($A131&gt;B$79,"",IF(T&lt;=B$11,"",100*h*MAX((EXP(IRTree!B65*h)-1)/h -$D$6,0)))</f>
        <v/>
      </c>
      <c r="C131" t="str">
        <f>IF($A131&gt;C$79,"",IF(T&lt;=C$11,"",100*h*MAX((EXP(IRTree!C65*h)-1)/h -$D$6,0)))</f>
        <v/>
      </c>
      <c r="D131" t="str">
        <f>IF($A131&gt;D$79,"",IF(T&lt;=D$11,"",100*h*MAX((EXP(IRTree!D65*h)-1)/h -$D$6,0)))</f>
        <v/>
      </c>
      <c r="E131" t="str">
        <f>IF($A131&gt;E$79,"",IF(T&lt;=E$11,"",100*h*MAX((EXP(IRTree!E65*h)-1)/h -$D$6,0)))</f>
        <v/>
      </c>
      <c r="F131" t="str">
        <f>IF($A131&gt;F$79,"",IF(T&lt;=F$11,"",100*h*MAX((EXP(IRTree!F65*h)-1)/h -$D$6,0)))</f>
        <v/>
      </c>
      <c r="G131" t="str">
        <f>IF($A131&gt;G$79,"",IF(T&lt;=G$11,"",100*h*MAX((EXP(IRTree!G65*h)-1)/h -$D$6,0)))</f>
        <v/>
      </c>
      <c r="H131" t="str">
        <f>IF($A131&gt;H$79,"",IF(T&lt;=H$11,"",100*h*MAX((EXP(IRTree!H65*h)-1)/h -$D$6,0)))</f>
        <v/>
      </c>
      <c r="I131" t="str">
        <f>IF($A131&gt;I$79,"",IF(T&lt;=I$11,"",100*h*MAX((EXP(IRTree!I65*h)-1)/h -$D$6,0)))</f>
        <v/>
      </c>
      <c r="J131" t="str">
        <f>IF($A131&gt;J$79,"",IF(T&lt;=J$11,"",100*h*MAX((EXP(IRTree!J65*h)-1)/h -$D$6,0)))</f>
        <v/>
      </c>
      <c r="K131" t="str">
        <f>IF($A131&gt;K$79,"",IF(T&lt;=K$11,"",100*h*MAX((EXP(IRTree!K65*h)-1)/h -$D$6,0)))</f>
        <v/>
      </c>
      <c r="L131" t="str">
        <f>IF($A131&gt;L$79,"",IF(T&lt;=L$11,"",100*h*MAX((EXP(IRTree!L65*h)-1)/h -$D$6,0)))</f>
        <v/>
      </c>
      <c r="M131" t="str">
        <f>IF($A131&gt;M$79,"",IF(T&lt;=M$11,"",100*h*MAX((EXP(IRTree!M65*h)-1)/h -$D$6,0)))</f>
        <v/>
      </c>
      <c r="N131" t="str">
        <f>IF($A131&gt;N$79,"",IF(T&lt;=N$11,"",100*h*MAX((EXP(IRTree!N65*h)-1)/h -$D$6,0)))</f>
        <v/>
      </c>
      <c r="O131" t="str">
        <f>IF($A131&gt;O$79,"",IF(T&lt;=O$11,"",100*h*MAX((EXP(IRTree!O65*h)-1)/h -$D$6,0)))</f>
        <v/>
      </c>
      <c r="P131" t="str">
        <f>IF($A131&gt;P$79,"",IF(T&lt;=P$11,"",100*h*MAX((EXP(IRTree!P65*h)-1)/h -$D$6,0)))</f>
        <v/>
      </c>
      <c r="Q131" t="str">
        <f>IF($A131&gt;Q$79,"",IF(T&lt;=Q$11,"",100*h*MAX((EXP(IRTree!Q65*h)-1)/h -$D$6,0)))</f>
        <v/>
      </c>
      <c r="R131" t="str">
        <f>IF($A131&gt;R$79,"",IF(T&lt;=R$11,"",100*h*MAX((EXP(IRTree!R65*h)-1)/h -$D$6,0)))</f>
        <v/>
      </c>
      <c r="S131" t="str">
        <f>IF($A131&gt;S$79,"",IF(T&lt;=S$11,"",100*h*MAX((EXP(IRTree!S65*h)-1)/h -$D$6,0)))</f>
        <v/>
      </c>
      <c r="T131" t="str">
        <f>IF($A131&gt;T$79,"",IF(T&lt;=T$11,"",100*h*MAX((EXP(IRTree!T65*h)-1)/h -$D$6,0)))</f>
        <v/>
      </c>
      <c r="U131" t="str">
        <f>IF($A131&gt;U$79,"",IF(T&lt;=U$11,"",100*h*MAX((EXP(IRTree!U65*h)-1)/h -$D$6,0)))</f>
        <v/>
      </c>
      <c r="V131" t="str">
        <f>IF($A131&gt;V$79,"",IF(T&lt;=V$11,"",100*h*MAX((EXP(IRTree!V65*h)-1)/h -$D$6,0)))</f>
        <v/>
      </c>
      <c r="W131" t="str">
        <f>IF($A131&gt;W$79,"",IF(T&lt;=W$11,"",100*h*MAX((EXP(IRTree!W65*h)-1)/h -$D$6,0)))</f>
        <v/>
      </c>
      <c r="X131" t="str">
        <f>IF($A131&gt;X$79,"",IF(T&lt;=X$11,"",100*h*MAX((EXP(IRTree!X65*h)-1)/h -$D$6,0)))</f>
        <v/>
      </c>
      <c r="Y131" t="str">
        <f>IF($A131&gt;Y$79,"",IF(T&lt;=Y$11,"",100*h*MAX((EXP(IRTree!Y65*h)-1)/h -$D$6,0)))</f>
        <v/>
      </c>
      <c r="Z131" t="str">
        <f>IF($A131&gt;Z$79,"",IF(T&lt;=Z$11,"",100*h*MAX((EXP(IRTree!Z65*h)-1)/h -$D$6,0)))</f>
        <v/>
      </c>
      <c r="AA131" t="str">
        <f>IF($A131&gt;AA$79,"",IF(T&lt;=AA$11,"",100*h*MAX((EXP(IRTree!AA65*h)-1)/h -$D$6,0)))</f>
        <v/>
      </c>
      <c r="AB131" t="str">
        <f>IF($A131&gt;AB$79,"",IF(T&lt;=AB$11,"",100*h*MAX((EXP(IRTree!AB65*h)-1)/h -$D$6,0)))</f>
        <v/>
      </c>
      <c r="AC131" t="str">
        <f>IF($A131&gt;AC$79,"",IF(T&lt;=AC$11,"",100*h*MAX((EXP(IRTree!AC65*h)-1)/h -$D$6,0)))</f>
        <v/>
      </c>
      <c r="AD131" t="str">
        <f>IF($A131&gt;AD$79,"",IF(T&lt;=AD$11,"",100*h*MAX((EXP(IRTree!AD65*h)-1)/h -$D$6,0)))</f>
        <v/>
      </c>
      <c r="AE131" t="str">
        <f>IF($A131&gt;AE$79,"",IF(T&lt;=AE$11,"",100*h*MAX((EXP(IRTree!AE65*h)-1)/h -$D$6,0)))</f>
        <v/>
      </c>
      <c r="AF131" t="str">
        <f>IF($A131&gt;AF$79,"",IF(T&lt;=AF$11,"",100*h*MAX((EXP(IRTree!AF65*h)-1)/h -$D$6,0)))</f>
        <v/>
      </c>
      <c r="AG131" t="str">
        <f>IF($A131&gt;AG$79,"",IF(T&lt;=AG$11,"",100*h*MAX((EXP(IRTree!AG65*h)-1)/h -$D$6,0)))</f>
        <v/>
      </c>
      <c r="AH131" t="str">
        <f>IF($A131&gt;AH$79,"",IF(T&lt;=AH$11,"",100*h*MAX((EXP(IRTree!AH65*h)-1)/h -$D$6,0)))</f>
        <v/>
      </c>
      <c r="AI131" t="str">
        <f>IF($A131&gt;AI$79,"",IF(T&lt;=AI$11,"",100*h*MAX((EXP(IRTree!AI65*h)-1)/h -$D$6,0)))</f>
        <v/>
      </c>
      <c r="AJ131" t="str">
        <f>IF($A131&gt;AJ$79,"",IF(T&lt;=AJ$11,"",100*h*MAX((EXP(IRTree!AJ65*h)-1)/h -$D$6,0)))</f>
        <v/>
      </c>
      <c r="AK131" t="str">
        <f>IF($A131&gt;AK$79,"",IF(T&lt;=AK$11,"",100*h*MAX((EXP(IRTree!AK65*h)-1)/h -$D$6,0)))</f>
        <v/>
      </c>
      <c r="AL131" t="str">
        <f>IF($A131&gt;AL$79,"",IF(T&lt;=AL$11,"",100*h*MAX((EXP(IRTree!AL65*h)-1)/h -$D$6,0)))</f>
        <v/>
      </c>
      <c r="AM131" t="str">
        <f>IF($A131&gt;AM$79,"",IF(T&lt;=AM$11,"",100*h*MAX((EXP(IRTree!AM65*h)-1)/h -$D$6,0)))</f>
        <v/>
      </c>
      <c r="AN131" t="str">
        <f>IF($A131&gt;AN$79,"",IF(T&lt;=AN$11,"",100*h*MAX((EXP(IRTree!AN65*h)-1)/h -$D$6,0)))</f>
        <v/>
      </c>
      <c r="AO131" t="str">
        <f>IF($A131&gt;AO$79,"",IF(T&lt;=AO$11,"",100*h*MAX((EXP(IRTree!AO65*h)-1)/h -$D$6,0)))</f>
        <v/>
      </c>
      <c r="AP131" t="str">
        <f>IF($A131&gt;AP$79,"",IF(T&lt;=AP$11,"",100*h*MAX((EXP(IRTree!AP65*h)-1)/h -$D$6,0)))</f>
        <v/>
      </c>
      <c r="AQ131" t="str">
        <f>IF($A131&gt;AQ$79,"",IF(T&lt;=AQ$11,"",100*h*MAX((EXP(IRTree!AQ65*h)-1)/h -$D$6,0)))</f>
        <v/>
      </c>
      <c r="AR131" t="str">
        <f>IF($A131&gt;AR$79,"",IF(T&lt;=AR$11,"",100*h*MAX((EXP(IRTree!AR65*h)-1)/h -$D$6,0)))</f>
        <v/>
      </c>
      <c r="AS131" t="str">
        <f>IF($A131&gt;AS$79,"",IF(T&lt;=AS$11,"",100*h*MAX((EXP(IRTree!AS65*h)-1)/h -$D$6,0)))</f>
        <v/>
      </c>
      <c r="AT131" t="str">
        <f>IF($A131&gt;AT$79,"",IF(T&lt;=AT$11,"",100*h*MAX((EXP(IRTree!AT65*h)-1)/h -$D$6,0)))</f>
        <v/>
      </c>
      <c r="AU131" t="str">
        <f>IF($A131&gt;AU$79,"",IF(T&lt;=AU$11,"",100*h*MAX((EXP(IRTree!AU65*h)-1)/h -$D$6,0)))</f>
        <v/>
      </c>
      <c r="AV131" t="str">
        <f>IF($A131&gt;AV$79,"",IF(T&lt;=AV$11,"",100*h*MAX((EXP(IRTree!AV65*h)-1)/h -$D$6,0)))</f>
        <v/>
      </c>
      <c r="AW131" t="str">
        <f>IF($A131&gt;AW$79,"",IF(T&lt;=AW$11,"",100*h*MAX((EXP(IRTree!AW65*h)-1)/h -$D$6,0)))</f>
        <v/>
      </c>
      <c r="AX131" t="str">
        <f>IF($A131&gt;AX$79,"",IF(T&lt;=AX$11,"",100*h*MAX((EXP(IRTree!AX65*h)-1)/h -$D$6,0)))</f>
        <v/>
      </c>
      <c r="AY131" t="str">
        <f>IF($A131&gt;AY$79,"",IF(T&lt;=AY$11,"",100*h*MAX((EXP(IRTree!AY65*h)-1)/h -$D$6,0)))</f>
        <v/>
      </c>
      <c r="AZ131" t="str">
        <f>IF($A131&gt;AZ$79,"",IF(T&lt;=AZ$11,"",100*h*MAX((EXP(IRTree!AZ65*h)-1)/h -$D$6,0)))</f>
        <v/>
      </c>
      <c r="BA131" t="str">
        <f>IF($A131&gt;BA$79,"",IF(T&lt;=BA$11,"",100*h*MAX((EXP(IRTree!BA65*h)-1)/h -$D$6,0)))</f>
        <v/>
      </c>
      <c r="BB131" t="str">
        <f>IF($A131&gt;BB$79,"",IF(T&lt;=BB$11,"",100*h*MAX((EXP(IRTree!BB65*h)-1)/h -$D$6,0)))</f>
        <v/>
      </c>
      <c r="BC131" t="str">
        <f>IF($A131&gt;BC$79,"",IF(T&lt;=BC$11,"",100*h*MAX((EXP(IRTree!BC65*h)-1)/h -$D$6,0)))</f>
        <v/>
      </c>
      <c r="BD131" t="str">
        <f>IF($A131&gt;BD$79,"",IF(T&lt;=BD$11,"",100*h*MAX((EXP(IRTree!BD65*h)-1)/h -$D$6,0)))</f>
        <v/>
      </c>
      <c r="BE131" t="str">
        <f>IF($A131&gt;BE$79,"",IF(T&lt;=BE$11,"",100*h*MAX((EXP(IRTree!BE65*h)-1)/h -$D$6,0)))</f>
        <v/>
      </c>
      <c r="BF131" t="str">
        <f>IF($A131&gt;BF$79,"",IF(T&lt;=BF$11,"",100*h*MAX((EXP(IRTree!BF65*h)-1)/h -$D$6,0)))</f>
        <v/>
      </c>
      <c r="BG131" t="str">
        <f>IF($A131&gt;BG$79,"",IF(T&lt;=BG$11,"",100*h*MAX((EXP(IRTree!BG65*h)-1)/h -$D$6,0)))</f>
        <v/>
      </c>
      <c r="BH131" t="str">
        <f>IF($A131&gt;BH$79,"",IF(T&lt;=BH$11,"",100*h*MAX((EXP(IRTree!BH65*h)-1)/h -$D$6,0)))</f>
        <v/>
      </c>
      <c r="BI131" t="str">
        <f>IF($A131&gt;BI$79,"",IF(T&lt;=BI$11,"",100*h*MAX((EXP(IRTree!BI65*h)-1)/h -$D$6,0)))</f>
        <v/>
      </c>
      <c r="BJ131" t="str">
        <f>IF($A131&gt;BJ$79,"",IF(T&lt;=BJ$11,"",100*h*MAX((EXP(IRTree!BJ65*h)-1)/h -$D$6,0)))</f>
        <v/>
      </c>
    </row>
    <row r="132" spans="1:62">
      <c r="A132" s="22">
        <f t="shared" si="5"/>
        <v>52</v>
      </c>
      <c r="B132" t="str">
        <f>IF($A132&gt;B$79,"",IF(T&lt;=B$11,"",100*h*MAX((EXP(IRTree!B66*h)-1)/h -$D$6,0)))</f>
        <v/>
      </c>
      <c r="C132" t="str">
        <f>IF($A132&gt;C$79,"",IF(T&lt;=C$11,"",100*h*MAX((EXP(IRTree!C66*h)-1)/h -$D$6,0)))</f>
        <v/>
      </c>
      <c r="D132" t="str">
        <f>IF($A132&gt;D$79,"",IF(T&lt;=D$11,"",100*h*MAX((EXP(IRTree!D66*h)-1)/h -$D$6,0)))</f>
        <v/>
      </c>
      <c r="E132" t="str">
        <f>IF($A132&gt;E$79,"",IF(T&lt;=E$11,"",100*h*MAX((EXP(IRTree!E66*h)-1)/h -$D$6,0)))</f>
        <v/>
      </c>
      <c r="F132" t="str">
        <f>IF($A132&gt;F$79,"",IF(T&lt;=F$11,"",100*h*MAX((EXP(IRTree!F66*h)-1)/h -$D$6,0)))</f>
        <v/>
      </c>
      <c r="G132" t="str">
        <f>IF($A132&gt;G$79,"",IF(T&lt;=G$11,"",100*h*MAX((EXP(IRTree!G66*h)-1)/h -$D$6,0)))</f>
        <v/>
      </c>
      <c r="H132" t="str">
        <f>IF($A132&gt;H$79,"",IF(T&lt;=H$11,"",100*h*MAX((EXP(IRTree!H66*h)-1)/h -$D$6,0)))</f>
        <v/>
      </c>
      <c r="I132" t="str">
        <f>IF($A132&gt;I$79,"",IF(T&lt;=I$11,"",100*h*MAX((EXP(IRTree!I66*h)-1)/h -$D$6,0)))</f>
        <v/>
      </c>
      <c r="J132" t="str">
        <f>IF($A132&gt;J$79,"",IF(T&lt;=J$11,"",100*h*MAX((EXP(IRTree!J66*h)-1)/h -$D$6,0)))</f>
        <v/>
      </c>
      <c r="K132" t="str">
        <f>IF($A132&gt;K$79,"",IF(T&lt;=K$11,"",100*h*MAX((EXP(IRTree!K66*h)-1)/h -$D$6,0)))</f>
        <v/>
      </c>
      <c r="L132" t="str">
        <f>IF($A132&gt;L$79,"",IF(T&lt;=L$11,"",100*h*MAX((EXP(IRTree!L66*h)-1)/h -$D$6,0)))</f>
        <v/>
      </c>
      <c r="M132" t="str">
        <f>IF($A132&gt;M$79,"",IF(T&lt;=M$11,"",100*h*MAX((EXP(IRTree!M66*h)-1)/h -$D$6,0)))</f>
        <v/>
      </c>
      <c r="N132" t="str">
        <f>IF($A132&gt;N$79,"",IF(T&lt;=N$11,"",100*h*MAX((EXP(IRTree!N66*h)-1)/h -$D$6,0)))</f>
        <v/>
      </c>
      <c r="O132" t="str">
        <f>IF($A132&gt;O$79,"",IF(T&lt;=O$11,"",100*h*MAX((EXP(IRTree!O66*h)-1)/h -$D$6,0)))</f>
        <v/>
      </c>
      <c r="P132" t="str">
        <f>IF($A132&gt;P$79,"",IF(T&lt;=P$11,"",100*h*MAX((EXP(IRTree!P66*h)-1)/h -$D$6,0)))</f>
        <v/>
      </c>
      <c r="Q132" t="str">
        <f>IF($A132&gt;Q$79,"",IF(T&lt;=Q$11,"",100*h*MAX((EXP(IRTree!Q66*h)-1)/h -$D$6,0)))</f>
        <v/>
      </c>
      <c r="R132" t="str">
        <f>IF($A132&gt;R$79,"",IF(T&lt;=R$11,"",100*h*MAX((EXP(IRTree!R66*h)-1)/h -$D$6,0)))</f>
        <v/>
      </c>
      <c r="S132" t="str">
        <f>IF($A132&gt;S$79,"",IF(T&lt;=S$11,"",100*h*MAX((EXP(IRTree!S66*h)-1)/h -$D$6,0)))</f>
        <v/>
      </c>
      <c r="T132" t="str">
        <f>IF($A132&gt;T$79,"",IF(T&lt;=T$11,"",100*h*MAX((EXP(IRTree!T66*h)-1)/h -$D$6,0)))</f>
        <v/>
      </c>
      <c r="U132" t="str">
        <f>IF($A132&gt;U$79,"",IF(T&lt;=U$11,"",100*h*MAX((EXP(IRTree!U66*h)-1)/h -$D$6,0)))</f>
        <v/>
      </c>
      <c r="V132" t="str">
        <f>IF($A132&gt;V$79,"",IF(T&lt;=V$11,"",100*h*MAX((EXP(IRTree!V66*h)-1)/h -$D$6,0)))</f>
        <v/>
      </c>
      <c r="W132" t="str">
        <f>IF($A132&gt;W$79,"",IF(T&lt;=W$11,"",100*h*MAX((EXP(IRTree!W66*h)-1)/h -$D$6,0)))</f>
        <v/>
      </c>
      <c r="X132" t="str">
        <f>IF($A132&gt;X$79,"",IF(T&lt;=X$11,"",100*h*MAX((EXP(IRTree!X66*h)-1)/h -$D$6,0)))</f>
        <v/>
      </c>
      <c r="Y132" t="str">
        <f>IF($A132&gt;Y$79,"",IF(T&lt;=Y$11,"",100*h*MAX((EXP(IRTree!Y66*h)-1)/h -$D$6,0)))</f>
        <v/>
      </c>
      <c r="Z132" t="str">
        <f>IF($A132&gt;Z$79,"",IF(T&lt;=Z$11,"",100*h*MAX((EXP(IRTree!Z66*h)-1)/h -$D$6,0)))</f>
        <v/>
      </c>
      <c r="AA132" t="str">
        <f>IF($A132&gt;AA$79,"",IF(T&lt;=AA$11,"",100*h*MAX((EXP(IRTree!AA66*h)-1)/h -$D$6,0)))</f>
        <v/>
      </c>
      <c r="AB132" t="str">
        <f>IF($A132&gt;AB$79,"",IF(T&lt;=AB$11,"",100*h*MAX((EXP(IRTree!AB66*h)-1)/h -$D$6,0)))</f>
        <v/>
      </c>
      <c r="AC132" t="str">
        <f>IF($A132&gt;AC$79,"",IF(T&lt;=AC$11,"",100*h*MAX((EXP(IRTree!AC66*h)-1)/h -$D$6,0)))</f>
        <v/>
      </c>
      <c r="AD132" t="str">
        <f>IF($A132&gt;AD$79,"",IF(T&lt;=AD$11,"",100*h*MAX((EXP(IRTree!AD66*h)-1)/h -$D$6,0)))</f>
        <v/>
      </c>
      <c r="AE132" t="str">
        <f>IF($A132&gt;AE$79,"",IF(T&lt;=AE$11,"",100*h*MAX((EXP(IRTree!AE66*h)-1)/h -$D$6,0)))</f>
        <v/>
      </c>
      <c r="AF132" t="str">
        <f>IF($A132&gt;AF$79,"",IF(T&lt;=AF$11,"",100*h*MAX((EXP(IRTree!AF66*h)-1)/h -$D$6,0)))</f>
        <v/>
      </c>
      <c r="AG132" t="str">
        <f>IF($A132&gt;AG$79,"",IF(T&lt;=AG$11,"",100*h*MAX((EXP(IRTree!AG66*h)-1)/h -$D$6,0)))</f>
        <v/>
      </c>
      <c r="AH132" t="str">
        <f>IF($A132&gt;AH$79,"",IF(T&lt;=AH$11,"",100*h*MAX((EXP(IRTree!AH66*h)-1)/h -$D$6,0)))</f>
        <v/>
      </c>
      <c r="AI132" t="str">
        <f>IF($A132&gt;AI$79,"",IF(T&lt;=AI$11,"",100*h*MAX((EXP(IRTree!AI66*h)-1)/h -$D$6,0)))</f>
        <v/>
      </c>
      <c r="AJ132" t="str">
        <f>IF($A132&gt;AJ$79,"",IF(T&lt;=AJ$11,"",100*h*MAX((EXP(IRTree!AJ66*h)-1)/h -$D$6,0)))</f>
        <v/>
      </c>
      <c r="AK132" t="str">
        <f>IF($A132&gt;AK$79,"",IF(T&lt;=AK$11,"",100*h*MAX((EXP(IRTree!AK66*h)-1)/h -$D$6,0)))</f>
        <v/>
      </c>
      <c r="AL132" t="str">
        <f>IF($A132&gt;AL$79,"",IF(T&lt;=AL$11,"",100*h*MAX((EXP(IRTree!AL66*h)-1)/h -$D$6,0)))</f>
        <v/>
      </c>
      <c r="AM132" t="str">
        <f>IF($A132&gt;AM$79,"",IF(T&lt;=AM$11,"",100*h*MAX((EXP(IRTree!AM66*h)-1)/h -$D$6,0)))</f>
        <v/>
      </c>
      <c r="AN132" t="str">
        <f>IF($A132&gt;AN$79,"",IF(T&lt;=AN$11,"",100*h*MAX((EXP(IRTree!AN66*h)-1)/h -$D$6,0)))</f>
        <v/>
      </c>
      <c r="AO132" t="str">
        <f>IF($A132&gt;AO$79,"",IF(T&lt;=AO$11,"",100*h*MAX((EXP(IRTree!AO66*h)-1)/h -$D$6,0)))</f>
        <v/>
      </c>
      <c r="AP132" t="str">
        <f>IF($A132&gt;AP$79,"",IF(T&lt;=AP$11,"",100*h*MAX((EXP(IRTree!AP66*h)-1)/h -$D$6,0)))</f>
        <v/>
      </c>
      <c r="AQ132" t="str">
        <f>IF($A132&gt;AQ$79,"",IF(T&lt;=AQ$11,"",100*h*MAX((EXP(IRTree!AQ66*h)-1)/h -$D$6,0)))</f>
        <v/>
      </c>
      <c r="AR132" t="str">
        <f>IF($A132&gt;AR$79,"",IF(T&lt;=AR$11,"",100*h*MAX((EXP(IRTree!AR66*h)-1)/h -$D$6,0)))</f>
        <v/>
      </c>
      <c r="AS132" t="str">
        <f>IF($A132&gt;AS$79,"",IF(T&lt;=AS$11,"",100*h*MAX((EXP(IRTree!AS66*h)-1)/h -$D$6,0)))</f>
        <v/>
      </c>
      <c r="AT132" t="str">
        <f>IF($A132&gt;AT$79,"",IF(T&lt;=AT$11,"",100*h*MAX((EXP(IRTree!AT66*h)-1)/h -$D$6,0)))</f>
        <v/>
      </c>
      <c r="AU132" t="str">
        <f>IF($A132&gt;AU$79,"",IF(T&lt;=AU$11,"",100*h*MAX((EXP(IRTree!AU66*h)-1)/h -$D$6,0)))</f>
        <v/>
      </c>
      <c r="AV132" t="str">
        <f>IF($A132&gt;AV$79,"",IF(T&lt;=AV$11,"",100*h*MAX((EXP(IRTree!AV66*h)-1)/h -$D$6,0)))</f>
        <v/>
      </c>
      <c r="AW132" t="str">
        <f>IF($A132&gt;AW$79,"",IF(T&lt;=AW$11,"",100*h*MAX((EXP(IRTree!AW66*h)-1)/h -$D$6,0)))</f>
        <v/>
      </c>
      <c r="AX132" t="str">
        <f>IF($A132&gt;AX$79,"",IF(T&lt;=AX$11,"",100*h*MAX((EXP(IRTree!AX66*h)-1)/h -$D$6,0)))</f>
        <v/>
      </c>
      <c r="AY132" t="str">
        <f>IF($A132&gt;AY$79,"",IF(T&lt;=AY$11,"",100*h*MAX((EXP(IRTree!AY66*h)-1)/h -$D$6,0)))</f>
        <v/>
      </c>
      <c r="AZ132" t="str">
        <f>IF($A132&gt;AZ$79,"",IF(T&lt;=AZ$11,"",100*h*MAX((EXP(IRTree!AZ66*h)-1)/h -$D$6,0)))</f>
        <v/>
      </c>
      <c r="BA132" t="str">
        <f>IF($A132&gt;BA$79,"",IF(T&lt;=BA$11,"",100*h*MAX((EXP(IRTree!BA66*h)-1)/h -$D$6,0)))</f>
        <v/>
      </c>
      <c r="BB132" t="str">
        <f>IF($A132&gt;BB$79,"",IF(T&lt;=BB$11,"",100*h*MAX((EXP(IRTree!BB66*h)-1)/h -$D$6,0)))</f>
        <v/>
      </c>
      <c r="BC132" t="str">
        <f>IF($A132&gt;BC$79,"",IF(T&lt;=BC$11,"",100*h*MAX((EXP(IRTree!BC66*h)-1)/h -$D$6,0)))</f>
        <v/>
      </c>
      <c r="BD132" t="str">
        <f>IF($A132&gt;BD$79,"",IF(T&lt;=BD$11,"",100*h*MAX((EXP(IRTree!BD66*h)-1)/h -$D$6,0)))</f>
        <v/>
      </c>
      <c r="BE132" t="str">
        <f>IF($A132&gt;BE$79,"",IF(T&lt;=BE$11,"",100*h*MAX((EXP(IRTree!BE66*h)-1)/h -$D$6,0)))</f>
        <v/>
      </c>
      <c r="BF132" t="str">
        <f>IF($A132&gt;BF$79,"",IF(T&lt;=BF$11,"",100*h*MAX((EXP(IRTree!BF66*h)-1)/h -$D$6,0)))</f>
        <v/>
      </c>
      <c r="BG132" t="str">
        <f>IF($A132&gt;BG$79,"",IF(T&lt;=BG$11,"",100*h*MAX((EXP(IRTree!BG66*h)-1)/h -$D$6,0)))</f>
        <v/>
      </c>
      <c r="BH132" t="str">
        <f>IF($A132&gt;BH$79,"",IF(T&lt;=BH$11,"",100*h*MAX((EXP(IRTree!BH66*h)-1)/h -$D$6,0)))</f>
        <v/>
      </c>
      <c r="BI132" t="str">
        <f>IF($A132&gt;BI$79,"",IF(T&lt;=BI$11,"",100*h*MAX((EXP(IRTree!BI66*h)-1)/h -$D$6,0)))</f>
        <v/>
      </c>
      <c r="BJ132" t="str">
        <f>IF($A132&gt;BJ$79,"",IF(T&lt;=BJ$11,"",100*h*MAX((EXP(IRTree!BJ66*h)-1)/h -$D$6,0)))</f>
        <v/>
      </c>
    </row>
    <row r="133" spans="1:62">
      <c r="A133" s="22">
        <f t="shared" si="5"/>
        <v>53</v>
      </c>
      <c r="B133" t="str">
        <f>IF($A133&gt;B$79,"",IF(T&lt;=B$11,"",100*h*MAX((EXP(IRTree!B67*h)-1)/h -$D$6,0)))</f>
        <v/>
      </c>
      <c r="C133" t="str">
        <f>IF($A133&gt;C$79,"",IF(T&lt;=C$11,"",100*h*MAX((EXP(IRTree!C67*h)-1)/h -$D$6,0)))</f>
        <v/>
      </c>
      <c r="D133" t="str">
        <f>IF($A133&gt;D$79,"",IF(T&lt;=D$11,"",100*h*MAX((EXP(IRTree!D67*h)-1)/h -$D$6,0)))</f>
        <v/>
      </c>
      <c r="E133" t="str">
        <f>IF($A133&gt;E$79,"",IF(T&lt;=E$11,"",100*h*MAX((EXP(IRTree!E67*h)-1)/h -$D$6,0)))</f>
        <v/>
      </c>
      <c r="F133" t="str">
        <f>IF($A133&gt;F$79,"",IF(T&lt;=F$11,"",100*h*MAX((EXP(IRTree!F67*h)-1)/h -$D$6,0)))</f>
        <v/>
      </c>
      <c r="G133" t="str">
        <f>IF($A133&gt;G$79,"",IF(T&lt;=G$11,"",100*h*MAX((EXP(IRTree!G67*h)-1)/h -$D$6,0)))</f>
        <v/>
      </c>
      <c r="H133" t="str">
        <f>IF($A133&gt;H$79,"",IF(T&lt;=H$11,"",100*h*MAX((EXP(IRTree!H67*h)-1)/h -$D$6,0)))</f>
        <v/>
      </c>
      <c r="I133" t="str">
        <f>IF($A133&gt;I$79,"",IF(T&lt;=I$11,"",100*h*MAX((EXP(IRTree!I67*h)-1)/h -$D$6,0)))</f>
        <v/>
      </c>
      <c r="J133" t="str">
        <f>IF($A133&gt;J$79,"",IF(T&lt;=J$11,"",100*h*MAX((EXP(IRTree!J67*h)-1)/h -$D$6,0)))</f>
        <v/>
      </c>
      <c r="K133" t="str">
        <f>IF($A133&gt;K$79,"",IF(T&lt;=K$11,"",100*h*MAX((EXP(IRTree!K67*h)-1)/h -$D$6,0)))</f>
        <v/>
      </c>
      <c r="L133" t="str">
        <f>IF($A133&gt;L$79,"",IF(T&lt;=L$11,"",100*h*MAX((EXP(IRTree!L67*h)-1)/h -$D$6,0)))</f>
        <v/>
      </c>
      <c r="M133" t="str">
        <f>IF($A133&gt;M$79,"",IF(T&lt;=M$11,"",100*h*MAX((EXP(IRTree!M67*h)-1)/h -$D$6,0)))</f>
        <v/>
      </c>
      <c r="N133" t="str">
        <f>IF($A133&gt;N$79,"",IF(T&lt;=N$11,"",100*h*MAX((EXP(IRTree!N67*h)-1)/h -$D$6,0)))</f>
        <v/>
      </c>
      <c r="O133" t="str">
        <f>IF($A133&gt;O$79,"",IF(T&lt;=O$11,"",100*h*MAX((EXP(IRTree!O67*h)-1)/h -$D$6,0)))</f>
        <v/>
      </c>
      <c r="P133" t="str">
        <f>IF($A133&gt;P$79,"",IF(T&lt;=P$11,"",100*h*MAX((EXP(IRTree!P67*h)-1)/h -$D$6,0)))</f>
        <v/>
      </c>
      <c r="Q133" t="str">
        <f>IF($A133&gt;Q$79,"",IF(T&lt;=Q$11,"",100*h*MAX((EXP(IRTree!Q67*h)-1)/h -$D$6,0)))</f>
        <v/>
      </c>
      <c r="R133" t="str">
        <f>IF($A133&gt;R$79,"",IF(T&lt;=R$11,"",100*h*MAX((EXP(IRTree!R67*h)-1)/h -$D$6,0)))</f>
        <v/>
      </c>
      <c r="S133" t="str">
        <f>IF($A133&gt;S$79,"",IF(T&lt;=S$11,"",100*h*MAX((EXP(IRTree!S67*h)-1)/h -$D$6,0)))</f>
        <v/>
      </c>
      <c r="T133" t="str">
        <f>IF($A133&gt;T$79,"",IF(T&lt;=T$11,"",100*h*MAX((EXP(IRTree!T67*h)-1)/h -$D$6,0)))</f>
        <v/>
      </c>
      <c r="U133" t="str">
        <f>IF($A133&gt;U$79,"",IF(T&lt;=U$11,"",100*h*MAX((EXP(IRTree!U67*h)-1)/h -$D$6,0)))</f>
        <v/>
      </c>
      <c r="V133" t="str">
        <f>IF($A133&gt;V$79,"",IF(T&lt;=V$11,"",100*h*MAX((EXP(IRTree!V67*h)-1)/h -$D$6,0)))</f>
        <v/>
      </c>
      <c r="W133" t="str">
        <f>IF($A133&gt;W$79,"",IF(T&lt;=W$11,"",100*h*MAX((EXP(IRTree!W67*h)-1)/h -$D$6,0)))</f>
        <v/>
      </c>
      <c r="X133" t="str">
        <f>IF($A133&gt;X$79,"",IF(T&lt;=X$11,"",100*h*MAX((EXP(IRTree!X67*h)-1)/h -$D$6,0)))</f>
        <v/>
      </c>
      <c r="Y133" t="str">
        <f>IF($A133&gt;Y$79,"",IF(T&lt;=Y$11,"",100*h*MAX((EXP(IRTree!Y67*h)-1)/h -$D$6,0)))</f>
        <v/>
      </c>
      <c r="Z133" t="str">
        <f>IF($A133&gt;Z$79,"",IF(T&lt;=Z$11,"",100*h*MAX((EXP(IRTree!Z67*h)-1)/h -$D$6,0)))</f>
        <v/>
      </c>
      <c r="AA133" t="str">
        <f>IF($A133&gt;AA$79,"",IF(T&lt;=AA$11,"",100*h*MAX((EXP(IRTree!AA67*h)-1)/h -$D$6,0)))</f>
        <v/>
      </c>
      <c r="AB133" t="str">
        <f>IF($A133&gt;AB$79,"",IF(T&lt;=AB$11,"",100*h*MAX((EXP(IRTree!AB67*h)-1)/h -$D$6,0)))</f>
        <v/>
      </c>
      <c r="AC133" t="str">
        <f>IF($A133&gt;AC$79,"",IF(T&lt;=AC$11,"",100*h*MAX((EXP(IRTree!AC67*h)-1)/h -$D$6,0)))</f>
        <v/>
      </c>
      <c r="AD133" t="str">
        <f>IF($A133&gt;AD$79,"",IF(T&lt;=AD$11,"",100*h*MAX((EXP(IRTree!AD67*h)-1)/h -$D$6,0)))</f>
        <v/>
      </c>
      <c r="AE133" t="str">
        <f>IF($A133&gt;AE$79,"",IF(T&lt;=AE$11,"",100*h*MAX((EXP(IRTree!AE67*h)-1)/h -$D$6,0)))</f>
        <v/>
      </c>
      <c r="AF133" t="str">
        <f>IF($A133&gt;AF$79,"",IF(T&lt;=AF$11,"",100*h*MAX((EXP(IRTree!AF67*h)-1)/h -$D$6,0)))</f>
        <v/>
      </c>
      <c r="AG133" t="str">
        <f>IF($A133&gt;AG$79,"",IF(T&lt;=AG$11,"",100*h*MAX((EXP(IRTree!AG67*h)-1)/h -$D$6,0)))</f>
        <v/>
      </c>
      <c r="AH133" t="str">
        <f>IF($A133&gt;AH$79,"",IF(T&lt;=AH$11,"",100*h*MAX((EXP(IRTree!AH67*h)-1)/h -$D$6,0)))</f>
        <v/>
      </c>
      <c r="AI133" t="str">
        <f>IF($A133&gt;AI$79,"",IF(T&lt;=AI$11,"",100*h*MAX((EXP(IRTree!AI67*h)-1)/h -$D$6,0)))</f>
        <v/>
      </c>
      <c r="AJ133" t="str">
        <f>IF($A133&gt;AJ$79,"",IF(T&lt;=AJ$11,"",100*h*MAX((EXP(IRTree!AJ67*h)-1)/h -$D$6,0)))</f>
        <v/>
      </c>
      <c r="AK133" t="str">
        <f>IF($A133&gt;AK$79,"",IF(T&lt;=AK$11,"",100*h*MAX((EXP(IRTree!AK67*h)-1)/h -$D$6,0)))</f>
        <v/>
      </c>
      <c r="AL133" t="str">
        <f>IF($A133&gt;AL$79,"",IF(T&lt;=AL$11,"",100*h*MAX((EXP(IRTree!AL67*h)-1)/h -$D$6,0)))</f>
        <v/>
      </c>
      <c r="AM133" t="str">
        <f>IF($A133&gt;AM$79,"",IF(T&lt;=AM$11,"",100*h*MAX((EXP(IRTree!AM67*h)-1)/h -$D$6,0)))</f>
        <v/>
      </c>
      <c r="AN133" t="str">
        <f>IF($A133&gt;AN$79,"",IF(T&lt;=AN$11,"",100*h*MAX((EXP(IRTree!AN67*h)-1)/h -$D$6,0)))</f>
        <v/>
      </c>
      <c r="AO133" t="str">
        <f>IF($A133&gt;AO$79,"",IF(T&lt;=AO$11,"",100*h*MAX((EXP(IRTree!AO67*h)-1)/h -$D$6,0)))</f>
        <v/>
      </c>
      <c r="AP133" t="str">
        <f>IF($A133&gt;AP$79,"",IF(T&lt;=AP$11,"",100*h*MAX((EXP(IRTree!AP67*h)-1)/h -$D$6,0)))</f>
        <v/>
      </c>
      <c r="AQ133" t="str">
        <f>IF($A133&gt;AQ$79,"",IF(T&lt;=AQ$11,"",100*h*MAX((EXP(IRTree!AQ67*h)-1)/h -$D$6,0)))</f>
        <v/>
      </c>
      <c r="AR133" t="str">
        <f>IF($A133&gt;AR$79,"",IF(T&lt;=AR$11,"",100*h*MAX((EXP(IRTree!AR67*h)-1)/h -$D$6,0)))</f>
        <v/>
      </c>
      <c r="AS133" t="str">
        <f>IF($A133&gt;AS$79,"",IF(T&lt;=AS$11,"",100*h*MAX((EXP(IRTree!AS67*h)-1)/h -$D$6,0)))</f>
        <v/>
      </c>
      <c r="AT133" t="str">
        <f>IF($A133&gt;AT$79,"",IF(T&lt;=AT$11,"",100*h*MAX((EXP(IRTree!AT67*h)-1)/h -$D$6,0)))</f>
        <v/>
      </c>
      <c r="AU133" t="str">
        <f>IF($A133&gt;AU$79,"",IF(T&lt;=AU$11,"",100*h*MAX((EXP(IRTree!AU67*h)-1)/h -$D$6,0)))</f>
        <v/>
      </c>
      <c r="AV133" t="str">
        <f>IF($A133&gt;AV$79,"",IF(T&lt;=AV$11,"",100*h*MAX((EXP(IRTree!AV67*h)-1)/h -$D$6,0)))</f>
        <v/>
      </c>
      <c r="AW133" t="str">
        <f>IF($A133&gt;AW$79,"",IF(T&lt;=AW$11,"",100*h*MAX((EXP(IRTree!AW67*h)-1)/h -$D$6,0)))</f>
        <v/>
      </c>
      <c r="AX133" t="str">
        <f>IF($A133&gt;AX$79,"",IF(T&lt;=AX$11,"",100*h*MAX((EXP(IRTree!AX67*h)-1)/h -$D$6,0)))</f>
        <v/>
      </c>
      <c r="AY133" t="str">
        <f>IF($A133&gt;AY$79,"",IF(T&lt;=AY$11,"",100*h*MAX((EXP(IRTree!AY67*h)-1)/h -$D$6,0)))</f>
        <v/>
      </c>
      <c r="AZ133" t="str">
        <f>IF($A133&gt;AZ$79,"",IF(T&lt;=AZ$11,"",100*h*MAX((EXP(IRTree!AZ67*h)-1)/h -$D$6,0)))</f>
        <v/>
      </c>
      <c r="BA133" t="str">
        <f>IF($A133&gt;BA$79,"",IF(T&lt;=BA$11,"",100*h*MAX((EXP(IRTree!BA67*h)-1)/h -$D$6,0)))</f>
        <v/>
      </c>
      <c r="BB133" t="str">
        <f>IF($A133&gt;BB$79,"",IF(T&lt;=BB$11,"",100*h*MAX((EXP(IRTree!BB67*h)-1)/h -$D$6,0)))</f>
        <v/>
      </c>
      <c r="BC133" t="str">
        <f>IF($A133&gt;BC$79,"",IF(T&lt;=BC$11,"",100*h*MAX((EXP(IRTree!BC67*h)-1)/h -$D$6,0)))</f>
        <v/>
      </c>
      <c r="BD133" t="str">
        <f>IF($A133&gt;BD$79,"",IF(T&lt;=BD$11,"",100*h*MAX((EXP(IRTree!BD67*h)-1)/h -$D$6,0)))</f>
        <v/>
      </c>
      <c r="BE133" t="str">
        <f>IF($A133&gt;BE$79,"",IF(T&lt;=BE$11,"",100*h*MAX((EXP(IRTree!BE67*h)-1)/h -$D$6,0)))</f>
        <v/>
      </c>
      <c r="BF133" t="str">
        <f>IF($A133&gt;BF$79,"",IF(T&lt;=BF$11,"",100*h*MAX((EXP(IRTree!BF67*h)-1)/h -$D$6,0)))</f>
        <v/>
      </c>
      <c r="BG133" t="str">
        <f>IF($A133&gt;BG$79,"",IF(T&lt;=BG$11,"",100*h*MAX((EXP(IRTree!BG67*h)-1)/h -$D$6,0)))</f>
        <v/>
      </c>
      <c r="BH133" t="str">
        <f>IF($A133&gt;BH$79,"",IF(T&lt;=BH$11,"",100*h*MAX((EXP(IRTree!BH67*h)-1)/h -$D$6,0)))</f>
        <v/>
      </c>
      <c r="BI133" t="str">
        <f>IF($A133&gt;BI$79,"",IF(T&lt;=BI$11,"",100*h*MAX((EXP(IRTree!BI67*h)-1)/h -$D$6,0)))</f>
        <v/>
      </c>
      <c r="BJ133" t="str">
        <f>IF($A133&gt;BJ$79,"",IF(T&lt;=BJ$11,"",100*h*MAX((EXP(IRTree!BJ67*h)-1)/h -$D$6,0)))</f>
        <v/>
      </c>
    </row>
    <row r="134" spans="1:62">
      <c r="A134" s="22">
        <f t="shared" si="5"/>
        <v>54</v>
      </c>
      <c r="B134" t="str">
        <f>IF($A134&gt;B$79,"",IF(T&lt;=B$11,"",100*h*MAX((EXP(IRTree!B68*h)-1)/h -$D$6,0)))</f>
        <v/>
      </c>
      <c r="C134" t="str">
        <f>IF($A134&gt;C$79,"",IF(T&lt;=C$11,"",100*h*MAX((EXP(IRTree!C68*h)-1)/h -$D$6,0)))</f>
        <v/>
      </c>
      <c r="D134" t="str">
        <f>IF($A134&gt;D$79,"",IF(T&lt;=D$11,"",100*h*MAX((EXP(IRTree!D68*h)-1)/h -$D$6,0)))</f>
        <v/>
      </c>
      <c r="E134" t="str">
        <f>IF($A134&gt;E$79,"",IF(T&lt;=E$11,"",100*h*MAX((EXP(IRTree!E68*h)-1)/h -$D$6,0)))</f>
        <v/>
      </c>
      <c r="F134" t="str">
        <f>IF($A134&gt;F$79,"",IF(T&lt;=F$11,"",100*h*MAX((EXP(IRTree!F68*h)-1)/h -$D$6,0)))</f>
        <v/>
      </c>
      <c r="G134" t="str">
        <f>IF($A134&gt;G$79,"",IF(T&lt;=G$11,"",100*h*MAX((EXP(IRTree!G68*h)-1)/h -$D$6,0)))</f>
        <v/>
      </c>
      <c r="H134" t="str">
        <f>IF($A134&gt;H$79,"",IF(T&lt;=H$11,"",100*h*MAX((EXP(IRTree!H68*h)-1)/h -$D$6,0)))</f>
        <v/>
      </c>
      <c r="I134" t="str">
        <f>IF($A134&gt;I$79,"",IF(T&lt;=I$11,"",100*h*MAX((EXP(IRTree!I68*h)-1)/h -$D$6,0)))</f>
        <v/>
      </c>
      <c r="J134" t="str">
        <f>IF($A134&gt;J$79,"",IF(T&lt;=J$11,"",100*h*MAX((EXP(IRTree!J68*h)-1)/h -$D$6,0)))</f>
        <v/>
      </c>
      <c r="K134" t="str">
        <f>IF($A134&gt;K$79,"",IF(T&lt;=K$11,"",100*h*MAX((EXP(IRTree!K68*h)-1)/h -$D$6,0)))</f>
        <v/>
      </c>
      <c r="L134" t="str">
        <f>IF($A134&gt;L$79,"",IF(T&lt;=L$11,"",100*h*MAX((EXP(IRTree!L68*h)-1)/h -$D$6,0)))</f>
        <v/>
      </c>
      <c r="M134" t="str">
        <f>IF($A134&gt;M$79,"",IF(T&lt;=M$11,"",100*h*MAX((EXP(IRTree!M68*h)-1)/h -$D$6,0)))</f>
        <v/>
      </c>
      <c r="N134" t="str">
        <f>IF($A134&gt;N$79,"",IF(T&lt;=N$11,"",100*h*MAX((EXP(IRTree!N68*h)-1)/h -$D$6,0)))</f>
        <v/>
      </c>
      <c r="O134" t="str">
        <f>IF($A134&gt;O$79,"",IF(T&lt;=O$11,"",100*h*MAX((EXP(IRTree!O68*h)-1)/h -$D$6,0)))</f>
        <v/>
      </c>
      <c r="P134" t="str">
        <f>IF($A134&gt;P$79,"",IF(T&lt;=P$11,"",100*h*MAX((EXP(IRTree!P68*h)-1)/h -$D$6,0)))</f>
        <v/>
      </c>
      <c r="Q134" t="str">
        <f>IF($A134&gt;Q$79,"",IF(T&lt;=Q$11,"",100*h*MAX((EXP(IRTree!Q68*h)-1)/h -$D$6,0)))</f>
        <v/>
      </c>
      <c r="R134" t="str">
        <f>IF($A134&gt;R$79,"",IF(T&lt;=R$11,"",100*h*MAX((EXP(IRTree!R68*h)-1)/h -$D$6,0)))</f>
        <v/>
      </c>
      <c r="S134" t="str">
        <f>IF($A134&gt;S$79,"",IF(T&lt;=S$11,"",100*h*MAX((EXP(IRTree!S68*h)-1)/h -$D$6,0)))</f>
        <v/>
      </c>
      <c r="T134" t="str">
        <f>IF($A134&gt;T$79,"",IF(T&lt;=T$11,"",100*h*MAX((EXP(IRTree!T68*h)-1)/h -$D$6,0)))</f>
        <v/>
      </c>
      <c r="U134" t="str">
        <f>IF($A134&gt;U$79,"",IF(T&lt;=U$11,"",100*h*MAX((EXP(IRTree!U68*h)-1)/h -$D$6,0)))</f>
        <v/>
      </c>
      <c r="V134" t="str">
        <f>IF($A134&gt;V$79,"",IF(T&lt;=V$11,"",100*h*MAX((EXP(IRTree!V68*h)-1)/h -$D$6,0)))</f>
        <v/>
      </c>
      <c r="W134" t="str">
        <f>IF($A134&gt;W$79,"",IF(T&lt;=W$11,"",100*h*MAX((EXP(IRTree!W68*h)-1)/h -$D$6,0)))</f>
        <v/>
      </c>
      <c r="X134" t="str">
        <f>IF($A134&gt;X$79,"",IF(T&lt;=X$11,"",100*h*MAX((EXP(IRTree!X68*h)-1)/h -$D$6,0)))</f>
        <v/>
      </c>
      <c r="Y134" t="str">
        <f>IF($A134&gt;Y$79,"",IF(T&lt;=Y$11,"",100*h*MAX((EXP(IRTree!Y68*h)-1)/h -$D$6,0)))</f>
        <v/>
      </c>
      <c r="Z134" t="str">
        <f>IF($A134&gt;Z$79,"",IF(T&lt;=Z$11,"",100*h*MAX((EXP(IRTree!Z68*h)-1)/h -$D$6,0)))</f>
        <v/>
      </c>
      <c r="AA134" t="str">
        <f>IF($A134&gt;AA$79,"",IF(T&lt;=AA$11,"",100*h*MAX((EXP(IRTree!AA68*h)-1)/h -$D$6,0)))</f>
        <v/>
      </c>
      <c r="AB134" t="str">
        <f>IF($A134&gt;AB$79,"",IF(T&lt;=AB$11,"",100*h*MAX((EXP(IRTree!AB68*h)-1)/h -$D$6,0)))</f>
        <v/>
      </c>
      <c r="AC134" t="str">
        <f>IF($A134&gt;AC$79,"",IF(T&lt;=AC$11,"",100*h*MAX((EXP(IRTree!AC68*h)-1)/h -$D$6,0)))</f>
        <v/>
      </c>
      <c r="AD134" t="str">
        <f>IF($A134&gt;AD$79,"",IF(T&lt;=AD$11,"",100*h*MAX((EXP(IRTree!AD68*h)-1)/h -$D$6,0)))</f>
        <v/>
      </c>
      <c r="AE134" t="str">
        <f>IF($A134&gt;AE$79,"",IF(T&lt;=AE$11,"",100*h*MAX((EXP(IRTree!AE68*h)-1)/h -$D$6,0)))</f>
        <v/>
      </c>
      <c r="AF134" t="str">
        <f>IF($A134&gt;AF$79,"",IF(T&lt;=AF$11,"",100*h*MAX((EXP(IRTree!AF68*h)-1)/h -$D$6,0)))</f>
        <v/>
      </c>
      <c r="AG134" t="str">
        <f>IF($A134&gt;AG$79,"",IF(T&lt;=AG$11,"",100*h*MAX((EXP(IRTree!AG68*h)-1)/h -$D$6,0)))</f>
        <v/>
      </c>
      <c r="AH134" t="str">
        <f>IF($A134&gt;AH$79,"",IF(T&lt;=AH$11,"",100*h*MAX((EXP(IRTree!AH68*h)-1)/h -$D$6,0)))</f>
        <v/>
      </c>
      <c r="AI134" t="str">
        <f>IF($A134&gt;AI$79,"",IF(T&lt;=AI$11,"",100*h*MAX((EXP(IRTree!AI68*h)-1)/h -$D$6,0)))</f>
        <v/>
      </c>
      <c r="AJ134" t="str">
        <f>IF($A134&gt;AJ$79,"",IF(T&lt;=AJ$11,"",100*h*MAX((EXP(IRTree!AJ68*h)-1)/h -$D$6,0)))</f>
        <v/>
      </c>
      <c r="AK134" t="str">
        <f>IF($A134&gt;AK$79,"",IF(T&lt;=AK$11,"",100*h*MAX((EXP(IRTree!AK68*h)-1)/h -$D$6,0)))</f>
        <v/>
      </c>
      <c r="AL134" t="str">
        <f>IF($A134&gt;AL$79,"",IF(T&lt;=AL$11,"",100*h*MAX((EXP(IRTree!AL68*h)-1)/h -$D$6,0)))</f>
        <v/>
      </c>
      <c r="AM134" t="str">
        <f>IF($A134&gt;AM$79,"",IF(T&lt;=AM$11,"",100*h*MAX((EXP(IRTree!AM68*h)-1)/h -$D$6,0)))</f>
        <v/>
      </c>
      <c r="AN134" t="str">
        <f>IF($A134&gt;AN$79,"",IF(T&lt;=AN$11,"",100*h*MAX((EXP(IRTree!AN68*h)-1)/h -$D$6,0)))</f>
        <v/>
      </c>
      <c r="AO134" t="str">
        <f>IF($A134&gt;AO$79,"",IF(T&lt;=AO$11,"",100*h*MAX((EXP(IRTree!AO68*h)-1)/h -$D$6,0)))</f>
        <v/>
      </c>
      <c r="AP134" t="str">
        <f>IF($A134&gt;AP$79,"",IF(T&lt;=AP$11,"",100*h*MAX((EXP(IRTree!AP68*h)-1)/h -$D$6,0)))</f>
        <v/>
      </c>
      <c r="AQ134" t="str">
        <f>IF($A134&gt;AQ$79,"",IF(T&lt;=AQ$11,"",100*h*MAX((EXP(IRTree!AQ68*h)-1)/h -$D$6,0)))</f>
        <v/>
      </c>
      <c r="AR134" t="str">
        <f>IF($A134&gt;AR$79,"",IF(T&lt;=AR$11,"",100*h*MAX((EXP(IRTree!AR68*h)-1)/h -$D$6,0)))</f>
        <v/>
      </c>
      <c r="AS134" t="str">
        <f>IF($A134&gt;AS$79,"",IF(T&lt;=AS$11,"",100*h*MAX((EXP(IRTree!AS68*h)-1)/h -$D$6,0)))</f>
        <v/>
      </c>
      <c r="AT134" t="str">
        <f>IF($A134&gt;AT$79,"",IF(T&lt;=AT$11,"",100*h*MAX((EXP(IRTree!AT68*h)-1)/h -$D$6,0)))</f>
        <v/>
      </c>
      <c r="AU134" t="str">
        <f>IF($A134&gt;AU$79,"",IF(T&lt;=AU$11,"",100*h*MAX((EXP(IRTree!AU68*h)-1)/h -$D$6,0)))</f>
        <v/>
      </c>
      <c r="AV134" t="str">
        <f>IF($A134&gt;AV$79,"",IF(T&lt;=AV$11,"",100*h*MAX((EXP(IRTree!AV68*h)-1)/h -$D$6,0)))</f>
        <v/>
      </c>
      <c r="AW134" t="str">
        <f>IF($A134&gt;AW$79,"",IF(T&lt;=AW$11,"",100*h*MAX((EXP(IRTree!AW68*h)-1)/h -$D$6,0)))</f>
        <v/>
      </c>
      <c r="AX134" t="str">
        <f>IF($A134&gt;AX$79,"",IF(T&lt;=AX$11,"",100*h*MAX((EXP(IRTree!AX68*h)-1)/h -$D$6,0)))</f>
        <v/>
      </c>
      <c r="AY134" t="str">
        <f>IF($A134&gt;AY$79,"",IF(T&lt;=AY$11,"",100*h*MAX((EXP(IRTree!AY68*h)-1)/h -$D$6,0)))</f>
        <v/>
      </c>
      <c r="AZ134" t="str">
        <f>IF($A134&gt;AZ$79,"",IF(T&lt;=AZ$11,"",100*h*MAX((EXP(IRTree!AZ68*h)-1)/h -$D$6,0)))</f>
        <v/>
      </c>
      <c r="BA134" t="str">
        <f>IF($A134&gt;BA$79,"",IF(T&lt;=BA$11,"",100*h*MAX((EXP(IRTree!BA68*h)-1)/h -$D$6,0)))</f>
        <v/>
      </c>
      <c r="BB134" t="str">
        <f>IF($A134&gt;BB$79,"",IF(T&lt;=BB$11,"",100*h*MAX((EXP(IRTree!BB68*h)-1)/h -$D$6,0)))</f>
        <v/>
      </c>
      <c r="BC134" t="str">
        <f>IF($A134&gt;BC$79,"",IF(T&lt;=BC$11,"",100*h*MAX((EXP(IRTree!BC68*h)-1)/h -$D$6,0)))</f>
        <v/>
      </c>
      <c r="BD134" t="str">
        <f>IF($A134&gt;BD$79,"",IF(T&lt;=BD$11,"",100*h*MAX((EXP(IRTree!BD68*h)-1)/h -$D$6,0)))</f>
        <v/>
      </c>
      <c r="BE134" t="str">
        <f>IF($A134&gt;BE$79,"",IF(T&lt;=BE$11,"",100*h*MAX((EXP(IRTree!BE68*h)-1)/h -$D$6,0)))</f>
        <v/>
      </c>
      <c r="BF134" t="str">
        <f>IF($A134&gt;BF$79,"",IF(T&lt;=BF$11,"",100*h*MAX((EXP(IRTree!BF68*h)-1)/h -$D$6,0)))</f>
        <v/>
      </c>
      <c r="BG134" t="str">
        <f>IF($A134&gt;BG$79,"",IF(T&lt;=BG$11,"",100*h*MAX((EXP(IRTree!BG68*h)-1)/h -$D$6,0)))</f>
        <v/>
      </c>
      <c r="BH134" t="str">
        <f>IF($A134&gt;BH$79,"",IF(T&lt;=BH$11,"",100*h*MAX((EXP(IRTree!BH68*h)-1)/h -$D$6,0)))</f>
        <v/>
      </c>
      <c r="BI134" t="str">
        <f>IF($A134&gt;BI$79,"",IF(T&lt;=BI$11,"",100*h*MAX((EXP(IRTree!BI68*h)-1)/h -$D$6,0)))</f>
        <v/>
      </c>
      <c r="BJ134" t="str">
        <f>IF($A134&gt;BJ$79,"",IF(T&lt;=BJ$11,"",100*h*MAX((EXP(IRTree!BJ68*h)-1)/h -$D$6,0)))</f>
        <v/>
      </c>
    </row>
    <row r="135" spans="1:62">
      <c r="A135" s="22">
        <f t="shared" si="5"/>
        <v>55</v>
      </c>
      <c r="B135" t="str">
        <f>IF($A135&gt;B$79,"",IF(T&lt;=B$11,"",100*h*MAX((EXP(IRTree!B69*h)-1)/h -$D$6,0)))</f>
        <v/>
      </c>
      <c r="C135" t="str">
        <f>IF($A135&gt;C$79,"",IF(T&lt;=C$11,"",100*h*MAX((EXP(IRTree!C69*h)-1)/h -$D$6,0)))</f>
        <v/>
      </c>
      <c r="D135" t="str">
        <f>IF($A135&gt;D$79,"",IF(T&lt;=D$11,"",100*h*MAX((EXP(IRTree!D69*h)-1)/h -$D$6,0)))</f>
        <v/>
      </c>
      <c r="E135" t="str">
        <f>IF($A135&gt;E$79,"",IF(T&lt;=E$11,"",100*h*MAX((EXP(IRTree!E69*h)-1)/h -$D$6,0)))</f>
        <v/>
      </c>
      <c r="F135" t="str">
        <f>IF($A135&gt;F$79,"",IF(T&lt;=F$11,"",100*h*MAX((EXP(IRTree!F69*h)-1)/h -$D$6,0)))</f>
        <v/>
      </c>
      <c r="G135" t="str">
        <f>IF($A135&gt;G$79,"",IF(T&lt;=G$11,"",100*h*MAX((EXP(IRTree!G69*h)-1)/h -$D$6,0)))</f>
        <v/>
      </c>
      <c r="H135" t="str">
        <f>IF($A135&gt;H$79,"",IF(T&lt;=H$11,"",100*h*MAX((EXP(IRTree!H69*h)-1)/h -$D$6,0)))</f>
        <v/>
      </c>
      <c r="I135" t="str">
        <f>IF($A135&gt;I$79,"",IF(T&lt;=I$11,"",100*h*MAX((EXP(IRTree!I69*h)-1)/h -$D$6,0)))</f>
        <v/>
      </c>
      <c r="J135" t="str">
        <f>IF($A135&gt;J$79,"",IF(T&lt;=J$11,"",100*h*MAX((EXP(IRTree!J69*h)-1)/h -$D$6,0)))</f>
        <v/>
      </c>
      <c r="K135" t="str">
        <f>IF($A135&gt;K$79,"",IF(T&lt;=K$11,"",100*h*MAX((EXP(IRTree!K69*h)-1)/h -$D$6,0)))</f>
        <v/>
      </c>
      <c r="L135" t="str">
        <f>IF($A135&gt;L$79,"",IF(T&lt;=L$11,"",100*h*MAX((EXP(IRTree!L69*h)-1)/h -$D$6,0)))</f>
        <v/>
      </c>
      <c r="M135" t="str">
        <f>IF($A135&gt;M$79,"",IF(T&lt;=M$11,"",100*h*MAX((EXP(IRTree!M69*h)-1)/h -$D$6,0)))</f>
        <v/>
      </c>
      <c r="N135" t="str">
        <f>IF($A135&gt;N$79,"",IF(T&lt;=N$11,"",100*h*MAX((EXP(IRTree!N69*h)-1)/h -$D$6,0)))</f>
        <v/>
      </c>
      <c r="O135" t="str">
        <f>IF($A135&gt;O$79,"",IF(T&lt;=O$11,"",100*h*MAX((EXP(IRTree!O69*h)-1)/h -$D$6,0)))</f>
        <v/>
      </c>
      <c r="P135" t="str">
        <f>IF($A135&gt;P$79,"",IF(T&lt;=P$11,"",100*h*MAX((EXP(IRTree!P69*h)-1)/h -$D$6,0)))</f>
        <v/>
      </c>
      <c r="Q135" t="str">
        <f>IF($A135&gt;Q$79,"",IF(T&lt;=Q$11,"",100*h*MAX((EXP(IRTree!Q69*h)-1)/h -$D$6,0)))</f>
        <v/>
      </c>
      <c r="R135" t="str">
        <f>IF($A135&gt;R$79,"",IF(T&lt;=R$11,"",100*h*MAX((EXP(IRTree!R69*h)-1)/h -$D$6,0)))</f>
        <v/>
      </c>
      <c r="S135" t="str">
        <f>IF($A135&gt;S$79,"",IF(T&lt;=S$11,"",100*h*MAX((EXP(IRTree!S69*h)-1)/h -$D$6,0)))</f>
        <v/>
      </c>
      <c r="T135" t="str">
        <f>IF($A135&gt;T$79,"",IF(T&lt;=T$11,"",100*h*MAX((EXP(IRTree!T69*h)-1)/h -$D$6,0)))</f>
        <v/>
      </c>
      <c r="U135" t="str">
        <f>IF($A135&gt;U$79,"",IF(T&lt;=U$11,"",100*h*MAX((EXP(IRTree!U69*h)-1)/h -$D$6,0)))</f>
        <v/>
      </c>
      <c r="V135" t="str">
        <f>IF($A135&gt;V$79,"",IF(T&lt;=V$11,"",100*h*MAX((EXP(IRTree!V69*h)-1)/h -$D$6,0)))</f>
        <v/>
      </c>
      <c r="W135" t="str">
        <f>IF($A135&gt;W$79,"",IF(T&lt;=W$11,"",100*h*MAX((EXP(IRTree!W69*h)-1)/h -$D$6,0)))</f>
        <v/>
      </c>
      <c r="X135" t="str">
        <f>IF($A135&gt;X$79,"",IF(T&lt;=X$11,"",100*h*MAX((EXP(IRTree!X69*h)-1)/h -$D$6,0)))</f>
        <v/>
      </c>
      <c r="Y135" t="str">
        <f>IF($A135&gt;Y$79,"",IF(T&lt;=Y$11,"",100*h*MAX((EXP(IRTree!Y69*h)-1)/h -$D$6,0)))</f>
        <v/>
      </c>
      <c r="Z135" t="str">
        <f>IF($A135&gt;Z$79,"",IF(T&lt;=Z$11,"",100*h*MAX((EXP(IRTree!Z69*h)-1)/h -$D$6,0)))</f>
        <v/>
      </c>
      <c r="AA135" t="str">
        <f>IF($A135&gt;AA$79,"",IF(T&lt;=AA$11,"",100*h*MAX((EXP(IRTree!AA69*h)-1)/h -$D$6,0)))</f>
        <v/>
      </c>
      <c r="AB135" t="str">
        <f>IF($A135&gt;AB$79,"",IF(T&lt;=AB$11,"",100*h*MAX((EXP(IRTree!AB69*h)-1)/h -$D$6,0)))</f>
        <v/>
      </c>
      <c r="AC135" t="str">
        <f>IF($A135&gt;AC$79,"",IF(T&lt;=AC$11,"",100*h*MAX((EXP(IRTree!AC69*h)-1)/h -$D$6,0)))</f>
        <v/>
      </c>
      <c r="AD135" t="str">
        <f>IF($A135&gt;AD$79,"",IF(T&lt;=AD$11,"",100*h*MAX((EXP(IRTree!AD69*h)-1)/h -$D$6,0)))</f>
        <v/>
      </c>
      <c r="AE135" t="str">
        <f>IF($A135&gt;AE$79,"",IF(T&lt;=AE$11,"",100*h*MAX((EXP(IRTree!AE69*h)-1)/h -$D$6,0)))</f>
        <v/>
      </c>
      <c r="AF135" t="str">
        <f>IF($A135&gt;AF$79,"",IF(T&lt;=AF$11,"",100*h*MAX((EXP(IRTree!AF69*h)-1)/h -$D$6,0)))</f>
        <v/>
      </c>
      <c r="AG135" t="str">
        <f>IF($A135&gt;AG$79,"",IF(T&lt;=AG$11,"",100*h*MAX((EXP(IRTree!AG69*h)-1)/h -$D$6,0)))</f>
        <v/>
      </c>
      <c r="AH135" t="str">
        <f>IF($A135&gt;AH$79,"",IF(T&lt;=AH$11,"",100*h*MAX((EXP(IRTree!AH69*h)-1)/h -$D$6,0)))</f>
        <v/>
      </c>
      <c r="AI135" t="str">
        <f>IF($A135&gt;AI$79,"",IF(T&lt;=AI$11,"",100*h*MAX((EXP(IRTree!AI69*h)-1)/h -$D$6,0)))</f>
        <v/>
      </c>
      <c r="AJ135" t="str">
        <f>IF($A135&gt;AJ$79,"",IF(T&lt;=AJ$11,"",100*h*MAX((EXP(IRTree!AJ69*h)-1)/h -$D$6,0)))</f>
        <v/>
      </c>
      <c r="AK135" t="str">
        <f>IF($A135&gt;AK$79,"",IF(T&lt;=AK$11,"",100*h*MAX((EXP(IRTree!AK69*h)-1)/h -$D$6,0)))</f>
        <v/>
      </c>
      <c r="AL135" t="str">
        <f>IF($A135&gt;AL$79,"",IF(T&lt;=AL$11,"",100*h*MAX((EXP(IRTree!AL69*h)-1)/h -$D$6,0)))</f>
        <v/>
      </c>
      <c r="AM135" t="str">
        <f>IF($A135&gt;AM$79,"",IF(T&lt;=AM$11,"",100*h*MAX((EXP(IRTree!AM69*h)-1)/h -$D$6,0)))</f>
        <v/>
      </c>
      <c r="AN135" t="str">
        <f>IF($A135&gt;AN$79,"",IF(T&lt;=AN$11,"",100*h*MAX((EXP(IRTree!AN69*h)-1)/h -$D$6,0)))</f>
        <v/>
      </c>
      <c r="AO135" t="str">
        <f>IF($A135&gt;AO$79,"",IF(T&lt;=AO$11,"",100*h*MAX((EXP(IRTree!AO69*h)-1)/h -$D$6,0)))</f>
        <v/>
      </c>
      <c r="AP135" t="str">
        <f>IF($A135&gt;AP$79,"",IF(T&lt;=AP$11,"",100*h*MAX((EXP(IRTree!AP69*h)-1)/h -$D$6,0)))</f>
        <v/>
      </c>
      <c r="AQ135" t="str">
        <f>IF($A135&gt;AQ$79,"",IF(T&lt;=AQ$11,"",100*h*MAX((EXP(IRTree!AQ69*h)-1)/h -$D$6,0)))</f>
        <v/>
      </c>
      <c r="AR135" t="str">
        <f>IF($A135&gt;AR$79,"",IF(T&lt;=AR$11,"",100*h*MAX((EXP(IRTree!AR69*h)-1)/h -$D$6,0)))</f>
        <v/>
      </c>
      <c r="AS135" t="str">
        <f>IF($A135&gt;AS$79,"",IF(T&lt;=AS$11,"",100*h*MAX((EXP(IRTree!AS69*h)-1)/h -$D$6,0)))</f>
        <v/>
      </c>
      <c r="AT135" t="str">
        <f>IF($A135&gt;AT$79,"",IF(T&lt;=AT$11,"",100*h*MAX((EXP(IRTree!AT69*h)-1)/h -$D$6,0)))</f>
        <v/>
      </c>
      <c r="AU135" t="str">
        <f>IF($A135&gt;AU$79,"",IF(T&lt;=AU$11,"",100*h*MAX((EXP(IRTree!AU69*h)-1)/h -$D$6,0)))</f>
        <v/>
      </c>
      <c r="AV135" t="str">
        <f>IF($A135&gt;AV$79,"",IF(T&lt;=AV$11,"",100*h*MAX((EXP(IRTree!AV69*h)-1)/h -$D$6,0)))</f>
        <v/>
      </c>
      <c r="AW135" t="str">
        <f>IF($A135&gt;AW$79,"",IF(T&lt;=AW$11,"",100*h*MAX((EXP(IRTree!AW69*h)-1)/h -$D$6,0)))</f>
        <v/>
      </c>
      <c r="AX135" t="str">
        <f>IF($A135&gt;AX$79,"",IF(T&lt;=AX$11,"",100*h*MAX((EXP(IRTree!AX69*h)-1)/h -$D$6,0)))</f>
        <v/>
      </c>
      <c r="AY135" t="str">
        <f>IF($A135&gt;AY$79,"",IF(T&lt;=AY$11,"",100*h*MAX((EXP(IRTree!AY69*h)-1)/h -$D$6,0)))</f>
        <v/>
      </c>
      <c r="AZ135" t="str">
        <f>IF($A135&gt;AZ$79,"",IF(T&lt;=AZ$11,"",100*h*MAX((EXP(IRTree!AZ69*h)-1)/h -$D$6,0)))</f>
        <v/>
      </c>
      <c r="BA135" t="str">
        <f>IF($A135&gt;BA$79,"",IF(T&lt;=BA$11,"",100*h*MAX((EXP(IRTree!BA69*h)-1)/h -$D$6,0)))</f>
        <v/>
      </c>
      <c r="BB135" t="str">
        <f>IF($A135&gt;BB$79,"",IF(T&lt;=BB$11,"",100*h*MAX((EXP(IRTree!BB69*h)-1)/h -$D$6,0)))</f>
        <v/>
      </c>
      <c r="BC135" t="str">
        <f>IF($A135&gt;BC$79,"",IF(T&lt;=BC$11,"",100*h*MAX((EXP(IRTree!BC69*h)-1)/h -$D$6,0)))</f>
        <v/>
      </c>
      <c r="BD135" t="str">
        <f>IF($A135&gt;BD$79,"",IF(T&lt;=BD$11,"",100*h*MAX((EXP(IRTree!BD69*h)-1)/h -$D$6,0)))</f>
        <v/>
      </c>
      <c r="BE135" t="str">
        <f>IF($A135&gt;BE$79,"",IF(T&lt;=BE$11,"",100*h*MAX((EXP(IRTree!BE69*h)-1)/h -$D$6,0)))</f>
        <v/>
      </c>
      <c r="BF135" t="str">
        <f>IF($A135&gt;BF$79,"",IF(T&lt;=BF$11,"",100*h*MAX((EXP(IRTree!BF69*h)-1)/h -$D$6,0)))</f>
        <v/>
      </c>
      <c r="BG135" t="str">
        <f>IF($A135&gt;BG$79,"",IF(T&lt;=BG$11,"",100*h*MAX((EXP(IRTree!BG69*h)-1)/h -$D$6,0)))</f>
        <v/>
      </c>
      <c r="BH135" t="str">
        <f>IF($A135&gt;BH$79,"",IF(T&lt;=BH$11,"",100*h*MAX((EXP(IRTree!BH69*h)-1)/h -$D$6,0)))</f>
        <v/>
      </c>
      <c r="BI135" t="str">
        <f>IF($A135&gt;BI$79,"",IF(T&lt;=BI$11,"",100*h*MAX((EXP(IRTree!BI69*h)-1)/h -$D$6,0)))</f>
        <v/>
      </c>
      <c r="BJ135" t="str">
        <f>IF($A135&gt;BJ$79,"",IF(T&lt;=BJ$11,"",100*h*MAX((EXP(IRTree!BJ69*h)-1)/h -$D$6,0)))</f>
        <v/>
      </c>
    </row>
    <row r="136" spans="1:62">
      <c r="A136" s="22">
        <f t="shared" si="5"/>
        <v>56</v>
      </c>
      <c r="B136" t="str">
        <f>IF($A136&gt;B$79,"",IF(T&lt;=B$11,"",100*h*MAX((EXP(IRTree!B70*h)-1)/h -$D$6,0)))</f>
        <v/>
      </c>
      <c r="C136" t="str">
        <f>IF($A136&gt;C$79,"",IF(T&lt;=C$11,"",100*h*MAX((EXP(IRTree!C70*h)-1)/h -$D$6,0)))</f>
        <v/>
      </c>
      <c r="D136" t="str">
        <f>IF($A136&gt;D$79,"",IF(T&lt;=D$11,"",100*h*MAX((EXP(IRTree!D70*h)-1)/h -$D$6,0)))</f>
        <v/>
      </c>
      <c r="E136" t="str">
        <f>IF($A136&gt;E$79,"",IF(T&lt;=E$11,"",100*h*MAX((EXP(IRTree!E70*h)-1)/h -$D$6,0)))</f>
        <v/>
      </c>
      <c r="F136" t="str">
        <f>IF($A136&gt;F$79,"",IF(T&lt;=F$11,"",100*h*MAX((EXP(IRTree!F70*h)-1)/h -$D$6,0)))</f>
        <v/>
      </c>
      <c r="G136" t="str">
        <f>IF($A136&gt;G$79,"",IF(T&lt;=G$11,"",100*h*MAX((EXP(IRTree!G70*h)-1)/h -$D$6,0)))</f>
        <v/>
      </c>
      <c r="H136" t="str">
        <f>IF($A136&gt;H$79,"",IF(T&lt;=H$11,"",100*h*MAX((EXP(IRTree!H70*h)-1)/h -$D$6,0)))</f>
        <v/>
      </c>
      <c r="I136" t="str">
        <f>IF($A136&gt;I$79,"",IF(T&lt;=I$11,"",100*h*MAX((EXP(IRTree!I70*h)-1)/h -$D$6,0)))</f>
        <v/>
      </c>
      <c r="J136" t="str">
        <f>IF($A136&gt;J$79,"",IF(T&lt;=J$11,"",100*h*MAX((EXP(IRTree!J70*h)-1)/h -$D$6,0)))</f>
        <v/>
      </c>
      <c r="K136" t="str">
        <f>IF($A136&gt;K$79,"",IF(T&lt;=K$11,"",100*h*MAX((EXP(IRTree!K70*h)-1)/h -$D$6,0)))</f>
        <v/>
      </c>
      <c r="L136" t="str">
        <f>IF($A136&gt;L$79,"",IF(T&lt;=L$11,"",100*h*MAX((EXP(IRTree!L70*h)-1)/h -$D$6,0)))</f>
        <v/>
      </c>
      <c r="M136" t="str">
        <f>IF($A136&gt;M$79,"",IF(T&lt;=M$11,"",100*h*MAX((EXP(IRTree!M70*h)-1)/h -$D$6,0)))</f>
        <v/>
      </c>
      <c r="N136" t="str">
        <f>IF($A136&gt;N$79,"",IF(T&lt;=N$11,"",100*h*MAX((EXP(IRTree!N70*h)-1)/h -$D$6,0)))</f>
        <v/>
      </c>
      <c r="O136" t="str">
        <f>IF($A136&gt;O$79,"",IF(T&lt;=O$11,"",100*h*MAX((EXP(IRTree!O70*h)-1)/h -$D$6,0)))</f>
        <v/>
      </c>
      <c r="P136" t="str">
        <f>IF($A136&gt;P$79,"",IF(T&lt;=P$11,"",100*h*MAX((EXP(IRTree!P70*h)-1)/h -$D$6,0)))</f>
        <v/>
      </c>
      <c r="Q136" t="str">
        <f>IF($A136&gt;Q$79,"",IF(T&lt;=Q$11,"",100*h*MAX((EXP(IRTree!Q70*h)-1)/h -$D$6,0)))</f>
        <v/>
      </c>
      <c r="R136" t="str">
        <f>IF($A136&gt;R$79,"",IF(T&lt;=R$11,"",100*h*MAX((EXP(IRTree!R70*h)-1)/h -$D$6,0)))</f>
        <v/>
      </c>
      <c r="S136" t="str">
        <f>IF($A136&gt;S$79,"",IF(T&lt;=S$11,"",100*h*MAX((EXP(IRTree!S70*h)-1)/h -$D$6,0)))</f>
        <v/>
      </c>
      <c r="T136" t="str">
        <f>IF($A136&gt;T$79,"",IF(T&lt;=T$11,"",100*h*MAX((EXP(IRTree!T70*h)-1)/h -$D$6,0)))</f>
        <v/>
      </c>
      <c r="U136" t="str">
        <f>IF($A136&gt;U$79,"",IF(T&lt;=U$11,"",100*h*MAX((EXP(IRTree!U70*h)-1)/h -$D$6,0)))</f>
        <v/>
      </c>
      <c r="V136" t="str">
        <f>IF($A136&gt;V$79,"",IF(T&lt;=V$11,"",100*h*MAX((EXP(IRTree!V70*h)-1)/h -$D$6,0)))</f>
        <v/>
      </c>
      <c r="W136" t="str">
        <f>IF($A136&gt;W$79,"",IF(T&lt;=W$11,"",100*h*MAX((EXP(IRTree!W70*h)-1)/h -$D$6,0)))</f>
        <v/>
      </c>
      <c r="X136" t="str">
        <f>IF($A136&gt;X$79,"",IF(T&lt;=X$11,"",100*h*MAX((EXP(IRTree!X70*h)-1)/h -$D$6,0)))</f>
        <v/>
      </c>
      <c r="Y136" t="str">
        <f>IF($A136&gt;Y$79,"",IF(T&lt;=Y$11,"",100*h*MAX((EXP(IRTree!Y70*h)-1)/h -$D$6,0)))</f>
        <v/>
      </c>
      <c r="Z136" t="str">
        <f>IF($A136&gt;Z$79,"",IF(T&lt;=Z$11,"",100*h*MAX((EXP(IRTree!Z70*h)-1)/h -$D$6,0)))</f>
        <v/>
      </c>
      <c r="AA136" t="str">
        <f>IF($A136&gt;AA$79,"",IF(T&lt;=AA$11,"",100*h*MAX((EXP(IRTree!AA70*h)-1)/h -$D$6,0)))</f>
        <v/>
      </c>
      <c r="AB136" t="str">
        <f>IF($A136&gt;AB$79,"",IF(T&lt;=AB$11,"",100*h*MAX((EXP(IRTree!AB70*h)-1)/h -$D$6,0)))</f>
        <v/>
      </c>
      <c r="AC136" t="str">
        <f>IF($A136&gt;AC$79,"",IF(T&lt;=AC$11,"",100*h*MAX((EXP(IRTree!AC70*h)-1)/h -$D$6,0)))</f>
        <v/>
      </c>
      <c r="AD136" t="str">
        <f>IF($A136&gt;AD$79,"",IF(T&lt;=AD$11,"",100*h*MAX((EXP(IRTree!AD70*h)-1)/h -$D$6,0)))</f>
        <v/>
      </c>
      <c r="AE136" t="str">
        <f>IF($A136&gt;AE$79,"",IF(T&lt;=AE$11,"",100*h*MAX((EXP(IRTree!AE70*h)-1)/h -$D$6,0)))</f>
        <v/>
      </c>
      <c r="AF136" t="str">
        <f>IF($A136&gt;AF$79,"",IF(T&lt;=AF$11,"",100*h*MAX((EXP(IRTree!AF70*h)-1)/h -$D$6,0)))</f>
        <v/>
      </c>
      <c r="AG136" t="str">
        <f>IF($A136&gt;AG$79,"",IF(T&lt;=AG$11,"",100*h*MAX((EXP(IRTree!AG70*h)-1)/h -$D$6,0)))</f>
        <v/>
      </c>
      <c r="AH136" t="str">
        <f>IF($A136&gt;AH$79,"",IF(T&lt;=AH$11,"",100*h*MAX((EXP(IRTree!AH70*h)-1)/h -$D$6,0)))</f>
        <v/>
      </c>
      <c r="AI136" t="str">
        <f>IF($A136&gt;AI$79,"",IF(T&lt;=AI$11,"",100*h*MAX((EXP(IRTree!AI70*h)-1)/h -$D$6,0)))</f>
        <v/>
      </c>
      <c r="AJ136" t="str">
        <f>IF($A136&gt;AJ$79,"",IF(T&lt;=AJ$11,"",100*h*MAX((EXP(IRTree!AJ70*h)-1)/h -$D$6,0)))</f>
        <v/>
      </c>
      <c r="AK136" t="str">
        <f>IF($A136&gt;AK$79,"",IF(T&lt;=AK$11,"",100*h*MAX((EXP(IRTree!AK70*h)-1)/h -$D$6,0)))</f>
        <v/>
      </c>
      <c r="AL136" t="str">
        <f>IF($A136&gt;AL$79,"",IF(T&lt;=AL$11,"",100*h*MAX((EXP(IRTree!AL70*h)-1)/h -$D$6,0)))</f>
        <v/>
      </c>
      <c r="AM136" t="str">
        <f>IF($A136&gt;AM$79,"",IF(T&lt;=AM$11,"",100*h*MAX((EXP(IRTree!AM70*h)-1)/h -$D$6,0)))</f>
        <v/>
      </c>
      <c r="AN136" t="str">
        <f>IF($A136&gt;AN$79,"",IF(T&lt;=AN$11,"",100*h*MAX((EXP(IRTree!AN70*h)-1)/h -$D$6,0)))</f>
        <v/>
      </c>
      <c r="AO136" t="str">
        <f>IF($A136&gt;AO$79,"",IF(T&lt;=AO$11,"",100*h*MAX((EXP(IRTree!AO70*h)-1)/h -$D$6,0)))</f>
        <v/>
      </c>
      <c r="AP136" t="str">
        <f>IF($A136&gt;AP$79,"",IF(T&lt;=AP$11,"",100*h*MAX((EXP(IRTree!AP70*h)-1)/h -$D$6,0)))</f>
        <v/>
      </c>
      <c r="AQ136" t="str">
        <f>IF($A136&gt;AQ$79,"",IF(T&lt;=AQ$11,"",100*h*MAX((EXP(IRTree!AQ70*h)-1)/h -$D$6,0)))</f>
        <v/>
      </c>
      <c r="AR136" t="str">
        <f>IF($A136&gt;AR$79,"",IF(T&lt;=AR$11,"",100*h*MAX((EXP(IRTree!AR70*h)-1)/h -$D$6,0)))</f>
        <v/>
      </c>
      <c r="AS136" t="str">
        <f>IF($A136&gt;AS$79,"",IF(T&lt;=AS$11,"",100*h*MAX((EXP(IRTree!AS70*h)-1)/h -$D$6,0)))</f>
        <v/>
      </c>
      <c r="AT136" t="str">
        <f>IF($A136&gt;AT$79,"",IF(T&lt;=AT$11,"",100*h*MAX((EXP(IRTree!AT70*h)-1)/h -$D$6,0)))</f>
        <v/>
      </c>
      <c r="AU136" t="str">
        <f>IF($A136&gt;AU$79,"",IF(T&lt;=AU$11,"",100*h*MAX((EXP(IRTree!AU70*h)-1)/h -$D$6,0)))</f>
        <v/>
      </c>
      <c r="AV136" t="str">
        <f>IF($A136&gt;AV$79,"",IF(T&lt;=AV$11,"",100*h*MAX((EXP(IRTree!AV70*h)-1)/h -$D$6,0)))</f>
        <v/>
      </c>
      <c r="AW136" t="str">
        <f>IF($A136&gt;AW$79,"",IF(T&lt;=AW$11,"",100*h*MAX((EXP(IRTree!AW70*h)-1)/h -$D$6,0)))</f>
        <v/>
      </c>
      <c r="AX136" t="str">
        <f>IF($A136&gt;AX$79,"",IF(T&lt;=AX$11,"",100*h*MAX((EXP(IRTree!AX70*h)-1)/h -$D$6,0)))</f>
        <v/>
      </c>
      <c r="AY136" t="str">
        <f>IF($A136&gt;AY$79,"",IF(T&lt;=AY$11,"",100*h*MAX((EXP(IRTree!AY70*h)-1)/h -$D$6,0)))</f>
        <v/>
      </c>
      <c r="AZ136" t="str">
        <f>IF($A136&gt;AZ$79,"",IF(T&lt;=AZ$11,"",100*h*MAX((EXP(IRTree!AZ70*h)-1)/h -$D$6,0)))</f>
        <v/>
      </c>
      <c r="BA136" t="str">
        <f>IF($A136&gt;BA$79,"",IF(T&lt;=BA$11,"",100*h*MAX((EXP(IRTree!BA70*h)-1)/h -$D$6,0)))</f>
        <v/>
      </c>
      <c r="BB136" t="str">
        <f>IF($A136&gt;BB$79,"",IF(T&lt;=BB$11,"",100*h*MAX((EXP(IRTree!BB70*h)-1)/h -$D$6,0)))</f>
        <v/>
      </c>
      <c r="BC136" t="str">
        <f>IF($A136&gt;BC$79,"",IF(T&lt;=BC$11,"",100*h*MAX((EXP(IRTree!BC70*h)-1)/h -$D$6,0)))</f>
        <v/>
      </c>
      <c r="BD136" t="str">
        <f>IF($A136&gt;BD$79,"",IF(T&lt;=BD$11,"",100*h*MAX((EXP(IRTree!BD70*h)-1)/h -$D$6,0)))</f>
        <v/>
      </c>
      <c r="BE136" t="str">
        <f>IF($A136&gt;BE$79,"",IF(T&lt;=BE$11,"",100*h*MAX((EXP(IRTree!BE70*h)-1)/h -$D$6,0)))</f>
        <v/>
      </c>
      <c r="BF136" t="str">
        <f>IF($A136&gt;BF$79,"",IF(T&lt;=BF$11,"",100*h*MAX((EXP(IRTree!BF70*h)-1)/h -$D$6,0)))</f>
        <v/>
      </c>
      <c r="BG136" t="str">
        <f>IF($A136&gt;BG$79,"",IF(T&lt;=BG$11,"",100*h*MAX((EXP(IRTree!BG70*h)-1)/h -$D$6,0)))</f>
        <v/>
      </c>
      <c r="BH136" t="str">
        <f>IF($A136&gt;BH$79,"",IF(T&lt;=BH$11,"",100*h*MAX((EXP(IRTree!BH70*h)-1)/h -$D$6,0)))</f>
        <v/>
      </c>
      <c r="BI136" t="str">
        <f>IF($A136&gt;BI$79,"",IF(T&lt;=BI$11,"",100*h*MAX((EXP(IRTree!BI70*h)-1)/h -$D$6,0)))</f>
        <v/>
      </c>
      <c r="BJ136" t="str">
        <f>IF($A136&gt;BJ$79,"",IF(T&lt;=BJ$11,"",100*h*MAX((EXP(IRTree!BJ70*h)-1)/h -$D$6,0)))</f>
        <v/>
      </c>
    </row>
    <row r="137" spans="1:62">
      <c r="A137" s="22">
        <f t="shared" si="5"/>
        <v>57</v>
      </c>
      <c r="B137" t="str">
        <f>IF($A137&gt;B$79,"",IF(T&lt;=B$11,"",100*h*MAX((EXP(IRTree!B71*h)-1)/h -$D$6,0)))</f>
        <v/>
      </c>
      <c r="C137" t="str">
        <f>IF($A137&gt;C$79,"",IF(T&lt;=C$11,"",100*h*MAX((EXP(IRTree!C71*h)-1)/h -$D$6,0)))</f>
        <v/>
      </c>
      <c r="D137" t="str">
        <f>IF($A137&gt;D$79,"",IF(T&lt;=D$11,"",100*h*MAX((EXP(IRTree!D71*h)-1)/h -$D$6,0)))</f>
        <v/>
      </c>
      <c r="E137" t="str">
        <f>IF($A137&gt;E$79,"",IF(T&lt;=E$11,"",100*h*MAX((EXP(IRTree!E71*h)-1)/h -$D$6,0)))</f>
        <v/>
      </c>
      <c r="F137" t="str">
        <f>IF($A137&gt;F$79,"",IF(T&lt;=F$11,"",100*h*MAX((EXP(IRTree!F71*h)-1)/h -$D$6,0)))</f>
        <v/>
      </c>
      <c r="G137" t="str">
        <f>IF($A137&gt;G$79,"",IF(T&lt;=G$11,"",100*h*MAX((EXP(IRTree!G71*h)-1)/h -$D$6,0)))</f>
        <v/>
      </c>
      <c r="H137" t="str">
        <f>IF($A137&gt;H$79,"",IF(T&lt;=H$11,"",100*h*MAX((EXP(IRTree!H71*h)-1)/h -$D$6,0)))</f>
        <v/>
      </c>
      <c r="I137" t="str">
        <f>IF($A137&gt;I$79,"",IF(T&lt;=I$11,"",100*h*MAX((EXP(IRTree!I71*h)-1)/h -$D$6,0)))</f>
        <v/>
      </c>
      <c r="J137" t="str">
        <f>IF($A137&gt;J$79,"",IF(T&lt;=J$11,"",100*h*MAX((EXP(IRTree!J71*h)-1)/h -$D$6,0)))</f>
        <v/>
      </c>
      <c r="K137" t="str">
        <f>IF($A137&gt;K$79,"",IF(T&lt;=K$11,"",100*h*MAX((EXP(IRTree!K71*h)-1)/h -$D$6,0)))</f>
        <v/>
      </c>
      <c r="L137" t="str">
        <f>IF($A137&gt;L$79,"",IF(T&lt;=L$11,"",100*h*MAX((EXP(IRTree!L71*h)-1)/h -$D$6,0)))</f>
        <v/>
      </c>
      <c r="M137" t="str">
        <f>IF($A137&gt;M$79,"",IF(T&lt;=M$11,"",100*h*MAX((EXP(IRTree!M71*h)-1)/h -$D$6,0)))</f>
        <v/>
      </c>
      <c r="N137" t="str">
        <f>IF($A137&gt;N$79,"",IF(T&lt;=N$11,"",100*h*MAX((EXP(IRTree!N71*h)-1)/h -$D$6,0)))</f>
        <v/>
      </c>
      <c r="O137" t="str">
        <f>IF($A137&gt;O$79,"",IF(T&lt;=O$11,"",100*h*MAX((EXP(IRTree!O71*h)-1)/h -$D$6,0)))</f>
        <v/>
      </c>
      <c r="P137" t="str">
        <f>IF($A137&gt;P$79,"",IF(T&lt;=P$11,"",100*h*MAX((EXP(IRTree!P71*h)-1)/h -$D$6,0)))</f>
        <v/>
      </c>
      <c r="Q137" t="str">
        <f>IF($A137&gt;Q$79,"",IF(T&lt;=Q$11,"",100*h*MAX((EXP(IRTree!Q71*h)-1)/h -$D$6,0)))</f>
        <v/>
      </c>
      <c r="R137" t="str">
        <f>IF($A137&gt;R$79,"",IF(T&lt;=R$11,"",100*h*MAX((EXP(IRTree!R71*h)-1)/h -$D$6,0)))</f>
        <v/>
      </c>
      <c r="S137" t="str">
        <f>IF($A137&gt;S$79,"",IF(T&lt;=S$11,"",100*h*MAX((EXP(IRTree!S71*h)-1)/h -$D$6,0)))</f>
        <v/>
      </c>
      <c r="T137" t="str">
        <f>IF($A137&gt;T$79,"",IF(T&lt;=T$11,"",100*h*MAX((EXP(IRTree!T71*h)-1)/h -$D$6,0)))</f>
        <v/>
      </c>
      <c r="U137" t="str">
        <f>IF($A137&gt;U$79,"",IF(T&lt;=U$11,"",100*h*MAX((EXP(IRTree!U71*h)-1)/h -$D$6,0)))</f>
        <v/>
      </c>
      <c r="V137" t="str">
        <f>IF($A137&gt;V$79,"",IF(T&lt;=V$11,"",100*h*MAX((EXP(IRTree!V71*h)-1)/h -$D$6,0)))</f>
        <v/>
      </c>
      <c r="W137" t="str">
        <f>IF($A137&gt;W$79,"",IF(T&lt;=W$11,"",100*h*MAX((EXP(IRTree!W71*h)-1)/h -$D$6,0)))</f>
        <v/>
      </c>
      <c r="X137" t="str">
        <f>IF($A137&gt;X$79,"",IF(T&lt;=X$11,"",100*h*MAX((EXP(IRTree!X71*h)-1)/h -$D$6,0)))</f>
        <v/>
      </c>
      <c r="Y137" t="str">
        <f>IF($A137&gt;Y$79,"",IF(T&lt;=Y$11,"",100*h*MAX((EXP(IRTree!Y71*h)-1)/h -$D$6,0)))</f>
        <v/>
      </c>
      <c r="Z137" t="str">
        <f>IF($A137&gt;Z$79,"",IF(T&lt;=Z$11,"",100*h*MAX((EXP(IRTree!Z71*h)-1)/h -$D$6,0)))</f>
        <v/>
      </c>
      <c r="AA137" t="str">
        <f>IF($A137&gt;AA$79,"",IF(T&lt;=AA$11,"",100*h*MAX((EXP(IRTree!AA71*h)-1)/h -$D$6,0)))</f>
        <v/>
      </c>
      <c r="AB137" t="str">
        <f>IF($A137&gt;AB$79,"",IF(T&lt;=AB$11,"",100*h*MAX((EXP(IRTree!AB71*h)-1)/h -$D$6,0)))</f>
        <v/>
      </c>
      <c r="AC137" t="str">
        <f>IF($A137&gt;AC$79,"",IF(T&lt;=AC$11,"",100*h*MAX((EXP(IRTree!AC71*h)-1)/h -$D$6,0)))</f>
        <v/>
      </c>
      <c r="AD137" t="str">
        <f>IF($A137&gt;AD$79,"",IF(T&lt;=AD$11,"",100*h*MAX((EXP(IRTree!AD71*h)-1)/h -$D$6,0)))</f>
        <v/>
      </c>
      <c r="AE137" t="str">
        <f>IF($A137&gt;AE$79,"",IF(T&lt;=AE$11,"",100*h*MAX((EXP(IRTree!AE71*h)-1)/h -$D$6,0)))</f>
        <v/>
      </c>
      <c r="AF137" t="str">
        <f>IF($A137&gt;AF$79,"",IF(T&lt;=AF$11,"",100*h*MAX((EXP(IRTree!AF71*h)-1)/h -$D$6,0)))</f>
        <v/>
      </c>
      <c r="AG137" t="str">
        <f>IF($A137&gt;AG$79,"",IF(T&lt;=AG$11,"",100*h*MAX((EXP(IRTree!AG71*h)-1)/h -$D$6,0)))</f>
        <v/>
      </c>
      <c r="AH137" t="str">
        <f>IF($A137&gt;AH$79,"",IF(T&lt;=AH$11,"",100*h*MAX((EXP(IRTree!AH71*h)-1)/h -$D$6,0)))</f>
        <v/>
      </c>
      <c r="AI137" t="str">
        <f>IF($A137&gt;AI$79,"",IF(T&lt;=AI$11,"",100*h*MAX((EXP(IRTree!AI71*h)-1)/h -$D$6,0)))</f>
        <v/>
      </c>
      <c r="AJ137" t="str">
        <f>IF($A137&gt;AJ$79,"",IF(T&lt;=AJ$11,"",100*h*MAX((EXP(IRTree!AJ71*h)-1)/h -$D$6,0)))</f>
        <v/>
      </c>
      <c r="AK137" t="str">
        <f>IF($A137&gt;AK$79,"",IF(T&lt;=AK$11,"",100*h*MAX((EXP(IRTree!AK71*h)-1)/h -$D$6,0)))</f>
        <v/>
      </c>
      <c r="AL137" t="str">
        <f>IF($A137&gt;AL$79,"",IF(T&lt;=AL$11,"",100*h*MAX((EXP(IRTree!AL71*h)-1)/h -$D$6,0)))</f>
        <v/>
      </c>
      <c r="AM137" t="str">
        <f>IF($A137&gt;AM$79,"",IF(T&lt;=AM$11,"",100*h*MAX((EXP(IRTree!AM71*h)-1)/h -$D$6,0)))</f>
        <v/>
      </c>
      <c r="AN137" t="str">
        <f>IF($A137&gt;AN$79,"",IF(T&lt;=AN$11,"",100*h*MAX((EXP(IRTree!AN71*h)-1)/h -$D$6,0)))</f>
        <v/>
      </c>
      <c r="AO137" t="str">
        <f>IF($A137&gt;AO$79,"",IF(T&lt;=AO$11,"",100*h*MAX((EXP(IRTree!AO71*h)-1)/h -$D$6,0)))</f>
        <v/>
      </c>
      <c r="AP137" t="str">
        <f>IF($A137&gt;AP$79,"",IF(T&lt;=AP$11,"",100*h*MAX((EXP(IRTree!AP71*h)-1)/h -$D$6,0)))</f>
        <v/>
      </c>
      <c r="AQ137" t="str">
        <f>IF($A137&gt;AQ$79,"",IF(T&lt;=AQ$11,"",100*h*MAX((EXP(IRTree!AQ71*h)-1)/h -$D$6,0)))</f>
        <v/>
      </c>
      <c r="AR137" t="str">
        <f>IF($A137&gt;AR$79,"",IF(T&lt;=AR$11,"",100*h*MAX((EXP(IRTree!AR71*h)-1)/h -$D$6,0)))</f>
        <v/>
      </c>
      <c r="AS137" t="str">
        <f>IF($A137&gt;AS$79,"",IF(T&lt;=AS$11,"",100*h*MAX((EXP(IRTree!AS71*h)-1)/h -$D$6,0)))</f>
        <v/>
      </c>
      <c r="AT137" t="str">
        <f>IF($A137&gt;AT$79,"",IF(T&lt;=AT$11,"",100*h*MAX((EXP(IRTree!AT71*h)-1)/h -$D$6,0)))</f>
        <v/>
      </c>
      <c r="AU137" t="str">
        <f>IF($A137&gt;AU$79,"",IF(T&lt;=AU$11,"",100*h*MAX((EXP(IRTree!AU71*h)-1)/h -$D$6,0)))</f>
        <v/>
      </c>
      <c r="AV137" t="str">
        <f>IF($A137&gt;AV$79,"",IF(T&lt;=AV$11,"",100*h*MAX((EXP(IRTree!AV71*h)-1)/h -$D$6,0)))</f>
        <v/>
      </c>
      <c r="AW137" t="str">
        <f>IF($A137&gt;AW$79,"",IF(T&lt;=AW$11,"",100*h*MAX((EXP(IRTree!AW71*h)-1)/h -$D$6,0)))</f>
        <v/>
      </c>
      <c r="AX137" t="str">
        <f>IF($A137&gt;AX$79,"",IF(T&lt;=AX$11,"",100*h*MAX((EXP(IRTree!AX71*h)-1)/h -$D$6,0)))</f>
        <v/>
      </c>
      <c r="AY137" t="str">
        <f>IF($A137&gt;AY$79,"",IF(T&lt;=AY$11,"",100*h*MAX((EXP(IRTree!AY71*h)-1)/h -$D$6,0)))</f>
        <v/>
      </c>
      <c r="AZ137" t="str">
        <f>IF($A137&gt;AZ$79,"",IF(T&lt;=AZ$11,"",100*h*MAX((EXP(IRTree!AZ71*h)-1)/h -$D$6,0)))</f>
        <v/>
      </c>
      <c r="BA137" t="str">
        <f>IF($A137&gt;BA$79,"",IF(T&lt;=BA$11,"",100*h*MAX((EXP(IRTree!BA71*h)-1)/h -$D$6,0)))</f>
        <v/>
      </c>
      <c r="BB137" t="str">
        <f>IF($A137&gt;BB$79,"",IF(T&lt;=BB$11,"",100*h*MAX((EXP(IRTree!BB71*h)-1)/h -$D$6,0)))</f>
        <v/>
      </c>
      <c r="BC137" t="str">
        <f>IF($A137&gt;BC$79,"",IF(T&lt;=BC$11,"",100*h*MAX((EXP(IRTree!BC71*h)-1)/h -$D$6,0)))</f>
        <v/>
      </c>
      <c r="BD137" t="str">
        <f>IF($A137&gt;BD$79,"",IF(T&lt;=BD$11,"",100*h*MAX((EXP(IRTree!BD71*h)-1)/h -$D$6,0)))</f>
        <v/>
      </c>
      <c r="BE137" t="str">
        <f>IF($A137&gt;BE$79,"",IF(T&lt;=BE$11,"",100*h*MAX((EXP(IRTree!BE71*h)-1)/h -$D$6,0)))</f>
        <v/>
      </c>
      <c r="BF137" t="str">
        <f>IF($A137&gt;BF$79,"",IF(T&lt;=BF$11,"",100*h*MAX((EXP(IRTree!BF71*h)-1)/h -$D$6,0)))</f>
        <v/>
      </c>
      <c r="BG137" t="str">
        <f>IF($A137&gt;BG$79,"",IF(T&lt;=BG$11,"",100*h*MAX((EXP(IRTree!BG71*h)-1)/h -$D$6,0)))</f>
        <v/>
      </c>
      <c r="BH137" t="str">
        <f>IF($A137&gt;BH$79,"",IF(T&lt;=BH$11,"",100*h*MAX((EXP(IRTree!BH71*h)-1)/h -$D$6,0)))</f>
        <v/>
      </c>
      <c r="BI137" t="str">
        <f>IF($A137&gt;BI$79,"",IF(T&lt;=BI$11,"",100*h*MAX((EXP(IRTree!BI71*h)-1)/h -$D$6,0)))</f>
        <v/>
      </c>
      <c r="BJ137" t="str">
        <f>IF($A137&gt;BJ$79,"",IF(T&lt;=BJ$11,"",100*h*MAX((EXP(IRTree!BJ71*h)-1)/h -$D$6,0)))</f>
        <v/>
      </c>
    </row>
    <row r="138" spans="1:62">
      <c r="A138" s="22">
        <f t="shared" si="5"/>
        <v>58</v>
      </c>
      <c r="B138" t="str">
        <f>IF($A138&gt;B$79,"",IF(T&lt;=B$11,"",100*h*MAX((EXP(IRTree!B72*h)-1)/h -$D$6,0)))</f>
        <v/>
      </c>
      <c r="C138" t="str">
        <f>IF($A138&gt;C$79,"",IF(T&lt;=C$11,"",100*h*MAX((EXP(IRTree!C72*h)-1)/h -$D$6,0)))</f>
        <v/>
      </c>
      <c r="D138" t="str">
        <f>IF($A138&gt;D$79,"",IF(T&lt;=D$11,"",100*h*MAX((EXP(IRTree!D72*h)-1)/h -$D$6,0)))</f>
        <v/>
      </c>
      <c r="E138" t="str">
        <f>IF($A138&gt;E$79,"",IF(T&lt;=E$11,"",100*h*MAX((EXP(IRTree!E72*h)-1)/h -$D$6,0)))</f>
        <v/>
      </c>
      <c r="F138" t="str">
        <f>IF($A138&gt;F$79,"",IF(T&lt;=F$11,"",100*h*MAX((EXP(IRTree!F72*h)-1)/h -$D$6,0)))</f>
        <v/>
      </c>
      <c r="G138" t="str">
        <f>IF($A138&gt;G$79,"",IF(T&lt;=G$11,"",100*h*MAX((EXP(IRTree!G72*h)-1)/h -$D$6,0)))</f>
        <v/>
      </c>
      <c r="H138" t="str">
        <f>IF($A138&gt;H$79,"",IF(T&lt;=H$11,"",100*h*MAX((EXP(IRTree!H72*h)-1)/h -$D$6,0)))</f>
        <v/>
      </c>
      <c r="I138" t="str">
        <f>IF($A138&gt;I$79,"",IF(T&lt;=I$11,"",100*h*MAX((EXP(IRTree!I72*h)-1)/h -$D$6,0)))</f>
        <v/>
      </c>
      <c r="J138" t="str">
        <f>IF($A138&gt;J$79,"",IF(T&lt;=J$11,"",100*h*MAX((EXP(IRTree!J72*h)-1)/h -$D$6,0)))</f>
        <v/>
      </c>
      <c r="K138" t="str">
        <f>IF($A138&gt;K$79,"",IF(T&lt;=K$11,"",100*h*MAX((EXP(IRTree!K72*h)-1)/h -$D$6,0)))</f>
        <v/>
      </c>
      <c r="L138" t="str">
        <f>IF($A138&gt;L$79,"",IF(T&lt;=L$11,"",100*h*MAX((EXP(IRTree!L72*h)-1)/h -$D$6,0)))</f>
        <v/>
      </c>
      <c r="M138" t="str">
        <f>IF($A138&gt;M$79,"",IF(T&lt;=M$11,"",100*h*MAX((EXP(IRTree!M72*h)-1)/h -$D$6,0)))</f>
        <v/>
      </c>
      <c r="N138" t="str">
        <f>IF($A138&gt;N$79,"",IF(T&lt;=N$11,"",100*h*MAX((EXP(IRTree!N72*h)-1)/h -$D$6,0)))</f>
        <v/>
      </c>
      <c r="O138" t="str">
        <f>IF($A138&gt;O$79,"",IF(T&lt;=O$11,"",100*h*MAX((EXP(IRTree!O72*h)-1)/h -$D$6,0)))</f>
        <v/>
      </c>
      <c r="P138" t="str">
        <f>IF($A138&gt;P$79,"",IF(T&lt;=P$11,"",100*h*MAX((EXP(IRTree!P72*h)-1)/h -$D$6,0)))</f>
        <v/>
      </c>
      <c r="Q138" t="str">
        <f>IF($A138&gt;Q$79,"",IF(T&lt;=Q$11,"",100*h*MAX((EXP(IRTree!Q72*h)-1)/h -$D$6,0)))</f>
        <v/>
      </c>
      <c r="R138" t="str">
        <f>IF($A138&gt;R$79,"",IF(T&lt;=R$11,"",100*h*MAX((EXP(IRTree!R72*h)-1)/h -$D$6,0)))</f>
        <v/>
      </c>
      <c r="S138" t="str">
        <f>IF($A138&gt;S$79,"",IF(T&lt;=S$11,"",100*h*MAX((EXP(IRTree!S72*h)-1)/h -$D$6,0)))</f>
        <v/>
      </c>
      <c r="T138" t="str">
        <f>IF($A138&gt;T$79,"",IF(T&lt;=T$11,"",100*h*MAX((EXP(IRTree!T72*h)-1)/h -$D$6,0)))</f>
        <v/>
      </c>
      <c r="U138" t="str">
        <f>IF($A138&gt;U$79,"",IF(T&lt;=U$11,"",100*h*MAX((EXP(IRTree!U72*h)-1)/h -$D$6,0)))</f>
        <v/>
      </c>
      <c r="V138" t="str">
        <f>IF($A138&gt;V$79,"",IF(T&lt;=V$11,"",100*h*MAX((EXP(IRTree!V72*h)-1)/h -$D$6,0)))</f>
        <v/>
      </c>
      <c r="W138" t="str">
        <f>IF($A138&gt;W$79,"",IF(T&lt;=W$11,"",100*h*MAX((EXP(IRTree!W72*h)-1)/h -$D$6,0)))</f>
        <v/>
      </c>
      <c r="X138" t="str">
        <f>IF($A138&gt;X$79,"",IF(T&lt;=X$11,"",100*h*MAX((EXP(IRTree!X72*h)-1)/h -$D$6,0)))</f>
        <v/>
      </c>
      <c r="Y138" t="str">
        <f>IF($A138&gt;Y$79,"",IF(T&lt;=Y$11,"",100*h*MAX((EXP(IRTree!Y72*h)-1)/h -$D$6,0)))</f>
        <v/>
      </c>
      <c r="Z138" t="str">
        <f>IF($A138&gt;Z$79,"",IF(T&lt;=Z$11,"",100*h*MAX((EXP(IRTree!Z72*h)-1)/h -$D$6,0)))</f>
        <v/>
      </c>
      <c r="AA138" t="str">
        <f>IF($A138&gt;AA$79,"",IF(T&lt;=AA$11,"",100*h*MAX((EXP(IRTree!AA72*h)-1)/h -$D$6,0)))</f>
        <v/>
      </c>
      <c r="AB138" t="str">
        <f>IF($A138&gt;AB$79,"",IF(T&lt;=AB$11,"",100*h*MAX((EXP(IRTree!AB72*h)-1)/h -$D$6,0)))</f>
        <v/>
      </c>
      <c r="AC138" t="str">
        <f>IF($A138&gt;AC$79,"",IF(T&lt;=AC$11,"",100*h*MAX((EXP(IRTree!AC72*h)-1)/h -$D$6,0)))</f>
        <v/>
      </c>
      <c r="AD138" t="str">
        <f>IF($A138&gt;AD$79,"",IF(T&lt;=AD$11,"",100*h*MAX((EXP(IRTree!AD72*h)-1)/h -$D$6,0)))</f>
        <v/>
      </c>
      <c r="AE138" t="str">
        <f>IF($A138&gt;AE$79,"",IF(T&lt;=AE$11,"",100*h*MAX((EXP(IRTree!AE72*h)-1)/h -$D$6,0)))</f>
        <v/>
      </c>
      <c r="AF138" t="str">
        <f>IF($A138&gt;AF$79,"",IF(T&lt;=AF$11,"",100*h*MAX((EXP(IRTree!AF72*h)-1)/h -$D$6,0)))</f>
        <v/>
      </c>
      <c r="AG138" t="str">
        <f>IF($A138&gt;AG$79,"",IF(T&lt;=AG$11,"",100*h*MAX((EXP(IRTree!AG72*h)-1)/h -$D$6,0)))</f>
        <v/>
      </c>
      <c r="AH138" t="str">
        <f>IF($A138&gt;AH$79,"",IF(T&lt;=AH$11,"",100*h*MAX((EXP(IRTree!AH72*h)-1)/h -$D$6,0)))</f>
        <v/>
      </c>
      <c r="AI138" t="str">
        <f>IF($A138&gt;AI$79,"",IF(T&lt;=AI$11,"",100*h*MAX((EXP(IRTree!AI72*h)-1)/h -$D$6,0)))</f>
        <v/>
      </c>
      <c r="AJ138" t="str">
        <f>IF($A138&gt;AJ$79,"",IF(T&lt;=AJ$11,"",100*h*MAX((EXP(IRTree!AJ72*h)-1)/h -$D$6,0)))</f>
        <v/>
      </c>
      <c r="AK138" t="str">
        <f>IF($A138&gt;AK$79,"",IF(T&lt;=AK$11,"",100*h*MAX((EXP(IRTree!AK72*h)-1)/h -$D$6,0)))</f>
        <v/>
      </c>
      <c r="AL138" t="str">
        <f>IF($A138&gt;AL$79,"",IF(T&lt;=AL$11,"",100*h*MAX((EXP(IRTree!AL72*h)-1)/h -$D$6,0)))</f>
        <v/>
      </c>
      <c r="AM138" t="str">
        <f>IF($A138&gt;AM$79,"",IF(T&lt;=AM$11,"",100*h*MAX((EXP(IRTree!AM72*h)-1)/h -$D$6,0)))</f>
        <v/>
      </c>
      <c r="AN138" t="str">
        <f>IF($A138&gt;AN$79,"",IF(T&lt;=AN$11,"",100*h*MAX((EXP(IRTree!AN72*h)-1)/h -$D$6,0)))</f>
        <v/>
      </c>
      <c r="AO138" t="str">
        <f>IF($A138&gt;AO$79,"",IF(T&lt;=AO$11,"",100*h*MAX((EXP(IRTree!AO72*h)-1)/h -$D$6,0)))</f>
        <v/>
      </c>
      <c r="AP138" t="str">
        <f>IF($A138&gt;AP$79,"",IF(T&lt;=AP$11,"",100*h*MAX((EXP(IRTree!AP72*h)-1)/h -$D$6,0)))</f>
        <v/>
      </c>
      <c r="AQ138" t="str">
        <f>IF($A138&gt;AQ$79,"",IF(T&lt;=AQ$11,"",100*h*MAX((EXP(IRTree!AQ72*h)-1)/h -$D$6,0)))</f>
        <v/>
      </c>
      <c r="AR138" t="str">
        <f>IF($A138&gt;AR$79,"",IF(T&lt;=AR$11,"",100*h*MAX((EXP(IRTree!AR72*h)-1)/h -$D$6,0)))</f>
        <v/>
      </c>
      <c r="AS138" t="str">
        <f>IF($A138&gt;AS$79,"",IF(T&lt;=AS$11,"",100*h*MAX((EXP(IRTree!AS72*h)-1)/h -$D$6,0)))</f>
        <v/>
      </c>
      <c r="AT138" t="str">
        <f>IF($A138&gt;AT$79,"",IF(T&lt;=AT$11,"",100*h*MAX((EXP(IRTree!AT72*h)-1)/h -$D$6,0)))</f>
        <v/>
      </c>
      <c r="AU138" t="str">
        <f>IF($A138&gt;AU$79,"",IF(T&lt;=AU$11,"",100*h*MAX((EXP(IRTree!AU72*h)-1)/h -$D$6,0)))</f>
        <v/>
      </c>
      <c r="AV138" t="str">
        <f>IF($A138&gt;AV$79,"",IF(T&lt;=AV$11,"",100*h*MAX((EXP(IRTree!AV72*h)-1)/h -$D$6,0)))</f>
        <v/>
      </c>
      <c r="AW138" t="str">
        <f>IF($A138&gt;AW$79,"",IF(T&lt;=AW$11,"",100*h*MAX((EXP(IRTree!AW72*h)-1)/h -$D$6,0)))</f>
        <v/>
      </c>
      <c r="AX138" t="str">
        <f>IF($A138&gt;AX$79,"",IF(T&lt;=AX$11,"",100*h*MAX((EXP(IRTree!AX72*h)-1)/h -$D$6,0)))</f>
        <v/>
      </c>
      <c r="AY138" t="str">
        <f>IF($A138&gt;AY$79,"",IF(T&lt;=AY$11,"",100*h*MAX((EXP(IRTree!AY72*h)-1)/h -$D$6,0)))</f>
        <v/>
      </c>
      <c r="AZ138" t="str">
        <f>IF($A138&gt;AZ$79,"",IF(T&lt;=AZ$11,"",100*h*MAX((EXP(IRTree!AZ72*h)-1)/h -$D$6,0)))</f>
        <v/>
      </c>
      <c r="BA138" t="str">
        <f>IF($A138&gt;BA$79,"",IF(T&lt;=BA$11,"",100*h*MAX((EXP(IRTree!BA72*h)-1)/h -$D$6,0)))</f>
        <v/>
      </c>
      <c r="BB138" t="str">
        <f>IF($A138&gt;BB$79,"",IF(T&lt;=BB$11,"",100*h*MAX((EXP(IRTree!BB72*h)-1)/h -$D$6,0)))</f>
        <v/>
      </c>
      <c r="BC138" t="str">
        <f>IF($A138&gt;BC$79,"",IF(T&lt;=BC$11,"",100*h*MAX((EXP(IRTree!BC72*h)-1)/h -$D$6,0)))</f>
        <v/>
      </c>
      <c r="BD138" t="str">
        <f>IF($A138&gt;BD$79,"",IF(T&lt;=BD$11,"",100*h*MAX((EXP(IRTree!BD72*h)-1)/h -$D$6,0)))</f>
        <v/>
      </c>
      <c r="BE138" t="str">
        <f>IF($A138&gt;BE$79,"",IF(T&lt;=BE$11,"",100*h*MAX((EXP(IRTree!BE72*h)-1)/h -$D$6,0)))</f>
        <v/>
      </c>
      <c r="BF138" t="str">
        <f>IF($A138&gt;BF$79,"",IF(T&lt;=BF$11,"",100*h*MAX((EXP(IRTree!BF72*h)-1)/h -$D$6,0)))</f>
        <v/>
      </c>
      <c r="BG138" t="str">
        <f>IF($A138&gt;BG$79,"",IF(T&lt;=BG$11,"",100*h*MAX((EXP(IRTree!BG72*h)-1)/h -$D$6,0)))</f>
        <v/>
      </c>
      <c r="BH138" t="str">
        <f>IF($A138&gt;BH$79,"",IF(T&lt;=BH$11,"",100*h*MAX((EXP(IRTree!BH72*h)-1)/h -$D$6,0)))</f>
        <v/>
      </c>
      <c r="BI138" t="str">
        <f>IF($A138&gt;BI$79,"",IF(T&lt;=BI$11,"",100*h*MAX((EXP(IRTree!BI72*h)-1)/h -$D$6,0)))</f>
        <v/>
      </c>
      <c r="BJ138" t="str">
        <f>IF($A138&gt;BJ$79,"",IF(T&lt;=BJ$11,"",100*h*MAX((EXP(IRTree!BJ72*h)-1)/h -$D$6,0)))</f>
        <v/>
      </c>
    </row>
    <row r="139" spans="1:62">
      <c r="A139" s="22">
        <f t="shared" si="5"/>
        <v>59</v>
      </c>
      <c r="B139" t="str">
        <f>IF($A139&gt;B$79,"",IF(T&lt;=B$11,"",100*h*MAX((EXP(IRTree!B73*h)-1)/h -$D$6,0)))</f>
        <v/>
      </c>
      <c r="C139" t="str">
        <f>IF($A139&gt;C$79,"",IF(T&lt;=C$11,"",100*h*MAX((EXP(IRTree!C73*h)-1)/h -$D$6,0)))</f>
        <v/>
      </c>
      <c r="D139" t="str">
        <f>IF($A139&gt;D$79,"",IF(T&lt;=D$11,"",100*h*MAX((EXP(IRTree!D73*h)-1)/h -$D$6,0)))</f>
        <v/>
      </c>
      <c r="E139" t="str">
        <f>IF($A139&gt;E$79,"",IF(T&lt;=E$11,"",100*h*MAX((EXP(IRTree!E73*h)-1)/h -$D$6,0)))</f>
        <v/>
      </c>
      <c r="F139" t="str">
        <f>IF($A139&gt;F$79,"",IF(T&lt;=F$11,"",100*h*MAX((EXP(IRTree!F73*h)-1)/h -$D$6,0)))</f>
        <v/>
      </c>
      <c r="G139" t="str">
        <f>IF($A139&gt;G$79,"",IF(T&lt;=G$11,"",100*h*MAX((EXP(IRTree!G73*h)-1)/h -$D$6,0)))</f>
        <v/>
      </c>
      <c r="H139" t="str">
        <f>IF($A139&gt;H$79,"",IF(T&lt;=H$11,"",100*h*MAX((EXP(IRTree!H73*h)-1)/h -$D$6,0)))</f>
        <v/>
      </c>
      <c r="I139" t="str">
        <f>IF($A139&gt;I$79,"",IF(T&lt;=I$11,"",100*h*MAX((EXP(IRTree!I73*h)-1)/h -$D$6,0)))</f>
        <v/>
      </c>
      <c r="J139" t="str">
        <f>IF($A139&gt;J$79,"",IF(T&lt;=J$11,"",100*h*MAX((EXP(IRTree!J73*h)-1)/h -$D$6,0)))</f>
        <v/>
      </c>
      <c r="K139" t="str">
        <f>IF($A139&gt;K$79,"",IF(T&lt;=K$11,"",100*h*MAX((EXP(IRTree!K73*h)-1)/h -$D$6,0)))</f>
        <v/>
      </c>
      <c r="L139" t="str">
        <f>IF($A139&gt;L$79,"",IF(T&lt;=L$11,"",100*h*MAX((EXP(IRTree!L73*h)-1)/h -$D$6,0)))</f>
        <v/>
      </c>
      <c r="M139" t="str">
        <f>IF($A139&gt;M$79,"",IF(T&lt;=M$11,"",100*h*MAX((EXP(IRTree!M73*h)-1)/h -$D$6,0)))</f>
        <v/>
      </c>
      <c r="N139" t="str">
        <f>IF($A139&gt;N$79,"",IF(T&lt;=N$11,"",100*h*MAX((EXP(IRTree!N73*h)-1)/h -$D$6,0)))</f>
        <v/>
      </c>
      <c r="O139" t="str">
        <f>IF($A139&gt;O$79,"",IF(T&lt;=O$11,"",100*h*MAX((EXP(IRTree!O73*h)-1)/h -$D$6,0)))</f>
        <v/>
      </c>
      <c r="P139" t="str">
        <f>IF($A139&gt;P$79,"",IF(T&lt;=P$11,"",100*h*MAX((EXP(IRTree!P73*h)-1)/h -$D$6,0)))</f>
        <v/>
      </c>
      <c r="Q139" t="str">
        <f>IF($A139&gt;Q$79,"",IF(T&lt;=Q$11,"",100*h*MAX((EXP(IRTree!Q73*h)-1)/h -$D$6,0)))</f>
        <v/>
      </c>
      <c r="R139" t="str">
        <f>IF($A139&gt;R$79,"",IF(T&lt;=R$11,"",100*h*MAX((EXP(IRTree!R73*h)-1)/h -$D$6,0)))</f>
        <v/>
      </c>
      <c r="S139" t="str">
        <f>IF($A139&gt;S$79,"",IF(T&lt;=S$11,"",100*h*MAX((EXP(IRTree!S73*h)-1)/h -$D$6,0)))</f>
        <v/>
      </c>
      <c r="T139" t="str">
        <f>IF($A139&gt;T$79,"",IF(T&lt;=T$11,"",100*h*MAX((EXP(IRTree!T73*h)-1)/h -$D$6,0)))</f>
        <v/>
      </c>
      <c r="U139" t="str">
        <f>IF($A139&gt;U$79,"",IF(T&lt;=U$11,"",100*h*MAX((EXP(IRTree!U73*h)-1)/h -$D$6,0)))</f>
        <v/>
      </c>
      <c r="V139" t="str">
        <f>IF($A139&gt;V$79,"",IF(T&lt;=V$11,"",100*h*MAX((EXP(IRTree!V73*h)-1)/h -$D$6,0)))</f>
        <v/>
      </c>
      <c r="W139" t="str">
        <f>IF($A139&gt;W$79,"",IF(T&lt;=W$11,"",100*h*MAX((EXP(IRTree!W73*h)-1)/h -$D$6,0)))</f>
        <v/>
      </c>
      <c r="X139" t="str">
        <f>IF($A139&gt;X$79,"",IF(T&lt;=X$11,"",100*h*MAX((EXP(IRTree!X73*h)-1)/h -$D$6,0)))</f>
        <v/>
      </c>
      <c r="Y139" t="str">
        <f>IF($A139&gt;Y$79,"",IF(T&lt;=Y$11,"",100*h*MAX((EXP(IRTree!Y73*h)-1)/h -$D$6,0)))</f>
        <v/>
      </c>
      <c r="Z139" t="str">
        <f>IF($A139&gt;Z$79,"",IF(T&lt;=Z$11,"",100*h*MAX((EXP(IRTree!Z73*h)-1)/h -$D$6,0)))</f>
        <v/>
      </c>
      <c r="AA139" t="str">
        <f>IF($A139&gt;AA$79,"",IF(T&lt;=AA$11,"",100*h*MAX((EXP(IRTree!AA73*h)-1)/h -$D$6,0)))</f>
        <v/>
      </c>
      <c r="AB139" t="str">
        <f>IF($A139&gt;AB$79,"",IF(T&lt;=AB$11,"",100*h*MAX((EXP(IRTree!AB73*h)-1)/h -$D$6,0)))</f>
        <v/>
      </c>
      <c r="AC139" t="str">
        <f>IF($A139&gt;AC$79,"",IF(T&lt;=AC$11,"",100*h*MAX((EXP(IRTree!AC73*h)-1)/h -$D$6,0)))</f>
        <v/>
      </c>
      <c r="AD139" t="str">
        <f>IF($A139&gt;AD$79,"",IF(T&lt;=AD$11,"",100*h*MAX((EXP(IRTree!AD73*h)-1)/h -$D$6,0)))</f>
        <v/>
      </c>
      <c r="AE139" t="str">
        <f>IF($A139&gt;AE$79,"",IF(T&lt;=AE$11,"",100*h*MAX((EXP(IRTree!AE73*h)-1)/h -$D$6,0)))</f>
        <v/>
      </c>
      <c r="AF139" t="str">
        <f>IF($A139&gt;AF$79,"",IF(T&lt;=AF$11,"",100*h*MAX((EXP(IRTree!AF73*h)-1)/h -$D$6,0)))</f>
        <v/>
      </c>
      <c r="AG139" t="str">
        <f>IF($A139&gt;AG$79,"",IF(T&lt;=AG$11,"",100*h*MAX((EXP(IRTree!AG73*h)-1)/h -$D$6,0)))</f>
        <v/>
      </c>
      <c r="AH139" t="str">
        <f>IF($A139&gt;AH$79,"",IF(T&lt;=AH$11,"",100*h*MAX((EXP(IRTree!AH73*h)-1)/h -$D$6,0)))</f>
        <v/>
      </c>
      <c r="AI139" t="str">
        <f>IF($A139&gt;AI$79,"",IF(T&lt;=AI$11,"",100*h*MAX((EXP(IRTree!AI73*h)-1)/h -$D$6,0)))</f>
        <v/>
      </c>
      <c r="AJ139" t="str">
        <f>IF($A139&gt;AJ$79,"",IF(T&lt;=AJ$11,"",100*h*MAX((EXP(IRTree!AJ73*h)-1)/h -$D$6,0)))</f>
        <v/>
      </c>
      <c r="AK139" t="str">
        <f>IF($A139&gt;AK$79,"",IF(T&lt;=AK$11,"",100*h*MAX((EXP(IRTree!AK73*h)-1)/h -$D$6,0)))</f>
        <v/>
      </c>
      <c r="AL139" t="str">
        <f>IF($A139&gt;AL$79,"",IF(T&lt;=AL$11,"",100*h*MAX((EXP(IRTree!AL73*h)-1)/h -$D$6,0)))</f>
        <v/>
      </c>
      <c r="AM139" t="str">
        <f>IF($A139&gt;AM$79,"",IF(T&lt;=AM$11,"",100*h*MAX((EXP(IRTree!AM73*h)-1)/h -$D$6,0)))</f>
        <v/>
      </c>
      <c r="AN139" t="str">
        <f>IF($A139&gt;AN$79,"",IF(T&lt;=AN$11,"",100*h*MAX((EXP(IRTree!AN73*h)-1)/h -$D$6,0)))</f>
        <v/>
      </c>
      <c r="AO139" t="str">
        <f>IF($A139&gt;AO$79,"",IF(T&lt;=AO$11,"",100*h*MAX((EXP(IRTree!AO73*h)-1)/h -$D$6,0)))</f>
        <v/>
      </c>
      <c r="AP139" t="str">
        <f>IF($A139&gt;AP$79,"",IF(T&lt;=AP$11,"",100*h*MAX((EXP(IRTree!AP73*h)-1)/h -$D$6,0)))</f>
        <v/>
      </c>
      <c r="AQ139" t="str">
        <f>IF($A139&gt;AQ$79,"",IF(T&lt;=AQ$11,"",100*h*MAX((EXP(IRTree!AQ73*h)-1)/h -$D$6,0)))</f>
        <v/>
      </c>
      <c r="AR139" t="str">
        <f>IF($A139&gt;AR$79,"",IF(T&lt;=AR$11,"",100*h*MAX((EXP(IRTree!AR73*h)-1)/h -$D$6,0)))</f>
        <v/>
      </c>
      <c r="AS139" t="str">
        <f>IF($A139&gt;AS$79,"",IF(T&lt;=AS$11,"",100*h*MAX((EXP(IRTree!AS73*h)-1)/h -$D$6,0)))</f>
        <v/>
      </c>
      <c r="AT139" t="str">
        <f>IF($A139&gt;AT$79,"",IF(T&lt;=AT$11,"",100*h*MAX((EXP(IRTree!AT73*h)-1)/h -$D$6,0)))</f>
        <v/>
      </c>
      <c r="AU139" t="str">
        <f>IF($A139&gt;AU$79,"",IF(T&lt;=AU$11,"",100*h*MAX((EXP(IRTree!AU73*h)-1)/h -$D$6,0)))</f>
        <v/>
      </c>
      <c r="AV139" t="str">
        <f>IF($A139&gt;AV$79,"",IF(T&lt;=AV$11,"",100*h*MAX((EXP(IRTree!AV73*h)-1)/h -$D$6,0)))</f>
        <v/>
      </c>
      <c r="AW139" t="str">
        <f>IF($A139&gt;AW$79,"",IF(T&lt;=AW$11,"",100*h*MAX((EXP(IRTree!AW73*h)-1)/h -$D$6,0)))</f>
        <v/>
      </c>
      <c r="AX139" t="str">
        <f>IF($A139&gt;AX$79,"",IF(T&lt;=AX$11,"",100*h*MAX((EXP(IRTree!AX73*h)-1)/h -$D$6,0)))</f>
        <v/>
      </c>
      <c r="AY139" t="str">
        <f>IF($A139&gt;AY$79,"",IF(T&lt;=AY$11,"",100*h*MAX((EXP(IRTree!AY73*h)-1)/h -$D$6,0)))</f>
        <v/>
      </c>
      <c r="AZ139" t="str">
        <f>IF($A139&gt;AZ$79,"",IF(T&lt;=AZ$11,"",100*h*MAX((EXP(IRTree!AZ73*h)-1)/h -$D$6,0)))</f>
        <v/>
      </c>
      <c r="BA139" t="str">
        <f>IF($A139&gt;BA$79,"",IF(T&lt;=BA$11,"",100*h*MAX((EXP(IRTree!BA73*h)-1)/h -$D$6,0)))</f>
        <v/>
      </c>
      <c r="BB139" t="str">
        <f>IF($A139&gt;BB$79,"",IF(T&lt;=BB$11,"",100*h*MAX((EXP(IRTree!BB73*h)-1)/h -$D$6,0)))</f>
        <v/>
      </c>
      <c r="BC139" t="str">
        <f>IF($A139&gt;BC$79,"",IF(T&lt;=BC$11,"",100*h*MAX((EXP(IRTree!BC73*h)-1)/h -$D$6,0)))</f>
        <v/>
      </c>
      <c r="BD139" t="str">
        <f>IF($A139&gt;BD$79,"",IF(T&lt;=BD$11,"",100*h*MAX((EXP(IRTree!BD73*h)-1)/h -$D$6,0)))</f>
        <v/>
      </c>
      <c r="BE139" t="str">
        <f>IF($A139&gt;BE$79,"",IF(T&lt;=BE$11,"",100*h*MAX((EXP(IRTree!BE73*h)-1)/h -$D$6,0)))</f>
        <v/>
      </c>
      <c r="BF139" t="str">
        <f>IF($A139&gt;BF$79,"",IF(T&lt;=BF$11,"",100*h*MAX((EXP(IRTree!BF73*h)-1)/h -$D$6,0)))</f>
        <v/>
      </c>
      <c r="BG139" t="str">
        <f>IF($A139&gt;BG$79,"",IF(T&lt;=BG$11,"",100*h*MAX((EXP(IRTree!BG73*h)-1)/h -$D$6,0)))</f>
        <v/>
      </c>
      <c r="BH139" t="str">
        <f>IF($A139&gt;BH$79,"",IF(T&lt;=BH$11,"",100*h*MAX((EXP(IRTree!BH73*h)-1)/h -$D$6,0)))</f>
        <v/>
      </c>
      <c r="BI139" t="str">
        <f>IF($A139&gt;BI$79,"",IF(T&lt;=BI$11,"",100*h*MAX((EXP(IRTree!BI73*h)-1)/h -$D$6,0)))</f>
        <v/>
      </c>
      <c r="BJ139" t="str">
        <f>IF($A139&gt;BJ$79,"",IF(T&lt;=BJ$11,"",100*h*MAX((EXP(IRTree!BJ73*h)-1)/h -$D$6,0)))</f>
        <v/>
      </c>
    </row>
    <row r="140" spans="1:62">
      <c r="A140" s="22">
        <f t="shared" si="5"/>
        <v>60</v>
      </c>
      <c r="B140" t="str">
        <f>IF($A140&gt;B$79,"",IF(T&lt;=B$11,"",100*h*MAX((EXP(IRTree!B74*h)-1)/h -$D$6,0)))</f>
        <v/>
      </c>
      <c r="C140" t="str">
        <f>IF($A140&gt;C$79,"",IF(T&lt;=C$11,"",100*h*MAX((EXP(IRTree!C74*h)-1)/h -$D$6,0)))</f>
        <v/>
      </c>
      <c r="D140" t="str">
        <f>IF($A140&gt;D$79,"",IF(T&lt;=D$11,"",100*h*MAX((EXP(IRTree!D74*h)-1)/h -$D$6,0)))</f>
        <v/>
      </c>
      <c r="E140" t="str">
        <f>IF($A140&gt;E$79,"",IF(T&lt;=E$11,"",100*h*MAX((EXP(IRTree!E74*h)-1)/h -$D$6,0)))</f>
        <v/>
      </c>
      <c r="F140" t="str">
        <f>IF($A140&gt;F$79,"",IF(T&lt;=F$11,"",100*h*MAX((EXP(IRTree!F74*h)-1)/h -$D$6,0)))</f>
        <v/>
      </c>
      <c r="G140" t="str">
        <f>IF($A140&gt;G$79,"",IF(T&lt;=G$11,"",100*h*MAX((EXP(IRTree!G74*h)-1)/h -$D$6,0)))</f>
        <v/>
      </c>
      <c r="H140" t="str">
        <f>IF($A140&gt;H$79,"",IF(T&lt;=H$11,"",100*h*MAX((EXP(IRTree!H74*h)-1)/h -$D$6,0)))</f>
        <v/>
      </c>
      <c r="I140" t="str">
        <f>IF($A140&gt;I$79,"",IF(T&lt;=I$11,"",100*h*MAX((EXP(IRTree!I74*h)-1)/h -$D$6,0)))</f>
        <v/>
      </c>
      <c r="J140" t="str">
        <f>IF($A140&gt;J$79,"",IF(T&lt;=J$11,"",100*h*MAX((EXP(IRTree!J74*h)-1)/h -$D$6,0)))</f>
        <v/>
      </c>
      <c r="K140" t="str">
        <f>IF($A140&gt;K$79,"",IF(T&lt;=K$11,"",100*h*MAX((EXP(IRTree!K74*h)-1)/h -$D$6,0)))</f>
        <v/>
      </c>
      <c r="L140" t="str">
        <f>IF($A140&gt;L$79,"",IF(T&lt;=L$11,"",100*h*MAX((EXP(IRTree!L74*h)-1)/h -$D$6,0)))</f>
        <v/>
      </c>
      <c r="M140" t="str">
        <f>IF($A140&gt;M$79,"",IF(T&lt;=M$11,"",100*h*MAX((EXP(IRTree!M74*h)-1)/h -$D$6,0)))</f>
        <v/>
      </c>
      <c r="N140" t="str">
        <f>IF($A140&gt;N$79,"",IF(T&lt;=N$11,"",100*h*MAX((EXP(IRTree!N74*h)-1)/h -$D$6,0)))</f>
        <v/>
      </c>
      <c r="O140" t="str">
        <f>IF($A140&gt;O$79,"",IF(T&lt;=O$11,"",100*h*MAX((EXP(IRTree!O74*h)-1)/h -$D$6,0)))</f>
        <v/>
      </c>
      <c r="P140" t="str">
        <f>IF($A140&gt;P$79,"",IF(T&lt;=P$11,"",100*h*MAX((EXP(IRTree!P74*h)-1)/h -$D$6,0)))</f>
        <v/>
      </c>
      <c r="Q140" t="str">
        <f>IF($A140&gt;Q$79,"",IF(T&lt;=Q$11,"",100*h*MAX((EXP(IRTree!Q74*h)-1)/h -$D$6,0)))</f>
        <v/>
      </c>
      <c r="R140" t="str">
        <f>IF($A140&gt;R$79,"",IF(T&lt;=R$11,"",100*h*MAX((EXP(IRTree!R74*h)-1)/h -$D$6,0)))</f>
        <v/>
      </c>
      <c r="S140" t="str">
        <f>IF($A140&gt;S$79,"",IF(T&lt;=S$11,"",100*h*MAX((EXP(IRTree!S74*h)-1)/h -$D$6,0)))</f>
        <v/>
      </c>
      <c r="T140" t="str">
        <f>IF($A140&gt;T$79,"",IF(T&lt;=T$11,"",100*h*MAX((EXP(IRTree!T74*h)-1)/h -$D$6,0)))</f>
        <v/>
      </c>
      <c r="U140" t="str">
        <f>IF($A140&gt;U$79,"",IF(T&lt;=U$11,"",100*h*MAX((EXP(IRTree!U74*h)-1)/h -$D$6,0)))</f>
        <v/>
      </c>
      <c r="V140" t="str">
        <f>IF($A140&gt;V$79,"",IF(T&lt;=V$11,"",100*h*MAX((EXP(IRTree!V74*h)-1)/h -$D$6,0)))</f>
        <v/>
      </c>
      <c r="W140" t="str">
        <f>IF($A140&gt;W$79,"",IF(T&lt;=W$11,"",100*h*MAX((EXP(IRTree!W74*h)-1)/h -$D$6,0)))</f>
        <v/>
      </c>
      <c r="X140" t="str">
        <f>IF($A140&gt;X$79,"",IF(T&lt;=X$11,"",100*h*MAX((EXP(IRTree!X74*h)-1)/h -$D$6,0)))</f>
        <v/>
      </c>
      <c r="Y140" t="str">
        <f>IF($A140&gt;Y$79,"",IF(T&lt;=Y$11,"",100*h*MAX((EXP(IRTree!Y74*h)-1)/h -$D$6,0)))</f>
        <v/>
      </c>
      <c r="Z140" t="str">
        <f>IF($A140&gt;Z$79,"",IF(T&lt;=Z$11,"",100*h*MAX((EXP(IRTree!Z74*h)-1)/h -$D$6,0)))</f>
        <v/>
      </c>
      <c r="AA140" t="str">
        <f>IF($A140&gt;AA$79,"",IF(T&lt;=AA$11,"",100*h*MAX((EXP(IRTree!AA74*h)-1)/h -$D$6,0)))</f>
        <v/>
      </c>
      <c r="AB140" t="str">
        <f>IF($A140&gt;AB$79,"",IF(T&lt;=AB$11,"",100*h*MAX((EXP(IRTree!AB74*h)-1)/h -$D$6,0)))</f>
        <v/>
      </c>
      <c r="AC140" t="str">
        <f>IF($A140&gt;AC$79,"",IF(T&lt;=AC$11,"",100*h*MAX((EXP(IRTree!AC74*h)-1)/h -$D$6,0)))</f>
        <v/>
      </c>
      <c r="AD140" t="str">
        <f>IF($A140&gt;AD$79,"",IF(T&lt;=AD$11,"",100*h*MAX((EXP(IRTree!AD74*h)-1)/h -$D$6,0)))</f>
        <v/>
      </c>
      <c r="AE140" t="str">
        <f>IF($A140&gt;AE$79,"",IF(T&lt;=AE$11,"",100*h*MAX((EXP(IRTree!AE74*h)-1)/h -$D$6,0)))</f>
        <v/>
      </c>
      <c r="AF140" t="str">
        <f>IF($A140&gt;AF$79,"",IF(T&lt;=AF$11,"",100*h*MAX((EXP(IRTree!AF74*h)-1)/h -$D$6,0)))</f>
        <v/>
      </c>
      <c r="AG140" t="str">
        <f>IF($A140&gt;AG$79,"",IF(T&lt;=AG$11,"",100*h*MAX((EXP(IRTree!AG74*h)-1)/h -$D$6,0)))</f>
        <v/>
      </c>
      <c r="AH140" t="str">
        <f>IF($A140&gt;AH$79,"",IF(T&lt;=AH$11,"",100*h*MAX((EXP(IRTree!AH74*h)-1)/h -$D$6,0)))</f>
        <v/>
      </c>
      <c r="AI140" t="str">
        <f>IF($A140&gt;AI$79,"",IF(T&lt;=AI$11,"",100*h*MAX((EXP(IRTree!AI74*h)-1)/h -$D$6,0)))</f>
        <v/>
      </c>
      <c r="AJ140" t="str">
        <f>IF($A140&gt;AJ$79,"",IF(T&lt;=AJ$11,"",100*h*MAX((EXP(IRTree!AJ74*h)-1)/h -$D$6,0)))</f>
        <v/>
      </c>
      <c r="AK140" t="str">
        <f>IF($A140&gt;AK$79,"",IF(T&lt;=AK$11,"",100*h*MAX((EXP(IRTree!AK74*h)-1)/h -$D$6,0)))</f>
        <v/>
      </c>
      <c r="AL140" t="str">
        <f>IF($A140&gt;AL$79,"",IF(T&lt;=AL$11,"",100*h*MAX((EXP(IRTree!AL74*h)-1)/h -$D$6,0)))</f>
        <v/>
      </c>
      <c r="AM140" t="str">
        <f>IF($A140&gt;AM$79,"",IF(T&lt;=AM$11,"",100*h*MAX((EXP(IRTree!AM74*h)-1)/h -$D$6,0)))</f>
        <v/>
      </c>
      <c r="AN140" t="str">
        <f>IF($A140&gt;AN$79,"",IF(T&lt;=AN$11,"",100*h*MAX((EXP(IRTree!AN74*h)-1)/h -$D$6,0)))</f>
        <v/>
      </c>
      <c r="AO140" t="str">
        <f>IF($A140&gt;AO$79,"",IF(T&lt;=AO$11,"",100*h*MAX((EXP(IRTree!AO74*h)-1)/h -$D$6,0)))</f>
        <v/>
      </c>
      <c r="AP140" t="str">
        <f>IF($A140&gt;AP$79,"",IF(T&lt;=AP$11,"",100*h*MAX((EXP(IRTree!AP74*h)-1)/h -$D$6,0)))</f>
        <v/>
      </c>
      <c r="AQ140" t="str">
        <f>IF($A140&gt;AQ$79,"",IF(T&lt;=AQ$11,"",100*h*MAX((EXP(IRTree!AQ74*h)-1)/h -$D$6,0)))</f>
        <v/>
      </c>
      <c r="AR140" t="str">
        <f>IF($A140&gt;AR$79,"",IF(T&lt;=AR$11,"",100*h*MAX((EXP(IRTree!AR74*h)-1)/h -$D$6,0)))</f>
        <v/>
      </c>
      <c r="AS140" t="str">
        <f>IF($A140&gt;AS$79,"",IF(T&lt;=AS$11,"",100*h*MAX((EXP(IRTree!AS74*h)-1)/h -$D$6,0)))</f>
        <v/>
      </c>
      <c r="AT140" t="str">
        <f>IF($A140&gt;AT$79,"",IF(T&lt;=AT$11,"",100*h*MAX((EXP(IRTree!AT74*h)-1)/h -$D$6,0)))</f>
        <v/>
      </c>
      <c r="AU140" t="str">
        <f>IF($A140&gt;AU$79,"",IF(T&lt;=AU$11,"",100*h*MAX((EXP(IRTree!AU74*h)-1)/h -$D$6,0)))</f>
        <v/>
      </c>
      <c r="AV140" t="str">
        <f>IF($A140&gt;AV$79,"",IF(T&lt;=AV$11,"",100*h*MAX((EXP(IRTree!AV74*h)-1)/h -$D$6,0)))</f>
        <v/>
      </c>
      <c r="AW140" t="str">
        <f>IF($A140&gt;AW$79,"",IF(T&lt;=AW$11,"",100*h*MAX((EXP(IRTree!AW74*h)-1)/h -$D$6,0)))</f>
        <v/>
      </c>
      <c r="AX140" t="str">
        <f>IF($A140&gt;AX$79,"",IF(T&lt;=AX$11,"",100*h*MAX((EXP(IRTree!AX74*h)-1)/h -$D$6,0)))</f>
        <v/>
      </c>
      <c r="AY140" t="str">
        <f>IF($A140&gt;AY$79,"",IF(T&lt;=AY$11,"",100*h*MAX((EXP(IRTree!AY74*h)-1)/h -$D$6,0)))</f>
        <v/>
      </c>
      <c r="AZ140" t="str">
        <f>IF($A140&gt;AZ$79,"",IF(T&lt;=AZ$11,"",100*h*MAX((EXP(IRTree!AZ74*h)-1)/h -$D$6,0)))</f>
        <v/>
      </c>
      <c r="BA140" t="str">
        <f>IF($A140&gt;BA$79,"",IF(T&lt;=BA$11,"",100*h*MAX((EXP(IRTree!BA74*h)-1)/h -$D$6,0)))</f>
        <v/>
      </c>
      <c r="BB140" t="str">
        <f>IF($A140&gt;BB$79,"",IF(T&lt;=BB$11,"",100*h*MAX((EXP(IRTree!BB74*h)-1)/h -$D$6,0)))</f>
        <v/>
      </c>
      <c r="BC140" t="str">
        <f>IF($A140&gt;BC$79,"",IF(T&lt;=BC$11,"",100*h*MAX((EXP(IRTree!BC74*h)-1)/h -$D$6,0)))</f>
        <v/>
      </c>
      <c r="BD140" t="str">
        <f>IF($A140&gt;BD$79,"",IF(T&lt;=BD$11,"",100*h*MAX((EXP(IRTree!BD74*h)-1)/h -$D$6,0)))</f>
        <v/>
      </c>
      <c r="BE140" t="str">
        <f>IF($A140&gt;BE$79,"",IF(T&lt;=BE$11,"",100*h*MAX((EXP(IRTree!BE74*h)-1)/h -$D$6,0)))</f>
        <v/>
      </c>
      <c r="BF140" t="str">
        <f>IF($A140&gt;BF$79,"",IF(T&lt;=BF$11,"",100*h*MAX((EXP(IRTree!BF74*h)-1)/h -$D$6,0)))</f>
        <v/>
      </c>
      <c r="BG140" t="str">
        <f>IF($A140&gt;BG$79,"",IF(T&lt;=BG$11,"",100*h*MAX((EXP(IRTree!BG74*h)-1)/h -$D$6,0)))</f>
        <v/>
      </c>
      <c r="BH140" t="str">
        <f>IF($A140&gt;BH$79,"",IF(T&lt;=BH$11,"",100*h*MAX((EXP(IRTree!BH74*h)-1)/h -$D$6,0)))</f>
        <v/>
      </c>
      <c r="BI140" t="str">
        <f>IF($A140&gt;BI$79,"",IF(T&lt;=BI$11,"",100*h*MAX((EXP(IRTree!BI74*h)-1)/h -$D$6,0)))</f>
        <v/>
      </c>
      <c r="BJ140" t="str">
        <f>IF($A140&gt;BJ$79,"",IF(T&lt;=BJ$11,"",100*h*MAX((EXP(IRTree!BJ74*h)-1)/h -$D$6,0)))</f>
        <v/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P12"/>
  <sheetViews>
    <sheetView workbookViewId="0">
      <selection activeCell="B3" sqref="B3"/>
    </sheetView>
  </sheetViews>
  <sheetFormatPr defaultRowHeight="12.75"/>
  <cols>
    <col min="1" max="1" width="11" customWidth="1"/>
    <col min="2" max="2" width="17.7109375" customWidth="1"/>
    <col min="3" max="3" width="13.5703125" customWidth="1"/>
  </cols>
  <sheetData>
    <row r="1" spans="2:42">
      <c r="B1" s="25" t="s">
        <v>40</v>
      </c>
      <c r="C1" s="27">
        <v>37997</v>
      </c>
    </row>
    <row r="3" spans="2:42">
      <c r="B3" t="s">
        <v>15</v>
      </c>
      <c r="C3">
        <v>0.25</v>
      </c>
      <c r="D3">
        <v>0.5</v>
      </c>
      <c r="E3">
        <v>0.75</v>
      </c>
      <c r="F3">
        <v>1</v>
      </c>
      <c r="G3">
        <v>1.25</v>
      </c>
      <c r="H3">
        <v>1.5</v>
      </c>
      <c r="I3">
        <v>1.75</v>
      </c>
      <c r="J3">
        <v>2</v>
      </c>
      <c r="K3">
        <v>2.25</v>
      </c>
      <c r="L3">
        <v>2.5</v>
      </c>
      <c r="M3">
        <v>2.75</v>
      </c>
      <c r="N3">
        <v>3</v>
      </c>
      <c r="O3">
        <v>3.25</v>
      </c>
      <c r="P3">
        <v>3.5</v>
      </c>
      <c r="Q3">
        <v>3.75</v>
      </c>
      <c r="R3">
        <v>4</v>
      </c>
      <c r="S3">
        <v>4.25</v>
      </c>
      <c r="T3">
        <v>4.5</v>
      </c>
      <c r="U3">
        <v>4.75</v>
      </c>
      <c r="V3">
        <v>5</v>
      </c>
      <c r="W3">
        <v>5.25</v>
      </c>
      <c r="X3">
        <v>5.5</v>
      </c>
      <c r="Y3">
        <v>5.75</v>
      </c>
      <c r="Z3">
        <v>6</v>
      </c>
      <c r="AA3">
        <v>6.25</v>
      </c>
      <c r="AB3">
        <v>6.5</v>
      </c>
      <c r="AC3">
        <v>6.75</v>
      </c>
      <c r="AD3">
        <v>7</v>
      </c>
      <c r="AE3">
        <v>7.25</v>
      </c>
      <c r="AF3">
        <v>7.5</v>
      </c>
      <c r="AG3">
        <v>7.75</v>
      </c>
      <c r="AH3">
        <v>8</v>
      </c>
      <c r="AI3">
        <v>8.25</v>
      </c>
      <c r="AJ3">
        <v>8.5</v>
      </c>
      <c r="AK3">
        <v>8.75</v>
      </c>
      <c r="AL3">
        <v>9</v>
      </c>
      <c r="AM3">
        <v>9.25</v>
      </c>
      <c r="AN3">
        <v>9.5</v>
      </c>
      <c r="AO3">
        <v>9.75</v>
      </c>
      <c r="AP3">
        <v>10</v>
      </c>
    </row>
    <row r="4" spans="2:42">
      <c r="B4" t="s">
        <v>16</v>
      </c>
      <c r="C4">
        <v>2.1800000000000002</v>
      </c>
      <c r="D4">
        <v>2.3176999999999999</v>
      </c>
      <c r="E4">
        <v>2.4420000000000002</v>
      </c>
      <c r="F4">
        <v>2.5550000000000002</v>
      </c>
      <c r="G4">
        <v>2.6585999999999999</v>
      </c>
      <c r="H4">
        <v>2.7545999999999999</v>
      </c>
      <c r="I4">
        <v>2.8451</v>
      </c>
      <c r="J4">
        <v>2.9319999999999999</v>
      </c>
      <c r="K4">
        <v>3.0167000000000002</v>
      </c>
      <c r="L4">
        <v>3.0991</v>
      </c>
      <c r="M4">
        <v>3.1783999999999999</v>
      </c>
      <c r="N4">
        <v>3.254</v>
      </c>
      <c r="O4">
        <v>3.3254000000000001</v>
      </c>
      <c r="P4">
        <v>3.3929999999999998</v>
      </c>
      <c r="Q4">
        <v>3.4577</v>
      </c>
      <c r="R4">
        <v>3.52</v>
      </c>
      <c r="S4">
        <v>3.5804999999999998</v>
      </c>
      <c r="T4">
        <v>3.6393</v>
      </c>
      <c r="U4">
        <v>3.6962000000000002</v>
      </c>
      <c r="V4">
        <v>3.7509999999999999</v>
      </c>
      <c r="W4">
        <v>3.8035999999999999</v>
      </c>
      <c r="X4">
        <v>3.8542000000000001</v>
      </c>
      <c r="Y4">
        <v>3.9026999999999998</v>
      </c>
      <c r="Z4">
        <v>3.9491999999999998</v>
      </c>
      <c r="AA4">
        <v>3.9940000000000002</v>
      </c>
      <c r="AB4">
        <v>4.0369000000000002</v>
      </c>
      <c r="AC4">
        <v>4.0782999999999996</v>
      </c>
      <c r="AD4">
        <v>4.1180000000000003</v>
      </c>
      <c r="AE4">
        <v>4.1562999999999999</v>
      </c>
      <c r="AF4">
        <v>4.1931000000000003</v>
      </c>
      <c r="AG4">
        <v>4.2286999999999999</v>
      </c>
      <c r="AH4">
        <v>4.2629999999999999</v>
      </c>
      <c r="AI4">
        <v>4.2962999999999996</v>
      </c>
      <c r="AJ4">
        <v>4.3285</v>
      </c>
      <c r="AK4">
        <v>4.3597000000000001</v>
      </c>
      <c r="AL4">
        <v>4.3901000000000003</v>
      </c>
      <c r="AM4">
        <v>4.4196999999999997</v>
      </c>
      <c r="AN4">
        <v>4.4486999999999997</v>
      </c>
      <c r="AO4">
        <v>4.4771000000000001</v>
      </c>
      <c r="AP4">
        <v>4.5049999999999999</v>
      </c>
    </row>
    <row r="5" spans="2:42">
      <c r="B5" t="s">
        <v>18</v>
      </c>
      <c r="C5">
        <v>2.1741000000000001</v>
      </c>
      <c r="D5">
        <v>2.3113999999999999</v>
      </c>
      <c r="E5">
        <v>2.4356</v>
      </c>
      <c r="F5">
        <v>2.5488</v>
      </c>
      <c r="G5">
        <v>2.6526999999999998</v>
      </c>
      <c r="H5">
        <v>2.7494000000000001</v>
      </c>
      <c r="I5">
        <v>2.8407</v>
      </c>
      <c r="J5">
        <v>2.9287000000000001</v>
      </c>
      <c r="K5">
        <v>3.0148000000000001</v>
      </c>
      <c r="L5">
        <v>3.0987</v>
      </c>
      <c r="M5">
        <v>3.1798999999999999</v>
      </c>
      <c r="N5">
        <v>3.2574999999999998</v>
      </c>
      <c r="O5">
        <v>3.331</v>
      </c>
      <c r="P5">
        <v>3.4009999999999998</v>
      </c>
      <c r="Q5">
        <v>3.468</v>
      </c>
      <c r="R5">
        <v>3.5329999999999999</v>
      </c>
      <c r="S5">
        <v>3.5964</v>
      </c>
      <c r="T5">
        <v>3.6581999999999999</v>
      </c>
      <c r="U5">
        <v>3.7181999999999999</v>
      </c>
      <c r="V5">
        <v>3.7763</v>
      </c>
      <c r="W5">
        <v>3.8323999999999998</v>
      </c>
      <c r="X5">
        <v>3.8864999999999998</v>
      </c>
      <c r="Y5">
        <v>3.9386000000000001</v>
      </c>
      <c r="Z5">
        <v>3.9889000000000001</v>
      </c>
      <c r="AA5">
        <v>4.0373999999999999</v>
      </c>
      <c r="AB5">
        <v>4.0841000000000003</v>
      </c>
      <c r="AC5">
        <v>4.1292999999999997</v>
      </c>
      <c r="AD5">
        <v>4.173</v>
      </c>
      <c r="AE5">
        <v>4.2152000000000003</v>
      </c>
      <c r="AF5">
        <v>4.2561</v>
      </c>
      <c r="AG5">
        <v>4.2957000000000001</v>
      </c>
      <c r="AH5">
        <v>4.3342000000000001</v>
      </c>
      <c r="AI5">
        <v>4.3715000000000002</v>
      </c>
      <c r="AJ5">
        <v>4.4078999999999997</v>
      </c>
      <c r="AK5">
        <v>4.4433999999999996</v>
      </c>
      <c r="AL5">
        <v>4.4782000000000002</v>
      </c>
      <c r="AM5">
        <v>4.5122</v>
      </c>
      <c r="AN5">
        <v>4.5457000000000001</v>
      </c>
      <c r="AO5">
        <v>4.5787000000000004</v>
      </c>
      <c r="AP5">
        <v>4.6113999999999997</v>
      </c>
    </row>
    <row r="6" spans="2:42">
      <c r="B6" t="s">
        <v>17</v>
      </c>
      <c r="C6">
        <v>99.457999999999998</v>
      </c>
      <c r="D6">
        <v>98.850999999999999</v>
      </c>
      <c r="E6">
        <v>98.189899999999994</v>
      </c>
      <c r="F6">
        <v>97.483400000000003</v>
      </c>
      <c r="G6">
        <v>96.738500000000002</v>
      </c>
      <c r="H6">
        <v>95.959800000000001</v>
      </c>
      <c r="I6">
        <v>95.150300000000001</v>
      </c>
      <c r="J6">
        <v>94.310900000000004</v>
      </c>
      <c r="K6">
        <v>93.441699999999997</v>
      </c>
      <c r="L6">
        <v>92.545599999999993</v>
      </c>
      <c r="M6">
        <v>91.626800000000003</v>
      </c>
      <c r="N6">
        <v>90.689899999999994</v>
      </c>
      <c r="O6">
        <v>89.739699999999999</v>
      </c>
      <c r="P6">
        <v>88.777799999999999</v>
      </c>
      <c r="Q6">
        <v>87.805000000000007</v>
      </c>
      <c r="R6">
        <v>86.821200000000005</v>
      </c>
      <c r="S6">
        <v>85.826300000000003</v>
      </c>
      <c r="T6">
        <v>84.821799999999996</v>
      </c>
      <c r="U6">
        <v>83.810199999999995</v>
      </c>
      <c r="V6">
        <v>82.793800000000005</v>
      </c>
      <c r="W6">
        <v>81.774699999999996</v>
      </c>
      <c r="X6">
        <v>80.754499999999993</v>
      </c>
      <c r="Y6">
        <v>79.734300000000005</v>
      </c>
      <c r="Z6">
        <v>78.715299999999999</v>
      </c>
      <c r="AA6">
        <v>77.698499999999996</v>
      </c>
      <c r="AB6">
        <v>76.684600000000003</v>
      </c>
      <c r="AC6">
        <v>75.674400000000006</v>
      </c>
      <c r="AD6">
        <v>74.668700000000001</v>
      </c>
      <c r="AE6">
        <v>73.667900000000003</v>
      </c>
      <c r="AF6">
        <v>72.672499999999999</v>
      </c>
      <c r="AG6">
        <v>71.682900000000004</v>
      </c>
      <c r="AH6">
        <v>70.699399999999997</v>
      </c>
      <c r="AI6">
        <v>69.722200000000001</v>
      </c>
      <c r="AJ6">
        <v>68.751300000000001</v>
      </c>
      <c r="AK6">
        <v>67.786900000000003</v>
      </c>
      <c r="AL6">
        <v>66.828800000000001</v>
      </c>
      <c r="AM6">
        <v>65.876900000000006</v>
      </c>
      <c r="AN6">
        <v>64.931100000000001</v>
      </c>
      <c r="AO6">
        <v>63.991100000000003</v>
      </c>
      <c r="AP6">
        <v>63.056600000000003</v>
      </c>
    </row>
    <row r="7" spans="2:42">
      <c r="B7" t="s">
        <v>19</v>
      </c>
      <c r="C7" t="s">
        <v>14</v>
      </c>
      <c r="D7">
        <v>4.5600000000000002E-2</v>
      </c>
      <c r="E7">
        <v>0.10589999999999999</v>
      </c>
      <c r="F7">
        <v>0.18590000000000001</v>
      </c>
      <c r="G7">
        <v>0.28870000000000001</v>
      </c>
      <c r="H7">
        <v>0.41570000000000001</v>
      </c>
      <c r="I7">
        <v>0.56620000000000004</v>
      </c>
      <c r="J7">
        <v>0.73640000000000005</v>
      </c>
      <c r="K7">
        <v>0.92010000000000003</v>
      </c>
      <c r="L7">
        <v>1.1129</v>
      </c>
      <c r="M7">
        <v>1.3126</v>
      </c>
      <c r="N7">
        <v>1.5194000000000001</v>
      </c>
      <c r="O7">
        <v>1.7352000000000001</v>
      </c>
      <c r="P7">
        <v>1.9598</v>
      </c>
      <c r="Q7">
        <v>2.1916000000000002</v>
      </c>
      <c r="R7">
        <v>2.4287999999999998</v>
      </c>
      <c r="S7">
        <v>2.6690999999999998</v>
      </c>
      <c r="T7">
        <v>2.9117000000000002</v>
      </c>
      <c r="U7">
        <v>3.1562000000000001</v>
      </c>
      <c r="V7">
        <v>3.4028999999999998</v>
      </c>
      <c r="W7">
        <v>3.6524000000000001</v>
      </c>
      <c r="X7">
        <v>3.9043999999999999</v>
      </c>
      <c r="Y7">
        <v>4.1585000000000001</v>
      </c>
      <c r="Z7">
        <v>4.4142999999999999</v>
      </c>
      <c r="AA7">
        <v>4.6714000000000002</v>
      </c>
      <c r="AB7">
        <v>4.9292999999999996</v>
      </c>
      <c r="AC7">
        <v>5.1875999999999998</v>
      </c>
      <c r="AD7">
        <v>5.4459</v>
      </c>
      <c r="AE7">
        <v>5.7037000000000004</v>
      </c>
      <c r="AF7">
        <v>5.9604999999999997</v>
      </c>
      <c r="AG7">
        <v>6.2160000000000002</v>
      </c>
      <c r="AH7">
        <v>6.4694000000000003</v>
      </c>
      <c r="AI7">
        <v>6.7203999999999997</v>
      </c>
      <c r="AJ7">
        <v>6.9683999999999999</v>
      </c>
      <c r="AK7">
        <v>7.2126999999999999</v>
      </c>
      <c r="AL7">
        <v>7.4527000000000001</v>
      </c>
      <c r="AM7">
        <v>7.6877000000000004</v>
      </c>
      <c r="AN7">
        <v>7.9170999999999996</v>
      </c>
      <c r="AO7">
        <v>8.1401000000000003</v>
      </c>
      <c r="AP7">
        <v>8.3559000000000001</v>
      </c>
    </row>
    <row r="10" spans="2:42">
      <c r="D10" t="s">
        <v>28</v>
      </c>
    </row>
    <row r="11" spans="2:42">
      <c r="C11" t="s">
        <v>27</v>
      </c>
      <c r="D11" s="16">
        <v>2.6779561505608653E-2</v>
      </c>
      <c r="E11" s="16">
        <v>3.2070057188951138E-2</v>
      </c>
      <c r="F11" s="16">
        <v>4.2589994528436231E-2</v>
      </c>
      <c r="G11" s="16">
        <v>5.3691977884120203E-2</v>
      </c>
      <c r="H11" s="16">
        <v>6.4506506983375345E-2</v>
      </c>
      <c r="I11" s="16">
        <v>7.9661046875856553E-2</v>
      </c>
      <c r="J11" s="16">
        <v>0.10582173018250063</v>
      </c>
      <c r="K11" s="16">
        <v>0.12014688332075463</v>
      </c>
      <c r="L11" s="16">
        <v>0.14632298214038739</v>
      </c>
      <c r="M11" s="16">
        <v>0.16354931168378836</v>
      </c>
      <c r="N11" s="16">
        <v>0.1862052287518699</v>
      </c>
      <c r="O11" s="16">
        <v>0.19555957980330696</v>
      </c>
      <c r="P11" s="16">
        <v>0.24878782541321359</v>
      </c>
      <c r="Q11" s="16">
        <v>0.26827490790255409</v>
      </c>
      <c r="R11" s="16">
        <v>0.32924639776526715</v>
      </c>
      <c r="S11" s="16">
        <v>0.34700516080519278</v>
      </c>
      <c r="T11" s="16">
        <v>0.38097547693647282</v>
      </c>
      <c r="U11" s="16">
        <v>0.40959188604060853</v>
      </c>
      <c r="V11" s="16">
        <v>0.46732391521559224</v>
      </c>
    </row>
    <row r="12" spans="2:42">
      <c r="C12" t="s">
        <v>24</v>
      </c>
      <c r="D12" s="16">
        <v>0.18772275274199812</v>
      </c>
      <c r="E12" s="16">
        <v>0.186556789966041</v>
      </c>
      <c r="F12" s="16">
        <v>0.27779116050753988</v>
      </c>
      <c r="G12" s="16">
        <v>0.30194284538639737</v>
      </c>
      <c r="H12" s="16">
        <v>0.29764175434261764</v>
      </c>
      <c r="I12" s="16">
        <v>0.30744452832565905</v>
      </c>
      <c r="J12" s="16">
        <v>0.33980899765040851</v>
      </c>
      <c r="K12" s="16">
        <v>0.31768535696347017</v>
      </c>
      <c r="L12" s="16">
        <v>0.31996367214345772</v>
      </c>
      <c r="M12" s="16">
        <v>0.3027825406224981</v>
      </c>
      <c r="N12" s="16">
        <v>0.29380199861171236</v>
      </c>
      <c r="O12" s="16">
        <v>0.2718725489234412</v>
      </c>
      <c r="P12" s="16">
        <v>0.28746986153866344</v>
      </c>
      <c r="Q12" s="16">
        <v>0.27379553466059464</v>
      </c>
      <c r="R12" s="16">
        <v>0.28163702927157563</v>
      </c>
      <c r="S12" s="16">
        <v>0.26670249061494666</v>
      </c>
      <c r="T12" s="16">
        <v>0.25921700557291882</v>
      </c>
      <c r="U12" s="16">
        <v>0.2503168275079643</v>
      </c>
      <c r="V12" s="16">
        <v>0.24956208520975665</v>
      </c>
    </row>
  </sheetData>
  <phoneticPr fontId="1" type="noConversion"/>
  <pageMargins left="0.75" right="0.75" top="1" bottom="1" header="0.5" footer="0.5"/>
  <pageSetup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M35"/>
  <sheetViews>
    <sheetView topLeftCell="A10" workbookViewId="0">
      <selection activeCell="A36" sqref="A36"/>
    </sheetView>
  </sheetViews>
  <sheetFormatPr defaultRowHeight="12.75"/>
  <sheetData>
    <row r="6" spans="1:13">
      <c r="A6" s="25" t="s">
        <v>43</v>
      </c>
    </row>
    <row r="7" spans="1:13">
      <c r="C7" s="25" t="s">
        <v>13</v>
      </c>
    </row>
    <row r="8" spans="1:13">
      <c r="A8" t="s">
        <v>2</v>
      </c>
      <c r="B8">
        <v>0</v>
      </c>
      <c r="C8">
        <v>0.25</v>
      </c>
      <c r="D8">
        <v>0.5</v>
      </c>
      <c r="E8">
        <v>0.75</v>
      </c>
      <c r="F8">
        <v>1</v>
      </c>
    </row>
    <row r="9" spans="1:13">
      <c r="A9" t="s">
        <v>1</v>
      </c>
      <c r="B9">
        <v>0</v>
      </c>
      <c r="C9">
        <v>1</v>
      </c>
      <c r="D9">
        <v>2</v>
      </c>
      <c r="E9">
        <v>3</v>
      </c>
      <c r="F9">
        <v>4</v>
      </c>
    </row>
    <row r="10" spans="1:13">
      <c r="A10">
        <v>0</v>
      </c>
      <c r="B10" s="18">
        <v>2.1738965960182295</v>
      </c>
      <c r="C10" s="18">
        <v>2.6779673680654899</v>
      </c>
      <c r="D10" s="18">
        <v>3.2071305185109331</v>
      </c>
      <c r="E10" s="18">
        <v>4.2588028852629929</v>
      </c>
      <c r="F10" s="18">
        <v>5.3692349674603816</v>
      </c>
    </row>
    <row r="11" spans="1:13">
      <c r="A11">
        <v>1</v>
      </c>
      <c r="B11" s="18"/>
      <c r="C11" s="18">
        <v>2.2195858549764851</v>
      </c>
      <c r="D11" s="18">
        <v>2.6611843424494572</v>
      </c>
      <c r="E11" s="18">
        <v>3.2259970449909359</v>
      </c>
      <c r="F11" s="18">
        <v>3.9698860649157757</v>
      </c>
    </row>
    <row r="12" spans="1:13">
      <c r="A12">
        <v>2</v>
      </c>
      <c r="B12" s="18"/>
      <c r="C12" s="18"/>
      <c r="D12" s="18">
        <v>2.2081739622453118</v>
      </c>
      <c r="E12" s="18">
        <v>2.443657810579225</v>
      </c>
      <c r="F12" s="18">
        <v>2.9352403953121935</v>
      </c>
    </row>
    <row r="13" spans="1:13">
      <c r="A13">
        <v>3</v>
      </c>
      <c r="B13" s="18"/>
      <c r="C13" s="18"/>
      <c r="D13" s="18"/>
      <c r="E13" s="18">
        <v>1.851044316508861</v>
      </c>
      <c r="F13" s="18">
        <v>2.1702477193020573</v>
      </c>
    </row>
    <row r="14" spans="1:13">
      <c r="A14">
        <v>4</v>
      </c>
      <c r="B14" s="18"/>
      <c r="C14" s="18"/>
      <c r="D14" s="18"/>
      <c r="E14" s="18"/>
      <c r="F14" s="18">
        <v>1.6046301252387971</v>
      </c>
    </row>
    <row r="15" spans="1:13">
      <c r="A15" s="28" t="s">
        <v>42</v>
      </c>
      <c r="B15" s="18"/>
      <c r="C15" s="18"/>
      <c r="D15" s="18"/>
      <c r="E15" s="18"/>
      <c r="F15" s="18"/>
    </row>
    <row r="16" spans="1:13">
      <c r="A16" t="s">
        <v>2</v>
      </c>
      <c r="B16">
        <v>0</v>
      </c>
      <c r="C16">
        <v>0.25</v>
      </c>
      <c r="D16">
        <v>0.5</v>
      </c>
      <c r="E16">
        <v>0.75</v>
      </c>
      <c r="F16">
        <v>1</v>
      </c>
      <c r="H16" t="s">
        <v>2</v>
      </c>
      <c r="I16">
        <v>0</v>
      </c>
      <c r="J16">
        <v>0.25</v>
      </c>
      <c r="K16">
        <v>0.5</v>
      </c>
      <c r="L16">
        <v>0.75</v>
      </c>
      <c r="M16">
        <v>1</v>
      </c>
    </row>
    <row r="17" spans="1:13">
      <c r="A17" t="s">
        <v>1</v>
      </c>
      <c r="B17">
        <v>0</v>
      </c>
      <c r="C17">
        <v>1</v>
      </c>
      <c r="D17">
        <v>2</v>
      </c>
      <c r="E17">
        <v>3</v>
      </c>
      <c r="F17">
        <v>4</v>
      </c>
      <c r="H17" t="s">
        <v>1</v>
      </c>
      <c r="I17">
        <v>0</v>
      </c>
      <c r="J17">
        <v>1</v>
      </c>
      <c r="K17">
        <v>2</v>
      </c>
      <c r="L17">
        <v>3</v>
      </c>
      <c r="M17">
        <v>4</v>
      </c>
    </row>
    <row r="18" spans="1:13">
      <c r="B18" s="18"/>
      <c r="C18" s="26" t="s">
        <v>33</v>
      </c>
      <c r="D18" s="18"/>
      <c r="E18" s="18"/>
      <c r="F18" s="18"/>
      <c r="I18" s="25" t="s">
        <v>36</v>
      </c>
    </row>
    <row r="19" spans="1:13">
      <c r="A19">
        <v>0</v>
      </c>
      <c r="B19" s="18">
        <f>C19/2+C20/2</f>
        <v>2.4563536282279586</v>
      </c>
      <c r="C19" s="18">
        <f>4*(EXP(C10/100*0.25)-1)*100</f>
        <v>2.6869517934031251</v>
      </c>
      <c r="D19" s="18"/>
      <c r="E19" s="18"/>
      <c r="F19" s="18"/>
      <c r="H19">
        <v>0</v>
      </c>
      <c r="I19" s="18">
        <f>100-B19</f>
        <v>97.543646371772041</v>
      </c>
      <c r="J19" s="18">
        <f>100-C19</f>
        <v>97.313048206596875</v>
      </c>
    </row>
    <row r="20" spans="1:13">
      <c r="A20">
        <v>1</v>
      </c>
      <c r="B20" s="18"/>
      <c r="C20" s="18">
        <f>4*(EXP(C11/100*0.25)-1)*100</f>
        <v>2.225755463052792</v>
      </c>
      <c r="D20" s="18"/>
      <c r="E20" s="18"/>
      <c r="F20" s="18"/>
      <c r="H20">
        <v>1</v>
      </c>
      <c r="J20" s="18">
        <f>100-C20</f>
        <v>97.774244536947208</v>
      </c>
    </row>
    <row r="21" spans="1:13">
      <c r="B21" s="18"/>
      <c r="C21" s="26" t="s">
        <v>34</v>
      </c>
      <c r="D21" s="18"/>
      <c r="E21" s="18"/>
      <c r="F21" s="18"/>
      <c r="I21" s="25" t="s">
        <v>37</v>
      </c>
    </row>
    <row r="22" spans="1:13">
      <c r="A22">
        <v>0</v>
      </c>
      <c r="B22" s="18">
        <f>C22/2+C23/2</f>
        <v>2.6936037648987332</v>
      </c>
      <c r="C22" s="18">
        <f>D22/2+D23/2</f>
        <v>2.9450392207518217</v>
      </c>
      <c r="D22" s="18">
        <f>4*(EXP(D10/100/4)-1)*100</f>
        <v>3.2200220572208949</v>
      </c>
      <c r="E22" s="18"/>
      <c r="F22" s="18"/>
      <c r="H22">
        <v>0</v>
      </c>
      <c r="I22" s="18">
        <f>100-B22</f>
        <v>97.306396235101261</v>
      </c>
      <c r="J22" s="18">
        <f>100-C22</f>
        <v>97.054960779248177</v>
      </c>
      <c r="K22" s="18">
        <f>100-D22</f>
        <v>96.779977942779112</v>
      </c>
    </row>
    <row r="23" spans="1:13">
      <c r="A23">
        <v>1</v>
      </c>
      <c r="B23" s="18"/>
      <c r="C23" s="18">
        <f>D23/2+D24/2</f>
        <v>2.4421683090456447</v>
      </c>
      <c r="D23" s="18">
        <f>4*(EXP(D11/100/4)-1)*100</f>
        <v>2.6700563842827485</v>
      </c>
      <c r="E23" s="18"/>
      <c r="F23" s="18"/>
      <c r="H23">
        <v>1</v>
      </c>
      <c r="J23" s="18">
        <f>100-C23</f>
        <v>97.557831690954359</v>
      </c>
      <c r="K23" s="18">
        <f>100-D23</f>
        <v>97.329943615717255</v>
      </c>
    </row>
    <row r="24" spans="1:13">
      <c r="A24">
        <v>2</v>
      </c>
      <c r="B24" s="18"/>
      <c r="C24" s="26"/>
      <c r="D24" s="18">
        <f>4*(EXP(D12/100/4)-1)*100</f>
        <v>2.214280233808541</v>
      </c>
      <c r="E24" s="18"/>
      <c r="F24" s="18"/>
      <c r="H24">
        <v>2</v>
      </c>
      <c r="K24" s="18">
        <f>100-D24</f>
        <v>97.785719766191463</v>
      </c>
    </row>
    <row r="25" spans="1:13">
      <c r="B25" s="18"/>
      <c r="C25" s="26" t="s">
        <v>32</v>
      </c>
      <c r="D25" s="18"/>
      <c r="E25" s="18"/>
      <c r="F25" s="18"/>
      <c r="I25" s="25" t="s">
        <v>38</v>
      </c>
    </row>
    <row r="26" spans="1:13">
      <c r="A26">
        <v>0</v>
      </c>
      <c r="B26" s="18">
        <f>C26/2+C27/2</f>
        <v>2.9009280022826989</v>
      </c>
      <c r="C26" s="18">
        <f>D26/2+D27/2</f>
        <v>3.3026936238821358</v>
      </c>
      <c r="D26" s="18">
        <f>E26/2+E27/2</f>
        <v>3.7602981116570344</v>
      </c>
      <c r="E26" s="18">
        <f>4*(EXP(E10/100/4)-1)*100</f>
        <v>4.2815553145135965</v>
      </c>
      <c r="F26" s="18"/>
      <c r="H26">
        <v>0</v>
      </c>
      <c r="I26" s="18">
        <f>100-B26</f>
        <v>97.099071997717303</v>
      </c>
      <c r="J26" s="18">
        <f t="shared" ref="J26:L28" si="0">100-C26</f>
        <v>96.697306376117865</v>
      </c>
      <c r="K26" s="18">
        <f t="shared" si="0"/>
        <v>96.239701888342964</v>
      </c>
      <c r="L26" s="18">
        <f t="shared" si="0"/>
        <v>95.718444685486404</v>
      </c>
    </row>
    <row r="27" spans="1:13">
      <c r="A27">
        <v>1</v>
      </c>
      <c r="B27" s="18"/>
      <c r="C27" s="18">
        <f>D27/2+D28/2</f>
        <v>2.4991623806832619</v>
      </c>
      <c r="D27" s="18">
        <f>E27/2+E28/2</f>
        <v>2.8450891361072372</v>
      </c>
      <c r="E27" s="18">
        <f>4*(EXP(E11/100/4)-1)*100</f>
        <v>3.2390409088004724</v>
      </c>
      <c r="F27" s="18"/>
      <c r="H27">
        <v>1</v>
      </c>
      <c r="J27" s="18">
        <f t="shared" si="0"/>
        <v>97.500837619316741</v>
      </c>
      <c r="K27" s="18">
        <f t="shared" si="0"/>
        <v>97.154910863892766</v>
      </c>
      <c r="L27" s="18">
        <f t="shared" si="0"/>
        <v>96.760959091199524</v>
      </c>
    </row>
    <row r="28" spans="1:13">
      <c r="A28">
        <v>2</v>
      </c>
      <c r="B28" s="18"/>
      <c r="C28" s="18"/>
      <c r="D28" s="18">
        <f>E28/2+E29/2</f>
        <v>2.1532356252592866</v>
      </c>
      <c r="E28" s="18">
        <f>4*(EXP(E12/100/4)-1)*100</f>
        <v>2.4511373634140021</v>
      </c>
      <c r="F28" s="18"/>
      <c r="H28">
        <v>2</v>
      </c>
      <c r="K28" s="18">
        <f t="shared" si="0"/>
        <v>97.846764374740715</v>
      </c>
      <c r="L28" s="18">
        <f t="shared" si="0"/>
        <v>97.548862636585994</v>
      </c>
    </row>
    <row r="29" spans="1:13">
      <c r="A29">
        <v>3</v>
      </c>
      <c r="E29" s="18">
        <f>4*(EXP(E13/100/4)-1)*100</f>
        <v>1.855333887104571</v>
      </c>
      <c r="H29">
        <v>3</v>
      </c>
      <c r="L29" s="18">
        <f>100-E29</f>
        <v>98.144666112895436</v>
      </c>
    </row>
    <row r="30" spans="1:13">
      <c r="C30" s="25" t="s">
        <v>35</v>
      </c>
      <c r="I30" s="25" t="s">
        <v>39</v>
      </c>
    </row>
    <row r="31" spans="1:13">
      <c r="A31">
        <v>0</v>
      </c>
      <c r="B31" s="18">
        <f>4*(EXP(B10*0.25/100)-1)*100</f>
        <v>2.1798145951054337</v>
      </c>
      <c r="C31" s="18">
        <f>4*(EXP(C10*0.25/100)-1)*100</f>
        <v>2.6869517934031251</v>
      </c>
      <c r="D31" s="18">
        <f>4*(EXP(D10*0.25/100)-1)*100</f>
        <v>3.2200220572208949</v>
      </c>
      <c r="E31" s="18">
        <f>4*(EXP(E10*0.25/100)-1)*100</f>
        <v>4.2815553145135965</v>
      </c>
      <c r="F31" s="18">
        <f>4*(EXP(F10*0.25/100)-1)*100</f>
        <v>5.4054326026402144</v>
      </c>
      <c r="H31">
        <v>0</v>
      </c>
      <c r="I31" s="18">
        <f>100-B31</f>
        <v>97.820185404894573</v>
      </c>
      <c r="J31" s="18">
        <f>100-C31</f>
        <v>97.313048206596875</v>
      </c>
      <c r="K31" s="18">
        <f>100-D31</f>
        <v>96.779977942779112</v>
      </c>
      <c r="L31" s="18">
        <f>100-E31</f>
        <v>95.718444685486404</v>
      </c>
      <c r="M31" s="18">
        <f>100-F31</f>
        <v>94.594567397359782</v>
      </c>
    </row>
    <row r="32" spans="1:13">
      <c r="A32">
        <v>1</v>
      </c>
      <c r="B32" s="18"/>
      <c r="C32" s="18">
        <f>4*(EXP(C11*0.25/100)-1)*100</f>
        <v>2.225755463052792</v>
      </c>
      <c r="D32" s="18">
        <f>4*(EXP(D11*0.25/100)-1)*100</f>
        <v>2.6700563842827485</v>
      </c>
      <c r="E32" s="18">
        <f>4*(EXP(E11*0.25/100)-1)*100</f>
        <v>3.2390409088004724</v>
      </c>
      <c r="F32" s="18">
        <f>4*(EXP(F11*0.25/100)-1)*100</f>
        <v>3.9896513934289501</v>
      </c>
      <c r="H32">
        <v>1</v>
      </c>
      <c r="I32" s="18"/>
      <c r="J32" s="18">
        <f>100-C32</f>
        <v>97.774244536947208</v>
      </c>
      <c r="K32" s="18">
        <f>100-D32</f>
        <v>97.329943615717255</v>
      </c>
      <c r="L32" s="18">
        <f>100-E32</f>
        <v>96.760959091199524</v>
      </c>
      <c r="M32" s="18">
        <f>100-F32</f>
        <v>96.010348606571057</v>
      </c>
    </row>
    <row r="33" spans="1:13">
      <c r="A33">
        <v>2</v>
      </c>
      <c r="B33" s="18"/>
      <c r="C33" s="18"/>
      <c r="D33" s="18">
        <f>4*(EXP(D12*0.25/100)-1)*100</f>
        <v>2.214280233808541</v>
      </c>
      <c r="E33" s="18">
        <f>4*(EXP(E12*0.25/100)-1)*100</f>
        <v>2.4511373634140021</v>
      </c>
      <c r="F33" s="18">
        <f>4*(EXP(F12*0.25/100)-1)*100</f>
        <v>2.946036331602464</v>
      </c>
      <c r="H33">
        <v>2</v>
      </c>
      <c r="I33" s="18"/>
      <c r="J33" s="18"/>
      <c r="K33" s="18">
        <f>100-D33</f>
        <v>97.785719766191463</v>
      </c>
      <c r="L33" s="18">
        <f>100-E33</f>
        <v>97.548862636585994</v>
      </c>
      <c r="M33" s="18">
        <f>100-F33</f>
        <v>97.053963668397529</v>
      </c>
    </row>
    <row r="34" spans="1:13">
      <c r="A34">
        <v>3</v>
      </c>
      <c r="B34" s="18"/>
      <c r="C34" s="18"/>
      <c r="D34" s="18"/>
      <c r="E34" s="18">
        <f>4*(EXP(E13*0.25/100)-1)*100</f>
        <v>1.855333887104571</v>
      </c>
      <c r="F34" s="18">
        <f>4*(EXP(F13*0.25/100)-1)*100</f>
        <v>2.1761458504360398</v>
      </c>
      <c r="H34">
        <v>3</v>
      </c>
      <c r="I34" s="18"/>
      <c r="J34" s="18"/>
      <c r="K34" s="18"/>
      <c r="L34" s="18">
        <f>100-E34</f>
        <v>98.144666112895436</v>
      </c>
      <c r="M34" s="18">
        <f>100-F34</f>
        <v>97.823854149563957</v>
      </c>
    </row>
    <row r="35" spans="1:13">
      <c r="A35">
        <v>4</v>
      </c>
      <c r="B35" s="18"/>
      <c r="C35" s="18"/>
      <c r="D35" s="18"/>
      <c r="E35" s="18"/>
      <c r="F35" s="18">
        <f>4*(EXP(F14*0.25/100)-1)*100</f>
        <v>1.6078529806720532</v>
      </c>
      <c r="H35">
        <v>4</v>
      </c>
      <c r="I35" s="18"/>
      <c r="J35" s="18"/>
      <c r="K35" s="18"/>
      <c r="L35" s="18"/>
      <c r="M35" s="18">
        <f>100-F35</f>
        <v>98.39214701932795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IRTree</vt:lpstr>
      <vt:lpstr>BondPrice</vt:lpstr>
      <vt:lpstr>Cap</vt:lpstr>
      <vt:lpstr>Data</vt:lpstr>
      <vt:lpstr>EurodollarFutures</vt:lpstr>
      <vt:lpstr>cc</vt:lpstr>
      <vt:lpstr>d</vt:lpstr>
      <vt:lpstr>h</vt:lpstr>
      <vt:lpstr>h0</vt:lpstr>
      <vt:lpstr>K</vt:lpstr>
      <vt:lpstr>BondPrice!Print_Area</vt:lpstr>
      <vt:lpstr>IRTree!Print_Area</vt:lpstr>
      <vt:lpstr>q</vt:lpstr>
      <vt:lpstr>rr</vt:lpstr>
      <vt:lpstr>S0</vt:lpstr>
      <vt:lpstr>sig</vt:lpstr>
      <vt:lpstr>T</vt:lpstr>
      <vt:lpstr>TT</vt:lpstr>
    </vt:vector>
  </TitlesOfParts>
  <Company>The University of Chicago, GSB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Mueller,P</dc:creator>
  <cp:lastModifiedBy>andrea</cp:lastModifiedBy>
  <cp:lastPrinted>2007-05-28T16:38:30Z</cp:lastPrinted>
  <dcterms:created xsi:type="dcterms:W3CDTF">2007-04-22T09:20:08Z</dcterms:created>
  <dcterms:modified xsi:type="dcterms:W3CDTF">2015-07-26T15:36:36Z</dcterms:modified>
</cp:coreProperties>
</file>